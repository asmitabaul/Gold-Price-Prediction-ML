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468FD716-CD8A-4156-B430-33F71F46C0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aster" sheetId="1" r:id="rId1"/>
    <sheet name="USD" sheetId="2" r:id="rId2"/>
    <sheet name="Brent" sheetId="3" r:id="rId3"/>
    <sheet name="CPI" sheetId="5" r:id="rId4"/>
    <sheet name="Repo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8" i="1" l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14" i="1"/>
  <c r="F31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" i="1"/>
  <c r="E313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85" i="1"/>
  <c r="E41" i="1"/>
  <c r="E63" i="1"/>
  <c r="F2" i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2" i="5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</calcChain>
</file>

<file path=xl/sharedStrings.xml><?xml version="1.0" encoding="utf-8"?>
<sst xmlns="http://schemas.openxmlformats.org/spreadsheetml/2006/main" count="135" uniqueCount="26">
  <si>
    <t>Date</t>
  </si>
  <si>
    <t>Gold Price</t>
  </si>
  <si>
    <t>USD</t>
  </si>
  <si>
    <t>Brent</t>
  </si>
  <si>
    <t>Repo</t>
  </si>
  <si>
    <t>CPI</t>
  </si>
  <si>
    <t>Lag 1</t>
  </si>
  <si>
    <t>Price</t>
  </si>
  <si>
    <t>observation_date</t>
  </si>
  <si>
    <t>DCOILBRENTEU</t>
  </si>
  <si>
    <t>Year</t>
  </si>
  <si>
    <t>Month</t>
  </si>
  <si>
    <t>Combined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</si>
  <si>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</si>
  <si>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</si>
  <si>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</si>
  <si>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</si>
  <si>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</si>
  <si>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</si>
  <si>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</si>
  <si>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</si>
  <si>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</si>
  <si>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</si>
  <si>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</si>
  <si>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</si>
  <si>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4.1   Policy Repo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</si>
</sst>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88AC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49" fontId="2" fillId="2" borderId="2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right"/>
    </xf>
    <xf numFmtId="164" fontId="4" fillId="3" borderId="3" xfId="0" applyNumberFormat="1" applyFont="1" applyFill="1" applyBorder="1" applyAlignment="1">
      <alignment horizontal="right"/>
    </xf>
    <xf numFmtId="14" fontId="2" fillId="2" borderId="4" xfId="0" applyNumberFormat="1" applyFont="1" applyFill="1" applyBorder="1" applyAlignment="1">
      <alignment horizontal="center"/>
    </xf>
    <xf numFmtId="14" fontId="3" fillId="4" borderId="5" xfId="0" applyNumberFormat="1" applyFont="1" applyFill="1" applyBorder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164" formatCode="#,##0.00;\-#,##0.00;0.00"/>
      <fill>
        <patternFill patternType="solid">
          <fgColor rgb="FFFFFFFF"/>
          <bgColor rgb="FFD7EB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19" formatCode="dd/mm/yyyy"/>
      <fill>
        <patternFill patternType="solid">
          <fgColor rgb="FFFFFFFF"/>
          <bgColor rgb="FFD7EBFF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bottom style="thin">
          <color rgb="FF000000"/>
        </bottom>
      </border>
    </dxf>
    <dxf>
      <numFmt numFmtId="2" formatCode="0.00"/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alignment horizontal="general" vertical="bottom" textRotation="0" wrapText="1" indent="0" justifyLastLine="0" shrinkToFit="0" readingOrder="0"/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463485-DF58-47C0-9E1B-ACB03754439F}" name="Table4" displayName="Table4" ref="A1:G2515" totalsRowShown="0">
  <autoFilter ref="A1:G2515" xr:uid="{72463485-DF58-47C0-9E1B-ACB03754439F}"/>
  <tableColumns count="7">
    <tableColumn id="1" xr3:uid="{BC04E840-369A-4C6B-AE55-E8526A3F2A7B}" name="Date" dataDxfId="10"/>
    <tableColumn id="2" xr3:uid="{E5597152-F697-4E5C-AFDD-1F5F71215C58}" name="Gold Price"/>
    <tableColumn id="3" xr3:uid="{ADB2641B-FBAA-45D0-9FBD-1BE1B270EA1B}" name="USD">
      <calculatedColumnFormula>_xlfn.XLOOKUP(A2, USD!A:A, USD!B:B, "")</calculatedColumnFormula>
    </tableColumn>
    <tableColumn id="4" xr3:uid="{7D90C9A2-1E0B-4F12-8DD6-B930573EA684}" name="Brent">
      <calculatedColumnFormula>_xlfn.XLOOKUP(A2, Brent!A:A, Brent!B:B, "")</calculatedColumnFormula>
    </tableColumn>
    <tableColumn id="5" xr3:uid="{079C1818-E627-4825-AF0D-5C57079182F8}" name="Repo">
      <calculatedColumnFormula>_xlfn.XLOOKUP(
  A2,
  Repo!A:A,
  Repo!B:B,
  "",
  -1
)</calculatedColumnFormula>
    </tableColumn>
    <tableColumn id="6" xr3:uid="{1F382D70-098B-4C1D-A753-4FDA2703E7F0}" name="CPI" dataDxfId="9">
      <calculatedColumnFormula>_xlfn.XLOOKUP(
  A2,
  CPI!D:D,
  CPI!C:C,
  "",
  -1
)</calculatedColumnFormula>
    </tableColumn>
    <tableColumn id="7" xr3:uid="{6ED78DDF-874E-46CB-9D72-728F44D22596}" name="Lag 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E0ED4E-BE39-4E7F-B18E-9A6F902B3A4D}" name="Table1" displayName="Table1" ref="A1:B2611" totalsRowShown="0">
  <autoFilter ref="A1:B2611" xr:uid="{80E0ED4E-BE39-4E7F-B18E-9A6F902B3A4D}"/>
  <sortState xmlns:xlrd2="http://schemas.microsoft.com/office/spreadsheetml/2017/richdata2" ref="A2:B2611">
    <sortCondition ref="A1:A2611"/>
  </sortState>
  <tableColumns count="2">
    <tableColumn id="1" xr3:uid="{592D542F-492F-4FED-9767-5943FBFB528D}" name="Date" dataDxfId="8"/>
    <tableColumn id="2" xr3:uid="{AA3710B8-62D2-4865-B7E6-670C1F2BF618}" name="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86AC26-FB66-481D-83FA-529B9D9A744C}" name="Table13" displayName="Table13" ref="A1:B2623" totalsRowShown="0" headerRowDxfId="7" headerRowBorderDxfId="5" tableBorderDxfId="6">
  <autoFilter ref="A1:B2623" xr:uid="{4486AC26-FB66-481D-83FA-529B9D9A744C}"/>
  <sortState xmlns:xlrd2="http://schemas.microsoft.com/office/spreadsheetml/2017/richdata2" ref="A2:B2623">
    <sortCondition ref="A1:A2623"/>
  </sortState>
  <tableColumns count="2">
    <tableColumn id="1" xr3:uid="{6B9EA047-024E-4FDD-9B39-73CF9A51ACA8}" name="observation_date" dataDxfId="4"/>
    <tableColumn id="2" xr3:uid="{45B8C7B8-925B-4456-83D7-9AD2281A426A}" name="DCOILBRENTEU" dataDxfId="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171C0D-96A2-4525-8BA5-383593BB3CCE}" name="Table3" displayName="Table3" ref="A1:B120" totalsRowShown="0" tableBorderDxfId="2">
  <autoFilter ref="A1:B120" xr:uid="{55171C0D-96A2-4525-8BA5-383593BB3CCE}"/>
  <sortState xmlns:xlrd2="http://schemas.microsoft.com/office/spreadsheetml/2017/richdata2" ref="A2:B120">
    <sortCondition ref="A1:A120"/>
  </sortState>
  <tableColumns count="2">
    <tableColumn id="1" xr3:uid="{3D6A3DF3-CACA-4097-94EB-3224993EBB48}" name="Date" dataDxfId="1"/>
    <tableColumn id="2" xr3:uid="{C127870D-2379-4A68-B3B0-6FAFD0D96342}" name="4.1   Policy Repo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5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12.42578125" style="1" customWidth="1"/>
    <col min="2" max="2" width="12.5703125" bestFit="1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42370</v>
      </c>
      <c r="B2">
        <v>24943</v>
      </c>
      <c r="C2">
        <v>66.3</v>
      </c>
      <c r="D2">
        <v>36</v>
      </c>
      <c r="E2">
        <v>6.75</v>
      </c>
      <c r="F2">
        <f>_xlfn.XLOOKUP(A2, CPI!D:D, CPI!C:C, "", -1)</f>
        <v>5.69</v>
      </c>
      <c r="G2">
        <v>0</v>
      </c>
    </row>
    <row r="3" spans="1:7" ht="15.75" customHeight="1">
      <c r="A3" s="1">
        <v>42373</v>
      </c>
      <c r="B3">
        <v>25423</v>
      </c>
      <c r="C3">
        <v>66.430000000000007</v>
      </c>
      <c r="D3">
        <f>_xlfn.XLOOKUP(A3, Brent!A:A, Brent!B:B, "")</f>
        <v>36.28</v>
      </c>
      <c r="E3">
        <v>6.75</v>
      </c>
      <c r="F3" s="10">
        <f>_xlfn.XLOOKUP(
  A3,
  CPI!D:D,
  CPI!C:C,
  "",
  -1
)</f>
        <v>5.69</v>
      </c>
      <c r="G3">
        <v>24943</v>
      </c>
    </row>
    <row r="4" spans="1:7">
      <c r="A4" s="1">
        <v>42374</v>
      </c>
      <c r="B4">
        <v>25430</v>
      </c>
      <c r="C4">
        <v>66.59</v>
      </c>
      <c r="D4">
        <f>_xlfn.XLOOKUP(A4, Brent!A:A, Brent!B:B, "")</f>
        <v>35.56</v>
      </c>
      <c r="E4">
        <v>6.75</v>
      </c>
      <c r="F4" s="10">
        <f>_xlfn.XLOOKUP(
  A4,
  CPI!D:D,
  CPI!C:C,
  "",
  -1
)</f>
        <v>5.69</v>
      </c>
      <c r="G4">
        <v>25423</v>
      </c>
    </row>
    <row r="5" spans="1:7">
      <c r="A5" s="1">
        <v>42375</v>
      </c>
      <c r="B5">
        <v>25756</v>
      </c>
      <c r="C5">
        <v>66.7</v>
      </c>
      <c r="D5">
        <f>_xlfn.XLOOKUP(A5, Brent!A:A, Brent!B:B, "")</f>
        <v>33.89</v>
      </c>
      <c r="E5">
        <v>6.75</v>
      </c>
      <c r="F5" s="10">
        <f>_xlfn.XLOOKUP(
  A5,
  CPI!D:D,
  CPI!C:C,
  "",
  -1
)</f>
        <v>5.69</v>
      </c>
      <c r="G5">
        <v>25430</v>
      </c>
    </row>
    <row r="6" spans="1:7">
      <c r="A6" s="1">
        <v>42376</v>
      </c>
      <c r="B6">
        <v>26106</v>
      </c>
      <c r="C6">
        <v>66.849999999999994</v>
      </c>
      <c r="D6">
        <f>_xlfn.XLOOKUP(A6, Brent!A:A, Brent!B:B, "")</f>
        <v>33.57</v>
      </c>
      <c r="E6">
        <v>6.75</v>
      </c>
      <c r="F6" s="10">
        <f>_xlfn.XLOOKUP(
  A6,
  CPI!D:D,
  CPI!C:C,
  "",
  -1
)</f>
        <v>5.69</v>
      </c>
      <c r="G6">
        <v>25756</v>
      </c>
    </row>
    <row r="7" spans="1:7">
      <c r="A7" s="1">
        <v>42377</v>
      </c>
      <c r="B7">
        <v>25989</v>
      </c>
      <c r="C7">
        <v>66.790000000000006</v>
      </c>
      <c r="D7">
        <f>_xlfn.XLOOKUP(A7, Brent!A:A, Brent!B:B, "")</f>
        <v>31.67</v>
      </c>
      <c r="E7">
        <v>6.75</v>
      </c>
      <c r="F7" s="10">
        <f>_xlfn.XLOOKUP(
  A7,
  CPI!D:D,
  CPI!C:C,
  "",
  -1
)</f>
        <v>5.69</v>
      </c>
      <c r="G7">
        <v>26106</v>
      </c>
    </row>
    <row r="8" spans="1:7">
      <c r="A8" s="1">
        <v>42380</v>
      </c>
      <c r="B8">
        <v>25877</v>
      </c>
      <c r="C8">
        <v>66.78</v>
      </c>
      <c r="D8">
        <f>_xlfn.XLOOKUP(A8, Brent!A:A, Brent!B:B, "")</f>
        <v>30.14</v>
      </c>
      <c r="E8">
        <v>6.75</v>
      </c>
      <c r="F8" s="10">
        <f>_xlfn.XLOOKUP(
  A8,
  CPI!D:D,
  CPI!C:C,
  "",
  -1
)</f>
        <v>5.69</v>
      </c>
      <c r="G8">
        <v>25989</v>
      </c>
    </row>
    <row r="9" spans="1:7">
      <c r="A9" s="1">
        <v>42381</v>
      </c>
      <c r="B9">
        <v>25689</v>
      </c>
      <c r="C9">
        <v>66.900000000000006</v>
      </c>
      <c r="D9">
        <f>_xlfn.XLOOKUP(A9, Brent!A:A, Brent!B:B, "")</f>
        <v>29.14</v>
      </c>
      <c r="E9">
        <v>6.75</v>
      </c>
      <c r="F9" s="10">
        <f>_xlfn.XLOOKUP(
  A9,
  CPI!D:D,
  CPI!C:C,
  "",
  -1
)</f>
        <v>5.69</v>
      </c>
      <c r="G9">
        <v>25877</v>
      </c>
    </row>
    <row r="10" spans="1:7">
      <c r="A10" s="1">
        <v>42382</v>
      </c>
      <c r="B10">
        <v>25750</v>
      </c>
      <c r="C10">
        <v>66.91</v>
      </c>
      <c r="D10">
        <f>_xlfn.XLOOKUP(A10, Brent!A:A, Brent!B:B, "")</f>
        <v>28.58</v>
      </c>
      <c r="E10">
        <v>6.75</v>
      </c>
      <c r="F10" s="10">
        <f>_xlfn.XLOOKUP(
  A10,
  CPI!D:D,
  CPI!C:C,
  "",
  -1
)</f>
        <v>5.69</v>
      </c>
      <c r="G10">
        <v>25689</v>
      </c>
    </row>
    <row r="11" spans="1:7">
      <c r="A11" s="1">
        <v>42383</v>
      </c>
      <c r="B11">
        <v>25652</v>
      </c>
      <c r="C11">
        <v>66.17</v>
      </c>
      <c r="D11">
        <f>_xlfn.XLOOKUP(A11, Brent!A:A, Brent!B:B, "")</f>
        <v>28.84</v>
      </c>
      <c r="E11">
        <v>6.75</v>
      </c>
      <c r="F11" s="10">
        <f>_xlfn.XLOOKUP(
  A11,
  CPI!D:D,
  CPI!C:C,
  "",
  -1
)</f>
        <v>5.69</v>
      </c>
      <c r="G11">
        <v>25750</v>
      </c>
    </row>
    <row r="12" spans="1:7">
      <c r="A12" s="1">
        <v>42384</v>
      </c>
      <c r="B12">
        <v>26126</v>
      </c>
      <c r="C12">
        <v>66.61</v>
      </c>
      <c r="D12">
        <f>_xlfn.XLOOKUP(A12, Brent!A:A, Brent!B:B, "")</f>
        <v>28.8</v>
      </c>
      <c r="E12">
        <v>6.75</v>
      </c>
      <c r="F12" s="10">
        <f>_xlfn.XLOOKUP(
  A12,
  CPI!D:D,
  CPI!C:C,
  "",
  -1
)</f>
        <v>5.69</v>
      </c>
      <c r="G12">
        <v>25652</v>
      </c>
    </row>
    <row r="13" spans="1:7">
      <c r="A13" s="1">
        <v>42387</v>
      </c>
      <c r="B13">
        <v>26070</v>
      </c>
      <c r="C13">
        <v>66.73</v>
      </c>
      <c r="D13">
        <f>_xlfn.XLOOKUP(A13, Brent!A:A, Brent!B:B, "")</f>
        <v>27.36</v>
      </c>
      <c r="E13">
        <v>6.75</v>
      </c>
      <c r="F13" s="10">
        <f>_xlfn.XLOOKUP(
  A13,
  CPI!D:D,
  CPI!C:C,
  "",
  -1
)</f>
        <v>5.69</v>
      </c>
      <c r="G13">
        <v>26126</v>
      </c>
    </row>
    <row r="14" spans="1:7">
      <c r="A14" s="1">
        <v>42388</v>
      </c>
      <c r="B14">
        <v>26064</v>
      </c>
      <c r="C14">
        <v>66.709999999999994</v>
      </c>
      <c r="D14">
        <f>_xlfn.XLOOKUP(A14, Brent!A:A, Brent!B:B, "")</f>
        <v>27.36</v>
      </c>
      <c r="E14">
        <v>6.75</v>
      </c>
      <c r="F14" s="10">
        <f>_xlfn.XLOOKUP(
  A14,
  CPI!D:D,
  CPI!C:C,
  "",
  -1
)</f>
        <v>5.69</v>
      </c>
      <c r="G14">
        <v>26070</v>
      </c>
    </row>
    <row r="15" spans="1:7">
      <c r="A15" s="1">
        <v>42389</v>
      </c>
      <c r="B15">
        <v>26563</v>
      </c>
      <c r="C15">
        <v>66.87</v>
      </c>
      <c r="D15">
        <f>_xlfn.XLOOKUP(A15, Brent!A:A, Brent!B:B, "")</f>
        <v>26.01</v>
      </c>
      <c r="E15">
        <v>6.75</v>
      </c>
      <c r="F15" s="10">
        <f>_xlfn.XLOOKUP(
  A15,
  CPI!D:D,
  CPI!C:C,
  "",
  -1
)</f>
        <v>5.69</v>
      </c>
      <c r="G15">
        <v>26064</v>
      </c>
    </row>
    <row r="16" spans="1:7">
      <c r="A16" s="1">
        <v>42390</v>
      </c>
      <c r="B16">
        <v>26190</v>
      </c>
      <c r="C16">
        <v>66.84</v>
      </c>
      <c r="D16">
        <f>_xlfn.XLOOKUP(A16, Brent!A:A, Brent!B:B, "")</f>
        <v>27.59</v>
      </c>
      <c r="E16">
        <v>6.75</v>
      </c>
      <c r="F16" s="10">
        <f>_xlfn.XLOOKUP(
  A16,
  CPI!D:D,
  CPI!C:C,
  "",
  -1
)</f>
        <v>5.69</v>
      </c>
      <c r="G16">
        <v>26563</v>
      </c>
    </row>
    <row r="17" spans="1:7">
      <c r="A17" s="1">
        <v>42391</v>
      </c>
      <c r="B17">
        <v>26168</v>
      </c>
      <c r="C17">
        <f>_xlfn.XLOOKUP(A17, USD!A:A, USD!B:B, "")</f>
        <v>67.549000000000007</v>
      </c>
      <c r="D17">
        <f>_xlfn.XLOOKUP(A17, Brent!A:A, Brent!B:B, "")</f>
        <v>30.46</v>
      </c>
      <c r="E17">
        <v>6.75</v>
      </c>
      <c r="F17" s="10">
        <f>_xlfn.XLOOKUP(
  A17,
  CPI!D:D,
  CPI!C:C,
  "",
  -1
)</f>
        <v>5.69</v>
      </c>
      <c r="G17">
        <v>26190</v>
      </c>
    </row>
    <row r="18" spans="1:7">
      <c r="A18" s="1">
        <v>42394</v>
      </c>
      <c r="B18">
        <v>26391</v>
      </c>
      <c r="C18">
        <f>_xlfn.XLOOKUP(A18, USD!A:A, USD!B:B, "")</f>
        <v>67.754999999999995</v>
      </c>
      <c r="D18">
        <f>_xlfn.XLOOKUP(A18, Brent!A:A, Brent!B:B, "")</f>
        <v>29.82</v>
      </c>
      <c r="E18">
        <v>6.75</v>
      </c>
      <c r="F18" s="10">
        <f>_xlfn.XLOOKUP(
  A18,
  CPI!D:D,
  CPI!C:C,
  "",
  -1
)</f>
        <v>5.69</v>
      </c>
      <c r="G18">
        <v>26168</v>
      </c>
    </row>
    <row r="19" spans="1:7">
      <c r="A19" s="1">
        <v>42396</v>
      </c>
      <c r="B19">
        <v>26736</v>
      </c>
      <c r="C19">
        <f>_xlfn.XLOOKUP(A19, USD!A:A, USD!B:B, "")</f>
        <v>68.144000000000005</v>
      </c>
      <c r="D19">
        <f>_xlfn.XLOOKUP(A19, Brent!A:A, Brent!B:B, "")</f>
        <v>31.83</v>
      </c>
      <c r="E19">
        <v>6.75</v>
      </c>
      <c r="F19" s="10">
        <f>_xlfn.XLOOKUP(
  A19,
  CPI!D:D,
  CPI!C:C,
  "",
  -1
)</f>
        <v>5.69</v>
      </c>
      <c r="G19">
        <v>26391</v>
      </c>
    </row>
    <row r="20" spans="1:7">
      <c r="A20" s="1">
        <v>42397</v>
      </c>
      <c r="B20">
        <v>26701</v>
      </c>
      <c r="C20">
        <f>_xlfn.XLOOKUP(A20, USD!A:A, USD!B:B, "")</f>
        <v>68.052999999999997</v>
      </c>
      <c r="D20">
        <f>_xlfn.XLOOKUP(A20, Brent!A:A, Brent!B:B, "")</f>
        <v>33.01</v>
      </c>
      <c r="E20">
        <v>6.75</v>
      </c>
      <c r="F20" s="10">
        <f>_xlfn.XLOOKUP(
  A20,
  CPI!D:D,
  CPI!C:C,
  "",
  -1
)</f>
        <v>5.69</v>
      </c>
      <c r="G20">
        <v>26736</v>
      </c>
    </row>
    <row r="21" spans="1:7">
      <c r="A21" s="1">
        <v>42398</v>
      </c>
      <c r="B21">
        <v>26709</v>
      </c>
      <c r="C21">
        <f>_xlfn.XLOOKUP(A21, USD!A:A, USD!B:B, "")</f>
        <v>67.878</v>
      </c>
      <c r="D21">
        <f>_xlfn.XLOOKUP(A21, Brent!A:A, Brent!B:B, "")</f>
        <v>33.14</v>
      </c>
      <c r="E21">
        <v>6.75</v>
      </c>
      <c r="F21" s="10">
        <f>_xlfn.XLOOKUP(
  A21,
  CPI!D:D,
  CPI!C:C,
  "",
  -1
)</f>
        <v>5.69</v>
      </c>
      <c r="G21">
        <v>26701</v>
      </c>
    </row>
    <row r="22" spans="1:7">
      <c r="A22" s="1">
        <v>42401</v>
      </c>
      <c r="B22">
        <v>26973</v>
      </c>
      <c r="C22">
        <f>_xlfn.XLOOKUP(A22, USD!A:A, USD!B:B, "")</f>
        <v>67.834999999999994</v>
      </c>
      <c r="D22">
        <f>_xlfn.XLOOKUP(A22, Brent!A:A, Brent!B:B, "")</f>
        <v>32.450000000000003</v>
      </c>
      <c r="E22">
        <v>6.75</v>
      </c>
      <c r="F22" s="10">
        <f>_xlfn.XLOOKUP(
  A22,
  CPI!D:D,
  CPI!C:C,
  "",
  -1
)</f>
        <v>5.26</v>
      </c>
      <c r="G22">
        <v>26709</v>
      </c>
    </row>
    <row r="23" spans="1:7">
      <c r="A23" s="1">
        <v>42402</v>
      </c>
      <c r="B23">
        <v>27008</v>
      </c>
      <c r="C23">
        <f>_xlfn.XLOOKUP(A23, USD!A:A, USD!B:B, "")</f>
        <v>67.974999999999994</v>
      </c>
      <c r="D23">
        <f>_xlfn.XLOOKUP(A23, Brent!A:A, Brent!B:B, "")</f>
        <v>30.98</v>
      </c>
      <c r="E23">
        <v>6.75</v>
      </c>
      <c r="F23" s="10">
        <f>_xlfn.XLOOKUP(
  A23,
  CPI!D:D,
  CPI!C:C,
  "",
  -1
)</f>
        <v>5.26</v>
      </c>
      <c r="G23">
        <v>26973</v>
      </c>
    </row>
    <row r="24" spans="1:7">
      <c r="A24" s="1">
        <v>42403</v>
      </c>
      <c r="B24">
        <v>27285</v>
      </c>
      <c r="C24">
        <f>_xlfn.XLOOKUP(A24, USD!A:A, USD!B:B, "")</f>
        <v>67.933999999999997</v>
      </c>
      <c r="D24">
        <f>_xlfn.XLOOKUP(A24, Brent!A:A, Brent!B:B, "")</f>
        <v>32.380000000000003</v>
      </c>
      <c r="E24">
        <v>6.75</v>
      </c>
      <c r="F24" s="10">
        <f>_xlfn.XLOOKUP(
  A24,
  CPI!D:D,
  CPI!C:C,
  "",
  -1
)</f>
        <v>5.26</v>
      </c>
      <c r="G24">
        <v>27008</v>
      </c>
    </row>
    <row r="25" spans="1:7">
      <c r="A25" s="1">
        <v>42404</v>
      </c>
      <c r="B25">
        <v>27656</v>
      </c>
      <c r="C25">
        <f>_xlfn.XLOOKUP(A25, USD!A:A, USD!B:B, "")</f>
        <v>67.543999999999997</v>
      </c>
      <c r="D25">
        <f>_xlfn.XLOOKUP(A25, Brent!A:A, Brent!B:B, "")</f>
        <v>32.76</v>
      </c>
      <c r="E25">
        <v>6.75</v>
      </c>
      <c r="F25" s="10">
        <f>_xlfn.XLOOKUP(
  A25,
  CPI!D:D,
  CPI!C:C,
  "",
  -1
)</f>
        <v>5.26</v>
      </c>
      <c r="G25">
        <v>27285</v>
      </c>
    </row>
    <row r="26" spans="1:7">
      <c r="A26" s="1">
        <v>42405</v>
      </c>
      <c r="B26">
        <v>27568</v>
      </c>
      <c r="C26">
        <f>_xlfn.XLOOKUP(A26, USD!A:A, USD!B:B, "")</f>
        <v>67.81</v>
      </c>
      <c r="D26">
        <f>_xlfn.XLOOKUP(A26, Brent!A:A, Brent!B:B, "")</f>
        <v>32.35</v>
      </c>
      <c r="E26">
        <v>6.75</v>
      </c>
      <c r="F26" s="10">
        <f>_xlfn.XLOOKUP(
  A26,
  CPI!D:D,
  CPI!C:C,
  "",
  -1
)</f>
        <v>5.26</v>
      </c>
      <c r="G26">
        <v>27656</v>
      </c>
    </row>
    <row r="27" spans="1:7">
      <c r="A27" s="1">
        <v>42408</v>
      </c>
      <c r="B27">
        <v>28367</v>
      </c>
      <c r="C27">
        <f>_xlfn.XLOOKUP(A27, USD!A:A, USD!B:B, "")</f>
        <v>68.034000000000006</v>
      </c>
      <c r="D27">
        <f>_xlfn.XLOOKUP(A27, Brent!A:A, Brent!B:B, "")</f>
        <v>31.64</v>
      </c>
      <c r="E27">
        <v>6.75</v>
      </c>
      <c r="F27" s="10">
        <f>_xlfn.XLOOKUP(
  A27,
  CPI!D:D,
  CPI!C:C,
  "",
  -1
)</f>
        <v>5.26</v>
      </c>
      <c r="G27">
        <v>27568</v>
      </c>
    </row>
    <row r="28" spans="1:7">
      <c r="A28" s="1">
        <v>42409</v>
      </c>
      <c r="B28">
        <v>28325</v>
      </c>
      <c r="C28">
        <f>_xlfn.XLOOKUP(A28, USD!A:A, USD!B:B, "")</f>
        <v>67.900999999999996</v>
      </c>
      <c r="D28">
        <f>_xlfn.XLOOKUP(A28, Brent!A:A, Brent!B:B, "")</f>
        <v>30.15</v>
      </c>
      <c r="E28">
        <v>6.75</v>
      </c>
      <c r="F28" s="10">
        <f>_xlfn.XLOOKUP(
  A28,
  CPI!D:D,
  CPI!C:C,
  "",
  -1
)</f>
        <v>5.26</v>
      </c>
      <c r="G28">
        <v>28367</v>
      </c>
    </row>
    <row r="29" spans="1:7">
      <c r="A29" s="1">
        <v>42410</v>
      </c>
      <c r="B29">
        <v>28211</v>
      </c>
      <c r="C29">
        <f>_xlfn.XLOOKUP(A29, USD!A:A, USD!B:B, "")</f>
        <v>67.861000000000004</v>
      </c>
      <c r="D29">
        <f>_xlfn.XLOOKUP(A29, Brent!A:A, Brent!B:B, "")</f>
        <v>29.64</v>
      </c>
      <c r="E29">
        <v>6.75</v>
      </c>
      <c r="F29" s="10">
        <f>_xlfn.XLOOKUP(
  A29,
  CPI!D:D,
  CPI!C:C,
  "",
  -1
)</f>
        <v>5.26</v>
      </c>
      <c r="G29">
        <v>28325</v>
      </c>
    </row>
    <row r="30" spans="1:7">
      <c r="A30" s="1">
        <v>42411</v>
      </c>
      <c r="B30">
        <v>29706</v>
      </c>
      <c r="C30">
        <f>_xlfn.XLOOKUP(A30, USD!A:A, USD!B:B, "")</f>
        <v>68.471000000000004</v>
      </c>
      <c r="D30">
        <f>_xlfn.XLOOKUP(A30, Brent!A:A, Brent!B:B, "")</f>
        <v>28.82</v>
      </c>
      <c r="E30">
        <v>6.75</v>
      </c>
      <c r="F30" s="10">
        <f>_xlfn.XLOOKUP(
  A30,
  CPI!D:D,
  CPI!C:C,
  "",
  -1
)</f>
        <v>5.26</v>
      </c>
      <c r="G30">
        <v>28211</v>
      </c>
    </row>
    <row r="31" spans="1:7">
      <c r="A31" s="1">
        <v>42412</v>
      </c>
      <c r="B31">
        <v>29287</v>
      </c>
      <c r="C31">
        <f>_xlfn.XLOOKUP(A31, USD!A:A, USD!B:B, "")</f>
        <v>68.117999999999995</v>
      </c>
      <c r="D31">
        <f>_xlfn.XLOOKUP(A31, Brent!A:A, Brent!B:B, "")</f>
        <v>31.8</v>
      </c>
      <c r="E31">
        <v>6.75</v>
      </c>
      <c r="F31" s="10">
        <f>_xlfn.XLOOKUP(
  A31,
  CPI!D:D,
  CPI!C:C,
  "",
  -1
)</f>
        <v>5.26</v>
      </c>
      <c r="G31">
        <v>29706</v>
      </c>
    </row>
    <row r="32" spans="1:7">
      <c r="A32" s="1">
        <v>42416</v>
      </c>
      <c r="B32">
        <v>28800</v>
      </c>
      <c r="C32">
        <f>_xlfn.XLOOKUP(A32, USD!A:A, USD!B:B, "")</f>
        <v>68.474000000000004</v>
      </c>
      <c r="D32">
        <f>_xlfn.XLOOKUP(A32, Brent!A:A, Brent!B:B, "")</f>
        <v>31.09</v>
      </c>
      <c r="E32">
        <v>6.75</v>
      </c>
      <c r="F32" s="10">
        <f>_xlfn.XLOOKUP(
  A32,
  CPI!D:D,
  CPI!C:C,
  "",
  -1
)</f>
        <v>5.26</v>
      </c>
      <c r="G32">
        <v>29287</v>
      </c>
    </row>
    <row r="33" spans="1:7">
      <c r="A33" s="1">
        <v>42417</v>
      </c>
      <c r="B33">
        <v>28781</v>
      </c>
      <c r="C33">
        <f>_xlfn.XLOOKUP(A33, USD!A:A, USD!B:B, "")</f>
        <v>68.328999999999994</v>
      </c>
      <c r="D33">
        <f>_xlfn.XLOOKUP(A33, Brent!A:A, Brent!B:B, "")</f>
        <v>33.21</v>
      </c>
      <c r="E33">
        <v>6.75</v>
      </c>
      <c r="F33" s="10">
        <f>_xlfn.XLOOKUP(
  A33,
  CPI!D:D,
  CPI!C:C,
  "",
  -1
)</f>
        <v>5.26</v>
      </c>
      <c r="G33">
        <v>28800</v>
      </c>
    </row>
    <row r="34" spans="1:7">
      <c r="A34" s="1">
        <v>42418</v>
      </c>
      <c r="B34">
        <v>29210</v>
      </c>
      <c r="C34">
        <f>_xlfn.XLOOKUP(A34, USD!A:A, USD!B:B, "")</f>
        <v>68.542000000000002</v>
      </c>
      <c r="D34">
        <f>_xlfn.XLOOKUP(A34, Brent!A:A, Brent!B:B, "")</f>
        <v>33.200000000000003</v>
      </c>
      <c r="E34">
        <v>6.75</v>
      </c>
      <c r="F34" s="10">
        <f>_xlfn.XLOOKUP(
  A34,
  CPI!D:D,
  CPI!C:C,
  "",
  -1
)</f>
        <v>5.26</v>
      </c>
      <c r="G34">
        <v>28781</v>
      </c>
    </row>
    <row r="35" spans="1:7">
      <c r="A35" s="1">
        <v>42419</v>
      </c>
      <c r="B35">
        <v>29432</v>
      </c>
      <c r="C35">
        <f>_xlfn.XLOOKUP(A35, USD!A:A, USD!B:B, "")</f>
        <v>68.545000000000002</v>
      </c>
      <c r="D35">
        <f>_xlfn.XLOOKUP(A35, Brent!A:A, Brent!B:B, "")</f>
        <v>31.66</v>
      </c>
      <c r="E35">
        <v>6.75</v>
      </c>
      <c r="F35" s="10">
        <f>_xlfn.XLOOKUP(
  A35,
  CPI!D:D,
  CPI!C:C,
  "",
  -1
)</f>
        <v>5.26</v>
      </c>
      <c r="G35">
        <v>29210</v>
      </c>
    </row>
    <row r="36" spans="1:7">
      <c r="A36" s="1">
        <v>42422</v>
      </c>
      <c r="B36">
        <v>28916</v>
      </c>
      <c r="C36">
        <f>_xlfn.XLOOKUP(A36, USD!A:A, USD!B:B, "")</f>
        <v>68.533000000000001</v>
      </c>
      <c r="D36">
        <f>_xlfn.XLOOKUP(A36, Brent!A:A, Brent!B:B, "")</f>
        <v>33.590000000000003</v>
      </c>
      <c r="E36">
        <v>6.75</v>
      </c>
      <c r="F36" s="10">
        <f>_xlfn.XLOOKUP(
  A36,
  CPI!D:D,
  CPI!C:C,
  "",
  -1
)</f>
        <v>5.26</v>
      </c>
      <c r="G36">
        <v>29432</v>
      </c>
    </row>
    <row r="37" spans="1:7">
      <c r="A37" s="1">
        <v>42423</v>
      </c>
      <c r="B37">
        <v>29234</v>
      </c>
      <c r="C37">
        <f>_xlfn.XLOOKUP(A37, USD!A:A, USD!B:B, "")</f>
        <v>68.561000000000007</v>
      </c>
      <c r="D37">
        <f>_xlfn.XLOOKUP(A37, Brent!A:A, Brent!B:B, "")</f>
        <v>31.9</v>
      </c>
      <c r="E37">
        <v>6.75</v>
      </c>
      <c r="F37" s="10">
        <f>_xlfn.XLOOKUP(
  A37,
  CPI!D:D,
  CPI!C:C,
  "",
  -1
)</f>
        <v>5.26</v>
      </c>
      <c r="G37">
        <v>28916</v>
      </c>
    </row>
    <row r="38" spans="1:7">
      <c r="A38" s="1">
        <v>42424</v>
      </c>
      <c r="B38">
        <v>29523</v>
      </c>
      <c r="C38">
        <f>_xlfn.XLOOKUP(A38, USD!A:A, USD!B:B, "")</f>
        <v>68.430999999999997</v>
      </c>
      <c r="D38">
        <f>_xlfn.XLOOKUP(A38, Brent!A:A, Brent!B:B, "")</f>
        <v>31.5</v>
      </c>
      <c r="E38">
        <v>6.75</v>
      </c>
      <c r="F38" s="10">
        <f>_xlfn.XLOOKUP(
  A38,
  CPI!D:D,
  CPI!C:C,
  "",
  -1
)</f>
        <v>5.26</v>
      </c>
      <c r="G38">
        <v>29234</v>
      </c>
    </row>
    <row r="39" spans="1:7">
      <c r="A39" s="1">
        <v>42425</v>
      </c>
      <c r="B39">
        <v>29735</v>
      </c>
      <c r="C39">
        <f>_xlfn.XLOOKUP(A39, USD!A:A, USD!B:B, "")</f>
        <v>68.768000000000001</v>
      </c>
      <c r="D39">
        <f>_xlfn.XLOOKUP(A39, Brent!A:A, Brent!B:B, "")</f>
        <v>32.83</v>
      </c>
      <c r="E39">
        <v>6.75</v>
      </c>
      <c r="F39" s="10">
        <f>_xlfn.XLOOKUP(
  A39,
  CPI!D:D,
  CPI!C:C,
  "",
  -1
)</f>
        <v>5.26</v>
      </c>
      <c r="G39">
        <v>29523</v>
      </c>
    </row>
    <row r="40" spans="1:7">
      <c r="A40" s="1">
        <v>42426</v>
      </c>
      <c r="B40">
        <v>29290</v>
      </c>
      <c r="C40">
        <f>_xlfn.XLOOKUP(A40, USD!A:A, USD!B:B, "")</f>
        <v>68.736999999999995</v>
      </c>
      <c r="D40">
        <f>_xlfn.XLOOKUP(A40, Brent!A:A, Brent!B:B, "")</f>
        <v>35.76</v>
      </c>
      <c r="E40">
        <v>6.75</v>
      </c>
      <c r="F40" s="10">
        <f>_xlfn.XLOOKUP(
  A40,
  CPI!D:D,
  CPI!C:C,
  "",
  -1
)</f>
        <v>5.26</v>
      </c>
      <c r="G40">
        <v>29735</v>
      </c>
    </row>
    <row r="41" spans="1:7">
      <c r="A41" s="1">
        <v>42429</v>
      </c>
      <c r="B41">
        <v>29437</v>
      </c>
      <c r="C41">
        <f>_xlfn.XLOOKUP(A41, USD!A:A, USD!B:B, "")</f>
        <v>68.207999999999998</v>
      </c>
      <c r="D41">
        <f>_xlfn.XLOOKUP(A41, Brent!A:A, Brent!B:B, "")</f>
        <v>35.92</v>
      </c>
      <c r="E41">
        <f>_xlfn.XLOOKUP(A41, Repo!A:A, Repo!B:B, "")</f>
        <v>6.75</v>
      </c>
      <c r="F41" s="10">
        <f>_xlfn.XLOOKUP(
  A41,
  CPI!D:D,
  CPI!C:C,
  "",
  -1
)</f>
        <v>5.26</v>
      </c>
      <c r="G41">
        <v>29290</v>
      </c>
    </row>
    <row r="42" spans="1:7">
      <c r="A42" s="1">
        <v>42430</v>
      </c>
      <c r="B42">
        <v>29097</v>
      </c>
      <c r="C42">
        <f>_xlfn.XLOOKUP(A42, USD!A:A, USD!B:B, "")</f>
        <v>67.753</v>
      </c>
      <c r="D42">
        <f>_xlfn.XLOOKUP(A42, Brent!A:A, Brent!B:B, "")</f>
        <v>35.729999999999997</v>
      </c>
      <c r="E42">
        <v>6.75</v>
      </c>
      <c r="F42" s="10">
        <f>_xlfn.XLOOKUP(
  A42,
  CPI!D:D,
  CPI!C:C,
  "",
  -1
)</f>
        <v>4.83</v>
      </c>
      <c r="G42">
        <v>29437</v>
      </c>
    </row>
    <row r="43" spans="1:7">
      <c r="A43" s="1">
        <v>42431</v>
      </c>
      <c r="B43">
        <v>29219</v>
      </c>
      <c r="C43">
        <f>_xlfn.XLOOKUP(A43, USD!A:A, USD!B:B, "")</f>
        <v>67.394999999999996</v>
      </c>
      <c r="D43">
        <f>_xlfn.XLOOKUP(A43, Brent!A:A, Brent!B:B, "")</f>
        <v>36.380000000000003</v>
      </c>
      <c r="E43">
        <v>6.75</v>
      </c>
      <c r="F43" s="10">
        <f>_xlfn.XLOOKUP(
  A43,
  CPI!D:D,
  CPI!C:C,
  "",
  -1
)</f>
        <v>4.83</v>
      </c>
      <c r="G43">
        <v>29097</v>
      </c>
    </row>
    <row r="44" spans="1:7">
      <c r="A44" s="1">
        <v>42432</v>
      </c>
      <c r="B44">
        <v>29381</v>
      </c>
      <c r="C44">
        <f>_xlfn.XLOOKUP(A44, USD!A:A, USD!B:B, "")</f>
        <v>67.122</v>
      </c>
      <c r="D44">
        <f>_xlfn.XLOOKUP(A44, Brent!A:A, Brent!B:B, "")</f>
        <v>35.75</v>
      </c>
      <c r="E44">
        <v>6.75</v>
      </c>
      <c r="F44" s="10">
        <f>_xlfn.XLOOKUP(
  A44,
  CPI!D:D,
  CPI!C:C,
  "",
  -1
)</f>
        <v>4.83</v>
      </c>
      <c r="G44">
        <v>29219</v>
      </c>
    </row>
    <row r="45" spans="1:7">
      <c r="A45" s="1">
        <v>42433</v>
      </c>
      <c r="B45">
        <v>29519</v>
      </c>
      <c r="C45">
        <f>_xlfn.XLOOKUP(A45, USD!A:A, USD!B:B, "")</f>
        <v>66.938000000000002</v>
      </c>
      <c r="D45">
        <f>_xlfn.XLOOKUP(A45, Brent!A:A, Brent!B:B, "")</f>
        <v>37.61</v>
      </c>
      <c r="E45">
        <v>6.75</v>
      </c>
      <c r="F45" s="10">
        <f>_xlfn.XLOOKUP(
  A45,
  CPI!D:D,
  CPI!C:C,
  "",
  -1
)</f>
        <v>4.83</v>
      </c>
      <c r="G45">
        <v>29381</v>
      </c>
    </row>
    <row r="46" spans="1:7">
      <c r="A46" s="1">
        <v>42436</v>
      </c>
      <c r="B46">
        <v>29597</v>
      </c>
      <c r="C46">
        <f>_xlfn.XLOOKUP(A46, USD!A:A, USD!B:B, "")</f>
        <v>66.989000000000004</v>
      </c>
      <c r="D46">
        <f>_xlfn.XLOOKUP(A46, Brent!A:A, Brent!B:B, "")</f>
        <v>39.020000000000003</v>
      </c>
      <c r="E46">
        <v>6.75</v>
      </c>
      <c r="F46" s="10">
        <f>_xlfn.XLOOKUP(
  A46,
  CPI!D:D,
  CPI!C:C,
  "",
  -1
)</f>
        <v>4.83</v>
      </c>
      <c r="G46">
        <v>29519</v>
      </c>
    </row>
    <row r="47" spans="1:7">
      <c r="A47" s="1">
        <v>42437</v>
      </c>
      <c r="B47">
        <v>29819</v>
      </c>
      <c r="C47">
        <f>_xlfn.XLOOKUP(A47, USD!A:A, USD!B:B, "")</f>
        <v>67.313000000000002</v>
      </c>
      <c r="D47">
        <f>_xlfn.XLOOKUP(A47, Brent!A:A, Brent!B:B, "")</f>
        <v>39.159999999999997</v>
      </c>
      <c r="E47">
        <v>6.75</v>
      </c>
      <c r="F47" s="10">
        <f>_xlfn.XLOOKUP(
  A47,
  CPI!D:D,
  CPI!C:C,
  "",
  -1
)</f>
        <v>4.83</v>
      </c>
      <c r="G47">
        <v>29597</v>
      </c>
    </row>
    <row r="48" spans="1:7">
      <c r="A48" s="1">
        <v>42438</v>
      </c>
      <c r="B48">
        <v>29597</v>
      </c>
      <c r="C48">
        <f>_xlfn.XLOOKUP(A48, USD!A:A, USD!B:B, "")</f>
        <v>67.128</v>
      </c>
      <c r="D48">
        <f>_xlfn.XLOOKUP(A48, Brent!A:A, Brent!B:B, "")</f>
        <v>40.26</v>
      </c>
      <c r="E48">
        <v>6.75</v>
      </c>
      <c r="F48" s="10">
        <f>_xlfn.XLOOKUP(
  A48,
  CPI!D:D,
  CPI!C:C,
  "",
  -1
)</f>
        <v>4.83</v>
      </c>
      <c r="G48">
        <v>29819</v>
      </c>
    </row>
    <row r="49" spans="1:7">
      <c r="A49" s="1">
        <v>42439</v>
      </c>
      <c r="B49">
        <v>29928</v>
      </c>
      <c r="C49">
        <f>_xlfn.XLOOKUP(A49, USD!A:A, USD!B:B, "")</f>
        <v>67.302000000000007</v>
      </c>
      <c r="D49">
        <f>_xlfn.XLOOKUP(A49, Brent!A:A, Brent!B:B, "")</f>
        <v>38.630000000000003</v>
      </c>
      <c r="E49">
        <v>6.75</v>
      </c>
      <c r="F49" s="10">
        <f>_xlfn.XLOOKUP(
  A49,
  CPI!D:D,
  CPI!C:C,
  "",
  -1
)</f>
        <v>4.83</v>
      </c>
      <c r="G49">
        <v>29597</v>
      </c>
    </row>
    <row r="50" spans="1:7">
      <c r="A50" s="1">
        <v>42440</v>
      </c>
      <c r="B50">
        <v>29504</v>
      </c>
      <c r="C50">
        <f>_xlfn.XLOOKUP(A50, USD!A:A, USD!B:B, "")</f>
        <v>66.921000000000006</v>
      </c>
      <c r="D50">
        <f>_xlfn.XLOOKUP(A50, Brent!A:A, Brent!B:B, "")</f>
        <v>39.409999999999997</v>
      </c>
      <c r="E50">
        <v>6.75</v>
      </c>
      <c r="F50" s="10">
        <f>_xlfn.XLOOKUP(
  A50,
  CPI!D:D,
  CPI!C:C,
  "",
  -1
)</f>
        <v>4.83</v>
      </c>
      <c r="G50">
        <v>29928</v>
      </c>
    </row>
    <row r="51" spans="1:7">
      <c r="A51" s="1">
        <v>42443</v>
      </c>
      <c r="B51">
        <v>29204</v>
      </c>
      <c r="C51">
        <f>_xlfn.XLOOKUP(A51, USD!A:A, USD!B:B, "")</f>
        <v>67.138000000000005</v>
      </c>
      <c r="D51">
        <f>_xlfn.XLOOKUP(A51, Brent!A:A, Brent!B:B, "")</f>
        <v>38.06</v>
      </c>
      <c r="E51">
        <v>6.75</v>
      </c>
      <c r="F51" s="10">
        <f>_xlfn.XLOOKUP(
  A51,
  CPI!D:D,
  CPI!C:C,
  "",
  -1
)</f>
        <v>4.83</v>
      </c>
      <c r="G51">
        <v>29504</v>
      </c>
    </row>
    <row r="52" spans="1:7">
      <c r="A52" s="1">
        <v>42444</v>
      </c>
      <c r="B52">
        <v>29050</v>
      </c>
      <c r="C52">
        <f>_xlfn.XLOOKUP(A52, USD!A:A, USD!B:B, "")</f>
        <v>67.372</v>
      </c>
      <c r="D52">
        <f>_xlfn.XLOOKUP(A52, Brent!A:A, Brent!B:B, "")</f>
        <v>37.49</v>
      </c>
      <c r="E52">
        <v>6.75</v>
      </c>
      <c r="F52" s="10">
        <f>_xlfn.XLOOKUP(
  A52,
  CPI!D:D,
  CPI!C:C,
  "",
  -1
)</f>
        <v>4.83</v>
      </c>
      <c r="G52">
        <v>29204</v>
      </c>
    </row>
    <row r="53" spans="1:7">
      <c r="A53" s="1">
        <v>42445</v>
      </c>
      <c r="B53">
        <v>28970</v>
      </c>
      <c r="C53">
        <f>_xlfn.XLOOKUP(A53, USD!A:A, USD!B:B, "")</f>
        <v>67.173000000000002</v>
      </c>
      <c r="D53">
        <f>_xlfn.XLOOKUP(A53, Brent!A:A, Brent!B:B, "")</f>
        <v>38.380000000000003</v>
      </c>
      <c r="E53">
        <v>6.75</v>
      </c>
      <c r="F53" s="10">
        <f>_xlfn.XLOOKUP(
  A53,
  CPI!D:D,
  CPI!C:C,
  "",
  -1
)</f>
        <v>4.83</v>
      </c>
      <c r="G53">
        <v>29050</v>
      </c>
    </row>
    <row r="54" spans="1:7">
      <c r="A54" s="1">
        <v>42446</v>
      </c>
      <c r="B54">
        <v>29357</v>
      </c>
      <c r="C54">
        <f>_xlfn.XLOOKUP(A54, USD!A:A, USD!B:B, "")</f>
        <v>66.619</v>
      </c>
      <c r="D54">
        <f>_xlfn.XLOOKUP(A54, Brent!A:A, Brent!B:B, "")</f>
        <v>39.29</v>
      </c>
      <c r="E54">
        <v>6.75</v>
      </c>
      <c r="F54" s="10">
        <f>_xlfn.XLOOKUP(
  A54,
  CPI!D:D,
  CPI!C:C,
  "",
  -1
)</f>
        <v>4.83</v>
      </c>
      <c r="G54">
        <v>28970</v>
      </c>
    </row>
    <row r="55" spans="1:7">
      <c r="A55" s="1">
        <v>42447</v>
      </c>
      <c r="B55">
        <v>29135</v>
      </c>
      <c r="C55">
        <f>_xlfn.XLOOKUP(A55, USD!A:A, USD!B:B, "")</f>
        <v>66.384</v>
      </c>
      <c r="D55">
        <f>_xlfn.XLOOKUP(A55, Brent!A:A, Brent!B:B, "")</f>
        <v>39.26</v>
      </c>
      <c r="E55">
        <v>6.75</v>
      </c>
      <c r="F55" s="10">
        <f>_xlfn.XLOOKUP(
  A55,
  CPI!D:D,
  CPI!C:C,
  "",
  -1
)</f>
        <v>4.83</v>
      </c>
      <c r="G55">
        <v>29357</v>
      </c>
    </row>
    <row r="56" spans="1:7">
      <c r="A56" s="1">
        <v>42450</v>
      </c>
      <c r="B56">
        <v>28937</v>
      </c>
      <c r="C56">
        <f>_xlfn.XLOOKUP(A56, USD!A:A, USD!B:B, "")</f>
        <v>66.5</v>
      </c>
      <c r="D56">
        <f>_xlfn.XLOOKUP(A56, Brent!A:A, Brent!B:B, "")</f>
        <v>39.909999999999997</v>
      </c>
      <c r="E56">
        <v>6.75</v>
      </c>
      <c r="F56" s="10">
        <f>_xlfn.XLOOKUP(
  A56,
  CPI!D:D,
  CPI!C:C,
  "",
  -1
)</f>
        <v>4.83</v>
      </c>
      <c r="G56">
        <v>29135</v>
      </c>
    </row>
    <row r="57" spans="1:7">
      <c r="A57" s="1">
        <v>42451</v>
      </c>
      <c r="B57">
        <v>29047</v>
      </c>
      <c r="C57">
        <f>_xlfn.XLOOKUP(A57, USD!A:A, USD!B:B, "")</f>
        <v>66.754999999999995</v>
      </c>
      <c r="D57">
        <f>_xlfn.XLOOKUP(A57, Brent!A:A, Brent!B:B, "")</f>
        <v>40.54</v>
      </c>
      <c r="E57">
        <v>6.75</v>
      </c>
      <c r="F57" s="10">
        <f>_xlfn.XLOOKUP(
  A57,
  CPI!D:D,
  CPI!C:C,
  "",
  -1
)</f>
        <v>4.83</v>
      </c>
      <c r="G57">
        <v>28937</v>
      </c>
    </row>
    <row r="58" spans="1:7">
      <c r="A58" s="1">
        <v>42452</v>
      </c>
      <c r="B58">
        <v>28568</v>
      </c>
      <c r="C58">
        <f>_xlfn.XLOOKUP(A58, USD!A:A, USD!B:B, "")</f>
        <v>66.930000000000007</v>
      </c>
      <c r="D58">
        <f>_xlfn.XLOOKUP(A58, Brent!A:A, Brent!B:B, "")</f>
        <v>38.840000000000003</v>
      </c>
      <c r="E58">
        <v>6.75</v>
      </c>
      <c r="F58" s="10">
        <f>_xlfn.XLOOKUP(
  A58,
  CPI!D:D,
  CPI!C:C,
  "",
  -1
)</f>
        <v>4.83</v>
      </c>
      <c r="G58">
        <v>29047</v>
      </c>
    </row>
    <row r="59" spans="1:7">
      <c r="A59" s="1">
        <v>42453</v>
      </c>
      <c r="B59">
        <v>28560</v>
      </c>
      <c r="C59">
        <f>_xlfn.XLOOKUP(A59, USD!A:A, USD!B:B, "")</f>
        <v>66.915999999999997</v>
      </c>
      <c r="D59">
        <f>_xlfn.XLOOKUP(A59, Brent!A:A, Brent!B:B, "")</f>
        <v>38.33</v>
      </c>
      <c r="E59">
        <v>6.75</v>
      </c>
      <c r="F59" s="10">
        <f>_xlfn.XLOOKUP(
  A59,
  CPI!D:D,
  CPI!C:C,
  "",
  -1
)</f>
        <v>4.83</v>
      </c>
      <c r="G59">
        <v>28568</v>
      </c>
    </row>
    <row r="60" spans="1:7">
      <c r="A60" s="1">
        <v>42457</v>
      </c>
      <c r="B60">
        <v>28400</v>
      </c>
      <c r="C60">
        <f>_xlfn.XLOOKUP(A60, USD!A:A, USD!B:B, "")</f>
        <v>66.608000000000004</v>
      </c>
      <c r="D60">
        <f>_xlfn.XLOOKUP(A60, Brent!A:A, Brent!B:B, "")</f>
        <v>38.33</v>
      </c>
      <c r="E60">
        <v>6.75</v>
      </c>
      <c r="F60" s="10">
        <f>_xlfn.XLOOKUP(
  A60,
  CPI!D:D,
  CPI!C:C,
  "",
  -1
)</f>
        <v>4.83</v>
      </c>
      <c r="G60">
        <v>28560</v>
      </c>
    </row>
    <row r="61" spans="1:7">
      <c r="A61" s="1">
        <v>42458</v>
      </c>
      <c r="B61">
        <v>28616</v>
      </c>
      <c r="C61">
        <f>_xlfn.XLOOKUP(A61, USD!A:A, USD!B:B, "")</f>
        <v>66.375</v>
      </c>
      <c r="D61">
        <f>_xlfn.XLOOKUP(A61, Brent!A:A, Brent!B:B, "")</f>
        <v>36.75</v>
      </c>
      <c r="E61">
        <v>6.75</v>
      </c>
      <c r="F61" s="10">
        <f>_xlfn.XLOOKUP(
  A61,
  CPI!D:D,
  CPI!C:C,
  "",
  -1
)</f>
        <v>4.83</v>
      </c>
      <c r="G61">
        <v>28400</v>
      </c>
    </row>
    <row r="62" spans="1:7">
      <c r="A62" s="1">
        <v>42459</v>
      </c>
      <c r="B62">
        <v>28301</v>
      </c>
      <c r="C62">
        <f>_xlfn.XLOOKUP(A62, USD!A:A, USD!B:B, "")</f>
        <v>66.375</v>
      </c>
      <c r="D62">
        <f>_xlfn.XLOOKUP(A62, Brent!A:A, Brent!B:B, "")</f>
        <v>36.75</v>
      </c>
      <c r="E62">
        <v>6.75</v>
      </c>
      <c r="F62" s="10">
        <f>_xlfn.XLOOKUP(
  A62,
  CPI!D:D,
  CPI!C:C,
  "",
  -1
)</f>
        <v>4.83</v>
      </c>
      <c r="G62">
        <v>28616</v>
      </c>
    </row>
    <row r="63" spans="1:7">
      <c r="A63" s="1">
        <v>42460</v>
      </c>
      <c r="B63">
        <v>28441</v>
      </c>
      <c r="C63">
        <f>_xlfn.XLOOKUP(A63, USD!A:A, USD!B:B, "")</f>
        <v>66.254999999999995</v>
      </c>
      <c r="D63">
        <f>_xlfn.XLOOKUP(A63, Brent!A:A, Brent!B:B, "")</f>
        <v>36.75</v>
      </c>
      <c r="E63">
        <f>_xlfn.XLOOKUP(A63, Repo!A:A, Repo!B:B, "")</f>
        <v>6.75</v>
      </c>
      <c r="F63" s="10">
        <f>_xlfn.XLOOKUP(
  A63,
  CPI!D:D,
  CPI!C:C,
  "",
  -1
)</f>
        <v>4.83</v>
      </c>
      <c r="G63">
        <v>28301</v>
      </c>
    </row>
    <row r="64" spans="1:7">
      <c r="A64" s="1">
        <v>42461</v>
      </c>
      <c r="B64">
        <v>28056</v>
      </c>
      <c r="C64">
        <f>_xlfn.XLOOKUP(A64, USD!A:A, USD!B:B, "")</f>
        <v>66.364999999999995</v>
      </c>
      <c r="D64">
        <f>_xlfn.XLOOKUP(A64, Brent!A:A, Brent!B:B, "")</f>
        <v>36.42</v>
      </c>
      <c r="E64">
        <v>6.5</v>
      </c>
      <c r="F64" s="10">
        <f>_xlfn.XLOOKUP(
  A64,
  CPI!D:D,
  CPI!C:C,
  "",
  -1
)</f>
        <v>5.47</v>
      </c>
      <c r="G64">
        <v>28441</v>
      </c>
    </row>
    <row r="65" spans="1:7">
      <c r="A65" s="1">
        <v>42464</v>
      </c>
      <c r="B65">
        <v>28086</v>
      </c>
      <c r="C65">
        <f>_xlfn.XLOOKUP(A65, USD!A:A, USD!B:B, "")</f>
        <v>66.105999999999995</v>
      </c>
      <c r="D65">
        <f>_xlfn.XLOOKUP(A65, Brent!A:A, Brent!B:B, "")</f>
        <v>36.049999999999997</v>
      </c>
      <c r="E65">
        <v>6.5</v>
      </c>
      <c r="F65" s="10">
        <f>_xlfn.XLOOKUP(
  A65,
  CPI!D:D,
  CPI!C:C,
  "",
  -1
)</f>
        <v>5.47</v>
      </c>
      <c r="G65">
        <v>28056</v>
      </c>
    </row>
    <row r="66" spans="1:7">
      <c r="A66" s="1">
        <v>42465</v>
      </c>
      <c r="B66">
        <v>28562</v>
      </c>
      <c r="C66">
        <f>_xlfn.XLOOKUP(A66, USD!A:A, USD!B:B, "")</f>
        <v>66.421999999999997</v>
      </c>
      <c r="D66">
        <f>_xlfn.XLOOKUP(A66, Brent!A:A, Brent!B:B, "")</f>
        <v>35.880000000000003</v>
      </c>
      <c r="E66">
        <v>6.5</v>
      </c>
      <c r="F66" s="10">
        <f>_xlfn.XLOOKUP(
  A66,
  CPI!D:D,
  CPI!C:C,
  "",
  -1
)</f>
        <v>5.47</v>
      </c>
      <c r="G66">
        <v>28086</v>
      </c>
    </row>
    <row r="67" spans="1:7">
      <c r="A67" s="1">
        <v>42466</v>
      </c>
      <c r="B67">
        <v>28571</v>
      </c>
      <c r="C67">
        <f>_xlfn.XLOOKUP(A67, USD!A:A, USD!B:B, "")</f>
        <v>66.516999999999996</v>
      </c>
      <c r="D67">
        <f>_xlfn.XLOOKUP(A67, Brent!A:A, Brent!B:B, "")</f>
        <v>37.770000000000003</v>
      </c>
      <c r="E67">
        <v>6.5</v>
      </c>
      <c r="F67" s="10">
        <f>_xlfn.XLOOKUP(
  A67,
  CPI!D:D,
  CPI!C:C,
  "",
  -1
)</f>
        <v>5.47</v>
      </c>
      <c r="G67">
        <v>28562</v>
      </c>
    </row>
    <row r="68" spans="1:7">
      <c r="A68" s="1">
        <v>42467</v>
      </c>
      <c r="B68">
        <v>28972</v>
      </c>
      <c r="C68">
        <f>_xlfn.XLOOKUP(A68, USD!A:A, USD!B:B, "")</f>
        <v>66.757000000000005</v>
      </c>
      <c r="D68">
        <f>_xlfn.XLOOKUP(A68, Brent!A:A, Brent!B:B, "")</f>
        <v>37.15</v>
      </c>
      <c r="E68">
        <v>6.5</v>
      </c>
      <c r="F68" s="10">
        <f>_xlfn.XLOOKUP(
  A68,
  CPI!D:D,
  CPI!C:C,
  "",
  -1
)</f>
        <v>5.47</v>
      </c>
      <c r="G68">
        <v>28571</v>
      </c>
    </row>
    <row r="69" spans="1:7">
      <c r="A69" s="1">
        <v>42468</v>
      </c>
      <c r="B69">
        <v>29047</v>
      </c>
      <c r="C69">
        <f>_xlfn.XLOOKUP(A69, USD!A:A, USD!B:B, "")</f>
        <v>66.551000000000002</v>
      </c>
      <c r="D69">
        <f>_xlfn.XLOOKUP(A69, Brent!A:A, Brent!B:B, "")</f>
        <v>40.71</v>
      </c>
      <c r="E69">
        <v>6.5</v>
      </c>
      <c r="F69" s="10">
        <f>_xlfn.XLOOKUP(
  A69,
  CPI!D:D,
  CPI!C:C,
  "",
  -1
)</f>
        <v>5.47</v>
      </c>
      <c r="G69">
        <v>28972</v>
      </c>
    </row>
    <row r="70" spans="1:7">
      <c r="A70" s="1">
        <v>42471</v>
      </c>
      <c r="B70">
        <v>29254</v>
      </c>
      <c r="C70">
        <f>_xlfn.XLOOKUP(A70, USD!A:A, USD!B:B, "")</f>
        <v>66.287000000000006</v>
      </c>
      <c r="D70">
        <f>_xlfn.XLOOKUP(A70, Brent!A:A, Brent!B:B, "")</f>
        <v>41.58</v>
      </c>
      <c r="E70">
        <v>6.5</v>
      </c>
      <c r="F70" s="10">
        <f>_xlfn.XLOOKUP(
  A70,
  CPI!D:D,
  CPI!C:C,
  "",
  -1
)</f>
        <v>5.47</v>
      </c>
      <c r="G70">
        <v>29047</v>
      </c>
    </row>
    <row r="71" spans="1:7">
      <c r="A71" s="1">
        <v>42472</v>
      </c>
      <c r="B71">
        <v>29250</v>
      </c>
      <c r="C71">
        <f>_xlfn.XLOOKUP(A71, USD!A:A, USD!B:B, "")</f>
        <v>66.283000000000001</v>
      </c>
      <c r="D71">
        <f>_xlfn.XLOOKUP(A71, Brent!A:A, Brent!B:B, "")</f>
        <v>43.02</v>
      </c>
      <c r="E71">
        <v>6.5</v>
      </c>
      <c r="F71" s="10">
        <f>_xlfn.XLOOKUP(
  A71,
  CPI!D:D,
  CPI!C:C,
  "",
  -1
)</f>
        <v>5.47</v>
      </c>
      <c r="G71">
        <v>29254</v>
      </c>
    </row>
    <row r="72" spans="1:7">
      <c r="A72" s="1">
        <v>42473</v>
      </c>
      <c r="B72">
        <v>29128</v>
      </c>
      <c r="C72">
        <f>_xlfn.XLOOKUP(A72, USD!A:A, USD!B:B, "")</f>
        <v>66.495999999999995</v>
      </c>
      <c r="D72">
        <f>_xlfn.XLOOKUP(A72, Brent!A:A, Brent!B:B, "")</f>
        <v>42.81</v>
      </c>
      <c r="E72">
        <v>6.5</v>
      </c>
      <c r="F72" s="10">
        <f>_xlfn.XLOOKUP(
  A72,
  CPI!D:D,
  CPI!C:C,
  "",
  -1
)</f>
        <v>5.47</v>
      </c>
      <c r="G72">
        <v>29250</v>
      </c>
    </row>
    <row r="73" spans="1:7">
      <c r="A73" s="1">
        <v>42474</v>
      </c>
      <c r="B73">
        <v>28731</v>
      </c>
      <c r="C73">
        <f>_xlfn.XLOOKUP(A73, USD!A:A, USD!B:B, "")</f>
        <v>66.596999999999994</v>
      </c>
      <c r="D73">
        <f>_xlfn.XLOOKUP(A73, Brent!A:A, Brent!B:B, "")</f>
        <v>43.02</v>
      </c>
      <c r="E73">
        <v>6.5</v>
      </c>
      <c r="F73" s="10">
        <f>_xlfn.XLOOKUP(
  A73,
  CPI!D:D,
  CPI!C:C,
  "",
  -1
)</f>
        <v>5.47</v>
      </c>
      <c r="G73">
        <v>29128</v>
      </c>
    </row>
    <row r="74" spans="1:7">
      <c r="A74" s="1">
        <v>42475</v>
      </c>
      <c r="B74">
        <v>28918</v>
      </c>
      <c r="C74">
        <f>_xlfn.XLOOKUP(A74, USD!A:A, USD!B:B, "")</f>
        <v>66.66</v>
      </c>
      <c r="D74">
        <f>_xlfn.XLOOKUP(A74, Brent!A:A, Brent!B:B, "")</f>
        <v>41.32</v>
      </c>
      <c r="E74">
        <v>6.5</v>
      </c>
      <c r="F74" s="10">
        <f>_xlfn.XLOOKUP(
  A74,
  CPI!D:D,
  CPI!C:C,
  "",
  -1
)</f>
        <v>5.47</v>
      </c>
      <c r="G74">
        <v>28731</v>
      </c>
    </row>
    <row r="75" spans="1:7">
      <c r="A75" s="1">
        <v>42478</v>
      </c>
      <c r="B75">
        <v>28935</v>
      </c>
      <c r="C75">
        <f>_xlfn.XLOOKUP(A75, USD!A:A, USD!B:B, "")</f>
        <v>66.415999999999997</v>
      </c>
      <c r="D75">
        <f>_xlfn.XLOOKUP(A75, Brent!A:A, Brent!B:B, "")</f>
        <v>41.64</v>
      </c>
      <c r="E75">
        <v>6.5</v>
      </c>
      <c r="F75" s="10">
        <f>_xlfn.XLOOKUP(
  A75,
  CPI!D:D,
  CPI!C:C,
  "",
  -1
)</f>
        <v>5.47</v>
      </c>
      <c r="G75">
        <v>28918</v>
      </c>
    </row>
    <row r="76" spans="1:7">
      <c r="A76" s="1">
        <v>42479</v>
      </c>
      <c r="B76">
        <v>29255</v>
      </c>
      <c r="C76">
        <f>_xlfn.XLOOKUP(A76, USD!A:A, USD!B:B, "")</f>
        <v>66.150000000000006</v>
      </c>
      <c r="D76">
        <f>_xlfn.XLOOKUP(A76, Brent!A:A, Brent!B:B, "")</f>
        <v>43.02</v>
      </c>
      <c r="E76">
        <v>6.5</v>
      </c>
      <c r="F76" s="10">
        <f>_xlfn.XLOOKUP(
  A76,
  CPI!D:D,
  CPI!C:C,
  "",
  -1
)</f>
        <v>5.47</v>
      </c>
      <c r="G76">
        <v>28935</v>
      </c>
    </row>
    <row r="77" spans="1:7">
      <c r="A77" s="1">
        <v>42480</v>
      </c>
      <c r="B77">
        <v>29249</v>
      </c>
      <c r="C77">
        <f>_xlfn.XLOOKUP(A77, USD!A:A, USD!B:B, "")</f>
        <v>66.165999999999997</v>
      </c>
      <c r="D77">
        <f>_xlfn.XLOOKUP(A77, Brent!A:A, Brent!B:B, "")</f>
        <v>43.09</v>
      </c>
      <c r="E77">
        <v>6.5</v>
      </c>
      <c r="F77" s="10">
        <f>_xlfn.XLOOKUP(
  A77,
  CPI!D:D,
  CPI!C:C,
  "",
  -1
)</f>
        <v>5.47</v>
      </c>
      <c r="G77">
        <v>29255</v>
      </c>
    </row>
    <row r="78" spans="1:7">
      <c r="A78" s="1">
        <v>42481</v>
      </c>
      <c r="B78">
        <v>29287</v>
      </c>
      <c r="C78">
        <f>_xlfn.XLOOKUP(A78, USD!A:A, USD!B:B, "")</f>
        <v>66.489000000000004</v>
      </c>
      <c r="D78">
        <f>_xlfn.XLOOKUP(A78, Brent!A:A, Brent!B:B, "")</f>
        <v>43.48</v>
      </c>
      <c r="E78">
        <v>6.5</v>
      </c>
      <c r="F78" s="10">
        <f>_xlfn.XLOOKUP(
  A78,
  CPI!D:D,
  CPI!C:C,
  "",
  -1
)</f>
        <v>5.47</v>
      </c>
      <c r="G78">
        <v>29249</v>
      </c>
    </row>
    <row r="79" spans="1:7">
      <c r="A79" s="1">
        <v>42482</v>
      </c>
      <c r="B79">
        <v>28941</v>
      </c>
      <c r="C79">
        <f>_xlfn.XLOOKUP(A79, USD!A:A, USD!B:B, "")</f>
        <v>66.66</v>
      </c>
      <c r="D79">
        <f>_xlfn.XLOOKUP(A79, Brent!A:A, Brent!B:B, "")</f>
        <v>43.97</v>
      </c>
      <c r="E79">
        <v>6.5</v>
      </c>
      <c r="F79" s="10">
        <f>_xlfn.XLOOKUP(
  A79,
  CPI!D:D,
  CPI!C:C,
  "",
  -1
)</f>
        <v>5.47</v>
      </c>
      <c r="G79">
        <v>29287</v>
      </c>
    </row>
    <row r="80" spans="1:7">
      <c r="A80" s="1">
        <v>42485</v>
      </c>
      <c r="B80">
        <v>29183</v>
      </c>
      <c r="C80">
        <f>_xlfn.XLOOKUP(A80, USD!A:A, USD!B:B, "")</f>
        <v>66.685000000000002</v>
      </c>
      <c r="D80">
        <f>_xlfn.XLOOKUP(A80, Brent!A:A, Brent!B:B, "")</f>
        <v>42.97</v>
      </c>
      <c r="E80">
        <v>6.5</v>
      </c>
      <c r="F80" s="10">
        <f>_xlfn.XLOOKUP(
  A80,
  CPI!D:D,
  CPI!C:C,
  "",
  -1
)</f>
        <v>5.47</v>
      </c>
      <c r="G80">
        <v>28941</v>
      </c>
    </row>
    <row r="81" spans="1:7">
      <c r="A81" s="1">
        <v>42486</v>
      </c>
      <c r="B81">
        <v>29158</v>
      </c>
      <c r="C81">
        <f>_xlfn.XLOOKUP(A81, USD!A:A, USD!B:B, "")</f>
        <v>66.403999999999996</v>
      </c>
      <c r="D81">
        <f>_xlfn.XLOOKUP(A81, Brent!A:A, Brent!B:B, "")</f>
        <v>43.94</v>
      </c>
      <c r="E81">
        <v>6.5</v>
      </c>
      <c r="F81" s="10">
        <f>_xlfn.XLOOKUP(
  A81,
  CPI!D:D,
  CPI!C:C,
  "",
  -1
)</f>
        <v>5.47</v>
      </c>
      <c r="G81">
        <v>29183</v>
      </c>
    </row>
    <row r="82" spans="1:7">
      <c r="A82" s="1">
        <v>42487</v>
      </c>
      <c r="B82">
        <v>29319</v>
      </c>
      <c r="C82">
        <f>_xlfn.XLOOKUP(A82, USD!A:A, USD!B:B, "")</f>
        <v>66.361999999999995</v>
      </c>
      <c r="D82">
        <f>_xlfn.XLOOKUP(A82, Brent!A:A, Brent!B:B, "")</f>
        <v>44.17</v>
      </c>
      <c r="E82">
        <v>6.5</v>
      </c>
      <c r="F82" s="10">
        <f>_xlfn.XLOOKUP(
  A82,
  CPI!D:D,
  CPI!C:C,
  "",
  -1
)</f>
        <v>5.47</v>
      </c>
      <c r="G82">
        <v>29158</v>
      </c>
    </row>
    <row r="83" spans="1:7">
      <c r="A83" s="1">
        <v>42488</v>
      </c>
      <c r="B83">
        <v>29627</v>
      </c>
      <c r="C83">
        <f>_xlfn.XLOOKUP(A83, USD!A:A, USD!B:B, "")</f>
        <v>66.400999999999996</v>
      </c>
      <c r="D83">
        <f>_xlfn.XLOOKUP(A83, Brent!A:A, Brent!B:B, "")</f>
        <v>45.6</v>
      </c>
      <c r="E83">
        <v>6.5</v>
      </c>
      <c r="F83" s="10">
        <f>_xlfn.XLOOKUP(
  A83,
  CPI!D:D,
  CPI!C:C,
  "",
  -1
)</f>
        <v>5.47</v>
      </c>
      <c r="G83">
        <v>29319</v>
      </c>
    </row>
    <row r="84" spans="1:7">
      <c r="A84" s="1">
        <v>42489</v>
      </c>
      <c r="B84">
        <v>30138</v>
      </c>
      <c r="C84">
        <f>_xlfn.XLOOKUP(A84, USD!A:A, USD!B:B, "")</f>
        <v>66.424999999999997</v>
      </c>
      <c r="D84">
        <f>_xlfn.XLOOKUP(A84, Brent!A:A, Brent!B:B, "")</f>
        <v>45.64</v>
      </c>
      <c r="E84">
        <v>6.5</v>
      </c>
      <c r="F84" s="10">
        <f>_xlfn.XLOOKUP(
  A84,
  CPI!D:D,
  CPI!C:C,
  "",
  -1
)</f>
        <v>5.47</v>
      </c>
      <c r="G84">
        <v>29627</v>
      </c>
    </row>
    <row r="85" spans="1:7">
      <c r="A85" s="1">
        <v>42492</v>
      </c>
      <c r="B85">
        <v>30213</v>
      </c>
      <c r="C85">
        <f>_xlfn.XLOOKUP(A85, USD!A:A, USD!B:B, "")</f>
        <v>66.346000000000004</v>
      </c>
      <c r="D85">
        <f>_xlfn.XLOOKUP(A85, Brent!A:A, Brent!B:B, "")</f>
        <v>45.82</v>
      </c>
      <c r="E85">
        <f>_xlfn.XLOOKUP(
  A85,
  Repo!A:A,
  Repo!B:B,
  "",
  -1
)</f>
        <v>6.5</v>
      </c>
      <c r="F85" s="10">
        <f>_xlfn.XLOOKUP(
  A85,
  CPI!D:D,
  CPI!C:C,
  "",
  -1
)</f>
        <v>5.76</v>
      </c>
      <c r="G85">
        <v>30138</v>
      </c>
    </row>
    <row r="86" spans="1:7">
      <c r="A86" s="1">
        <v>42493</v>
      </c>
      <c r="B86">
        <v>30154</v>
      </c>
      <c r="C86">
        <f>_xlfn.XLOOKUP(A86, USD!A:A, USD!B:B, "")</f>
        <v>66.558000000000007</v>
      </c>
      <c r="D86">
        <f>_xlfn.XLOOKUP(A86, Brent!A:A, Brent!B:B, "")</f>
        <v>43.09</v>
      </c>
      <c r="E86">
        <f>_xlfn.XLOOKUP(
  A86,
  Repo!A:A,
  Repo!B:B,
  "",
  -1
)</f>
        <v>6.5</v>
      </c>
      <c r="F86" s="10">
        <f>_xlfn.XLOOKUP(
  A86,
  CPI!D:D,
  CPI!C:C,
  "",
  -1
)</f>
        <v>5.76</v>
      </c>
      <c r="G86">
        <v>30213</v>
      </c>
    </row>
    <row r="87" spans="1:7">
      <c r="A87" s="1">
        <v>42494</v>
      </c>
      <c r="B87">
        <v>29934</v>
      </c>
      <c r="C87">
        <f>_xlfn.XLOOKUP(A87, USD!A:A, USD!B:B, "")</f>
        <v>66.626999999999995</v>
      </c>
      <c r="D87">
        <f>_xlfn.XLOOKUP(A87, Brent!A:A, Brent!B:B, "")</f>
        <v>43.08</v>
      </c>
      <c r="E87">
        <f>_xlfn.XLOOKUP(
  A87,
  Repo!A:A,
  Repo!B:B,
  "",
  -1
)</f>
        <v>6.5</v>
      </c>
      <c r="F87" s="10">
        <f>_xlfn.XLOOKUP(
  A87,
  CPI!D:D,
  CPI!C:C,
  "",
  -1
)</f>
        <v>5.76</v>
      </c>
      <c r="G87">
        <v>30154</v>
      </c>
    </row>
    <row r="88" spans="1:7">
      <c r="A88" s="1">
        <v>42495</v>
      </c>
      <c r="B88">
        <v>29868</v>
      </c>
      <c r="C88">
        <f>_xlfn.XLOOKUP(A88, USD!A:A, USD!B:B, "")</f>
        <v>66.558000000000007</v>
      </c>
      <c r="D88">
        <f>_xlfn.XLOOKUP(A88, Brent!A:A, Brent!B:B, "")</f>
        <v>44.39</v>
      </c>
      <c r="E88">
        <f>_xlfn.XLOOKUP(
  A88,
  Repo!A:A,
  Repo!B:B,
  "",
  -1
)</f>
        <v>6.5</v>
      </c>
      <c r="F88" s="10">
        <f>_xlfn.XLOOKUP(
  A88,
  CPI!D:D,
  CPI!C:C,
  "",
  -1
)</f>
        <v>5.76</v>
      </c>
      <c r="G88">
        <v>29934</v>
      </c>
    </row>
    <row r="89" spans="1:7">
      <c r="A89" s="1">
        <v>42496</v>
      </c>
      <c r="B89">
        <v>30366</v>
      </c>
      <c r="C89">
        <f>_xlfn.XLOOKUP(A89, USD!A:A, USD!B:B, "")</f>
        <v>66.599999999999994</v>
      </c>
      <c r="D89">
        <f>_xlfn.XLOOKUP(A89, Brent!A:A, Brent!B:B, "")</f>
        <v>44.6</v>
      </c>
      <c r="E89">
        <f>_xlfn.XLOOKUP(
  A89,
  Repo!A:A,
  Repo!B:B,
  "",
  -1
)</f>
        <v>6.5</v>
      </c>
      <c r="F89" s="10">
        <f>_xlfn.XLOOKUP(
  A89,
  CPI!D:D,
  CPI!C:C,
  "",
  -1
)</f>
        <v>5.76</v>
      </c>
      <c r="G89">
        <v>29868</v>
      </c>
    </row>
    <row r="90" spans="1:7">
      <c r="A90" s="1">
        <v>42499</v>
      </c>
      <c r="B90">
        <v>29805</v>
      </c>
      <c r="C90">
        <f>_xlfn.XLOOKUP(A90, USD!A:A, USD!B:B, "")</f>
        <v>66.751999999999995</v>
      </c>
      <c r="D90">
        <f>_xlfn.XLOOKUP(A90, Brent!A:A, Brent!B:B, "")</f>
        <v>42.43</v>
      </c>
      <c r="E90">
        <f>_xlfn.XLOOKUP(
  A90,
  Repo!A:A,
  Repo!B:B,
  "",
  -1
)</f>
        <v>6.5</v>
      </c>
      <c r="F90" s="10">
        <f>_xlfn.XLOOKUP(
  A90,
  CPI!D:D,
  CPI!C:C,
  "",
  -1
)</f>
        <v>5.76</v>
      </c>
      <c r="G90">
        <v>30366</v>
      </c>
    </row>
    <row r="91" spans="1:7">
      <c r="A91" s="1">
        <v>42500</v>
      </c>
      <c r="B91">
        <v>29785</v>
      </c>
      <c r="C91">
        <f>_xlfn.XLOOKUP(A91, USD!A:A, USD!B:B, "")</f>
        <v>66.631</v>
      </c>
      <c r="D91">
        <f>_xlfn.XLOOKUP(A91, Brent!A:A, Brent!B:B, "")</f>
        <v>44.01</v>
      </c>
      <c r="E91">
        <f>_xlfn.XLOOKUP(
  A91,
  Repo!A:A,
  Repo!B:B,
  "",
  -1
)</f>
        <v>6.5</v>
      </c>
      <c r="F91" s="10">
        <f>_xlfn.XLOOKUP(
  A91,
  CPI!D:D,
  CPI!C:C,
  "",
  -1
)</f>
        <v>5.76</v>
      </c>
      <c r="G91">
        <v>29805</v>
      </c>
    </row>
    <row r="92" spans="1:7">
      <c r="A92" s="1">
        <v>42501</v>
      </c>
      <c r="B92">
        <v>29933</v>
      </c>
      <c r="C92">
        <f>_xlfn.XLOOKUP(A92, USD!A:A, USD!B:B, "")</f>
        <v>66.561000000000007</v>
      </c>
      <c r="D92">
        <f>_xlfn.XLOOKUP(A92, Brent!A:A, Brent!B:B, "")</f>
        <v>46.08</v>
      </c>
      <c r="E92">
        <f>_xlfn.XLOOKUP(
  A92,
  Repo!A:A,
  Repo!B:B,
  "",
  -1
)</f>
        <v>6.5</v>
      </c>
      <c r="F92" s="10">
        <f>_xlfn.XLOOKUP(
  A92,
  CPI!D:D,
  CPI!C:C,
  "",
  -1
)</f>
        <v>5.76</v>
      </c>
      <c r="G92">
        <v>29785</v>
      </c>
    </row>
    <row r="93" spans="1:7">
      <c r="A93" s="1">
        <v>42502</v>
      </c>
      <c r="B93">
        <v>29904</v>
      </c>
      <c r="C93">
        <f>_xlfn.XLOOKUP(A93, USD!A:A, USD!B:B, "")</f>
        <v>66.757000000000005</v>
      </c>
      <c r="D93">
        <f>_xlfn.XLOOKUP(A93, Brent!A:A, Brent!B:B, "")</f>
        <v>46.43</v>
      </c>
      <c r="E93">
        <f>_xlfn.XLOOKUP(
  A93,
  Repo!A:A,
  Repo!B:B,
  "",
  -1
)</f>
        <v>6.5</v>
      </c>
      <c r="F93" s="10">
        <f>_xlfn.XLOOKUP(
  A93,
  CPI!D:D,
  CPI!C:C,
  "",
  -1
)</f>
        <v>5.76</v>
      </c>
      <c r="G93">
        <v>29933</v>
      </c>
    </row>
    <row r="94" spans="1:7">
      <c r="A94" s="1">
        <v>42503</v>
      </c>
      <c r="B94">
        <v>30023</v>
      </c>
      <c r="C94">
        <f>_xlfn.XLOOKUP(A94, USD!A:A, USD!B:B, "")</f>
        <v>66.855000000000004</v>
      </c>
      <c r="D94">
        <f>_xlfn.XLOOKUP(A94, Brent!A:A, Brent!B:B, "")</f>
        <v>47.05</v>
      </c>
      <c r="E94">
        <f>_xlfn.XLOOKUP(
  A94,
  Repo!A:A,
  Repo!B:B,
  "",
  -1
)</f>
        <v>6.5</v>
      </c>
      <c r="F94" s="10">
        <f>_xlfn.XLOOKUP(
  A94,
  CPI!D:D,
  CPI!C:C,
  "",
  -1
)</f>
        <v>5.76</v>
      </c>
      <c r="G94">
        <v>29904</v>
      </c>
    </row>
    <row r="95" spans="1:7">
      <c r="A95" s="1">
        <v>42506</v>
      </c>
      <c r="B95">
        <v>29963</v>
      </c>
      <c r="C95">
        <f>_xlfn.XLOOKUP(A95, USD!A:A, USD!B:B, "")</f>
        <v>66.843999999999994</v>
      </c>
      <c r="D95">
        <f>_xlfn.XLOOKUP(A95, Brent!A:A, Brent!B:B, "")</f>
        <v>48.49</v>
      </c>
      <c r="E95">
        <f>_xlfn.XLOOKUP(
  A95,
  Repo!A:A,
  Repo!B:B,
  "",
  -1
)</f>
        <v>6.5</v>
      </c>
      <c r="F95" s="10">
        <f>_xlfn.XLOOKUP(
  A95,
  CPI!D:D,
  CPI!C:C,
  "",
  -1
)</f>
        <v>5.76</v>
      </c>
      <c r="G95">
        <v>30023</v>
      </c>
    </row>
    <row r="96" spans="1:7">
      <c r="A96" s="1">
        <v>42507</v>
      </c>
      <c r="B96">
        <v>30045</v>
      </c>
      <c r="C96">
        <f>_xlfn.XLOOKUP(A96, USD!A:A, USD!B:B, "")</f>
        <v>66.825000000000003</v>
      </c>
      <c r="D96">
        <f>_xlfn.XLOOKUP(A96, Brent!A:A, Brent!B:B, "")</f>
        <v>48.71</v>
      </c>
      <c r="E96">
        <f>_xlfn.XLOOKUP(
  A96,
  Repo!A:A,
  Repo!B:B,
  "",
  -1
)</f>
        <v>6.5</v>
      </c>
      <c r="F96" s="10">
        <f>_xlfn.XLOOKUP(
  A96,
  CPI!D:D,
  CPI!C:C,
  "",
  -1
)</f>
        <v>5.76</v>
      </c>
      <c r="G96">
        <v>29963</v>
      </c>
    </row>
    <row r="97" spans="1:7">
      <c r="A97" s="1">
        <v>42508</v>
      </c>
      <c r="B97">
        <v>30049</v>
      </c>
      <c r="C97">
        <f>_xlfn.XLOOKUP(A97, USD!A:A, USD!B:B, "")</f>
        <v>67.14</v>
      </c>
      <c r="D97">
        <f>_xlfn.XLOOKUP(A97, Brent!A:A, Brent!B:B, "")</f>
        <v>48.93</v>
      </c>
      <c r="E97">
        <f>_xlfn.XLOOKUP(
  A97,
  Repo!A:A,
  Repo!B:B,
  "",
  -1
)</f>
        <v>6.5</v>
      </c>
      <c r="F97" s="10">
        <f>_xlfn.XLOOKUP(
  A97,
  CPI!D:D,
  CPI!C:C,
  "",
  -1
)</f>
        <v>5.76</v>
      </c>
      <c r="G97">
        <v>30045</v>
      </c>
    </row>
    <row r="98" spans="1:7">
      <c r="A98" s="1">
        <v>42509</v>
      </c>
      <c r="B98">
        <v>29800</v>
      </c>
      <c r="C98">
        <f>_xlfn.XLOOKUP(A98, USD!A:A, USD!B:B, "")</f>
        <v>67.436000000000007</v>
      </c>
      <c r="D98">
        <f>_xlfn.XLOOKUP(A98, Brent!A:A, Brent!B:B, "")</f>
        <v>47.01</v>
      </c>
      <c r="E98">
        <f>_xlfn.XLOOKUP(
  A98,
  Repo!A:A,
  Repo!B:B,
  "",
  -1
)</f>
        <v>6.5</v>
      </c>
      <c r="F98" s="10">
        <f>_xlfn.XLOOKUP(
  A98,
  CPI!D:D,
  CPI!C:C,
  "",
  -1
)</f>
        <v>5.76</v>
      </c>
      <c r="G98">
        <v>30049</v>
      </c>
    </row>
    <row r="99" spans="1:7">
      <c r="A99" s="1">
        <v>42510</v>
      </c>
      <c r="B99">
        <v>29693</v>
      </c>
      <c r="C99">
        <f>_xlfn.XLOOKUP(A99, USD!A:A, USD!B:B, "")</f>
        <v>67.408000000000001</v>
      </c>
      <c r="D99">
        <f>_xlfn.XLOOKUP(A99, Brent!A:A, Brent!B:B, "")</f>
        <v>48.54</v>
      </c>
      <c r="E99">
        <f>_xlfn.XLOOKUP(
  A99,
  Repo!A:A,
  Repo!B:B,
  "",
  -1
)</f>
        <v>6.5</v>
      </c>
      <c r="F99" s="10">
        <f>_xlfn.XLOOKUP(
  A99,
  CPI!D:D,
  CPI!C:C,
  "",
  -1
)</f>
        <v>5.76</v>
      </c>
      <c r="G99">
        <v>29800</v>
      </c>
    </row>
    <row r="100" spans="1:7">
      <c r="A100" s="1">
        <v>42513</v>
      </c>
      <c r="B100">
        <v>29682</v>
      </c>
      <c r="C100">
        <f>_xlfn.XLOOKUP(A100, USD!A:A, USD!B:B, "")</f>
        <v>67.409000000000006</v>
      </c>
      <c r="D100">
        <f>_xlfn.XLOOKUP(A100, Brent!A:A, Brent!B:B, "")</f>
        <v>47.77</v>
      </c>
      <c r="E100">
        <f>_xlfn.XLOOKUP(
  A100,
  Repo!A:A,
  Repo!B:B,
  "",
  -1
)</f>
        <v>6.5</v>
      </c>
      <c r="F100" s="10">
        <f>_xlfn.XLOOKUP(
  A100,
  CPI!D:D,
  CPI!C:C,
  "",
  -1
)</f>
        <v>5.76</v>
      </c>
      <c r="G100">
        <v>29693</v>
      </c>
    </row>
    <row r="101" spans="1:7">
      <c r="A101" s="1">
        <v>42514</v>
      </c>
      <c r="B101">
        <v>29306</v>
      </c>
      <c r="C101">
        <f>_xlfn.XLOOKUP(A101, USD!A:A, USD!B:B, "")</f>
        <v>67.63</v>
      </c>
      <c r="D101">
        <f>_xlfn.XLOOKUP(A101, Brent!A:A, Brent!B:B, "")</f>
        <v>48.42</v>
      </c>
      <c r="E101">
        <f>_xlfn.XLOOKUP(
  A101,
  Repo!A:A,
  Repo!B:B,
  "",
  -1
)</f>
        <v>6.5</v>
      </c>
      <c r="F101" s="10">
        <f>_xlfn.XLOOKUP(
  A101,
  CPI!D:D,
  CPI!C:C,
  "",
  -1
)</f>
        <v>5.76</v>
      </c>
      <c r="G101">
        <v>29682</v>
      </c>
    </row>
    <row r="102" spans="1:7">
      <c r="A102" s="1">
        <v>42515</v>
      </c>
      <c r="B102">
        <v>28945</v>
      </c>
      <c r="C102">
        <f>_xlfn.XLOOKUP(A102, USD!A:A, USD!B:B, "")</f>
        <v>67.272999999999996</v>
      </c>
      <c r="D102">
        <f>_xlfn.XLOOKUP(A102, Brent!A:A, Brent!B:B, "")</f>
        <v>48.87</v>
      </c>
      <c r="E102">
        <f>_xlfn.XLOOKUP(
  A102,
  Repo!A:A,
  Repo!B:B,
  "",
  -1
)</f>
        <v>6.5</v>
      </c>
      <c r="F102" s="10">
        <f>_xlfn.XLOOKUP(
  A102,
  CPI!D:D,
  CPI!C:C,
  "",
  -1
)</f>
        <v>5.76</v>
      </c>
      <c r="G102">
        <v>29306</v>
      </c>
    </row>
    <row r="103" spans="1:7">
      <c r="A103" s="1">
        <v>42516</v>
      </c>
      <c r="B103">
        <v>28729</v>
      </c>
      <c r="C103">
        <f>_xlfn.XLOOKUP(A103, USD!A:A, USD!B:B, "")</f>
        <v>66.927000000000007</v>
      </c>
      <c r="D103">
        <f>_xlfn.XLOOKUP(A103, Brent!A:A, Brent!B:B, "")</f>
        <v>49.52</v>
      </c>
      <c r="E103">
        <f>_xlfn.XLOOKUP(
  A103,
  Repo!A:A,
  Repo!B:B,
  "",
  -1
)</f>
        <v>6.5</v>
      </c>
      <c r="F103" s="10">
        <f>_xlfn.XLOOKUP(
  A103,
  CPI!D:D,
  CPI!C:C,
  "",
  -1
)</f>
        <v>5.76</v>
      </c>
      <c r="G103">
        <v>28945</v>
      </c>
    </row>
    <row r="104" spans="1:7">
      <c r="A104" s="1">
        <v>42517</v>
      </c>
      <c r="B104">
        <v>28590</v>
      </c>
      <c r="C104">
        <f>_xlfn.XLOOKUP(A104, USD!A:A, USD!B:B, "")</f>
        <v>67.031000000000006</v>
      </c>
      <c r="D104">
        <f>_xlfn.XLOOKUP(A104, Brent!A:A, Brent!B:B, "")</f>
        <v>49.09</v>
      </c>
      <c r="E104">
        <f>_xlfn.XLOOKUP(
  A104,
  Repo!A:A,
  Repo!B:B,
  "",
  -1
)</f>
        <v>6.5</v>
      </c>
      <c r="F104" s="10">
        <f>_xlfn.XLOOKUP(
  A104,
  CPI!D:D,
  CPI!C:C,
  "",
  -1
)</f>
        <v>5.76</v>
      </c>
      <c r="G104">
        <v>28729</v>
      </c>
    </row>
    <row r="105" spans="1:7">
      <c r="A105" s="1">
        <v>42521</v>
      </c>
      <c r="B105">
        <v>28610</v>
      </c>
      <c r="C105">
        <f>_xlfn.XLOOKUP(A105, USD!A:A, USD!B:B, "")</f>
        <v>67.209000000000003</v>
      </c>
      <c r="D105">
        <f>_xlfn.XLOOKUP(A105, Brent!A:A, Brent!B:B, "")</f>
        <v>49.26</v>
      </c>
      <c r="E105">
        <f>_xlfn.XLOOKUP(
  A105,
  Repo!A:A,
  Repo!B:B,
  "",
  -1
)</f>
        <v>6.5</v>
      </c>
      <c r="F105" s="10">
        <f>_xlfn.XLOOKUP(
  A105,
  CPI!D:D,
  CPI!C:C,
  "",
  -1
)</f>
        <v>5.76</v>
      </c>
      <c r="G105">
        <v>28590</v>
      </c>
    </row>
    <row r="106" spans="1:7">
      <c r="A106" s="1">
        <v>42522</v>
      </c>
      <c r="B106">
        <v>28626</v>
      </c>
      <c r="C106">
        <f>_xlfn.XLOOKUP(A106, USD!A:A, USD!B:B, "")</f>
        <v>67.433999999999997</v>
      </c>
      <c r="D106">
        <f>_xlfn.XLOOKUP(A106, Brent!A:A, Brent!B:B, "")</f>
        <v>48.81</v>
      </c>
      <c r="E106">
        <f>_xlfn.XLOOKUP(
  A106,
  Repo!A:A,
  Repo!B:B,
  "",
  -1
)</f>
        <v>6.5</v>
      </c>
      <c r="F106" s="10">
        <f>_xlfn.XLOOKUP(
  A106,
  CPI!D:D,
  CPI!C:C,
  "",
  -1
)</f>
        <v>5.77</v>
      </c>
      <c r="G106">
        <v>28610</v>
      </c>
    </row>
    <row r="107" spans="1:7">
      <c r="A107" s="1">
        <v>42523</v>
      </c>
      <c r="B107">
        <v>28554</v>
      </c>
      <c r="C107">
        <f>_xlfn.XLOOKUP(A107, USD!A:A, USD!B:B, "")</f>
        <v>67.268000000000001</v>
      </c>
      <c r="D107">
        <f>_xlfn.XLOOKUP(A107, Brent!A:A, Brent!B:B, "")</f>
        <v>49.05</v>
      </c>
      <c r="E107">
        <f>_xlfn.XLOOKUP(
  A107,
  Repo!A:A,
  Repo!B:B,
  "",
  -1
)</f>
        <v>6.5</v>
      </c>
      <c r="F107" s="10">
        <f>_xlfn.XLOOKUP(
  A107,
  CPI!D:D,
  CPI!C:C,
  "",
  -1
)</f>
        <v>5.77</v>
      </c>
      <c r="G107">
        <v>28626</v>
      </c>
    </row>
    <row r="108" spans="1:7">
      <c r="A108" s="1">
        <v>42524</v>
      </c>
      <c r="B108">
        <v>29216</v>
      </c>
      <c r="C108">
        <f>_xlfn.XLOOKUP(A108, USD!A:A, USD!B:B, "")</f>
        <v>67</v>
      </c>
      <c r="D108">
        <f>_xlfn.XLOOKUP(A108, Brent!A:A, Brent!B:B, "")</f>
        <v>48.5</v>
      </c>
      <c r="E108">
        <f>_xlfn.XLOOKUP(
  A108,
  Repo!A:A,
  Repo!B:B,
  "",
  -1
)</f>
        <v>6.5</v>
      </c>
      <c r="F108" s="10">
        <f>_xlfn.XLOOKUP(
  A108,
  CPI!D:D,
  CPI!C:C,
  "",
  -1
)</f>
        <v>5.77</v>
      </c>
      <c r="G108">
        <v>28554</v>
      </c>
    </row>
    <row r="109" spans="1:7">
      <c r="A109" s="1">
        <v>42527</v>
      </c>
      <c r="B109">
        <v>29329</v>
      </c>
      <c r="C109">
        <f>_xlfn.XLOOKUP(A109, USD!A:A, USD!B:B, "")</f>
        <v>66.790000000000006</v>
      </c>
      <c r="D109">
        <f>_xlfn.XLOOKUP(A109, Brent!A:A, Brent!B:B, "")</f>
        <v>48.94</v>
      </c>
      <c r="E109">
        <f>_xlfn.XLOOKUP(
  A109,
  Repo!A:A,
  Repo!B:B,
  "",
  -1
)</f>
        <v>6.5</v>
      </c>
      <c r="F109" s="10">
        <f>_xlfn.XLOOKUP(
  A109,
  CPI!D:D,
  CPI!C:C,
  "",
  -1
)</f>
        <v>5.77</v>
      </c>
      <c r="G109">
        <v>29216</v>
      </c>
    </row>
    <row r="110" spans="1:7">
      <c r="A110" s="1">
        <v>42528</v>
      </c>
      <c r="B110">
        <v>29239</v>
      </c>
      <c r="C110">
        <f>_xlfn.XLOOKUP(A110, USD!A:A, USD!B:B, "")</f>
        <v>66.658000000000001</v>
      </c>
      <c r="D110">
        <f>_xlfn.XLOOKUP(A110, Brent!A:A, Brent!B:B, "")</f>
        <v>49.76</v>
      </c>
      <c r="E110">
        <f>_xlfn.XLOOKUP(
  A110,
  Repo!A:A,
  Repo!B:B,
  "",
  -1
)</f>
        <v>6.5</v>
      </c>
      <c r="F110" s="10">
        <f>_xlfn.XLOOKUP(
  A110,
  CPI!D:D,
  CPI!C:C,
  "",
  -1
)</f>
        <v>5.77</v>
      </c>
      <c r="G110">
        <v>29329</v>
      </c>
    </row>
    <row r="111" spans="1:7">
      <c r="A111" s="1">
        <v>42529</v>
      </c>
      <c r="B111">
        <v>29491</v>
      </c>
      <c r="C111">
        <f>_xlfn.XLOOKUP(A111, USD!A:A, USD!B:B, "")</f>
        <v>66.5</v>
      </c>
      <c r="D111">
        <f>_xlfn.XLOOKUP(A111, Brent!A:A, Brent!B:B, "")</f>
        <v>50.73</v>
      </c>
      <c r="E111">
        <f>_xlfn.XLOOKUP(
  A111,
  Repo!A:A,
  Repo!B:B,
  "",
  -1
)</f>
        <v>6.5</v>
      </c>
      <c r="F111" s="10">
        <f>_xlfn.XLOOKUP(
  A111,
  CPI!D:D,
  CPI!C:C,
  "",
  -1
)</f>
        <v>5.77</v>
      </c>
      <c r="G111">
        <v>29239</v>
      </c>
    </row>
    <row r="112" spans="1:7">
      <c r="A112" s="1">
        <v>42530</v>
      </c>
      <c r="B112">
        <v>29757</v>
      </c>
      <c r="C112">
        <f>_xlfn.XLOOKUP(A112, USD!A:A, USD!B:B, "")</f>
        <v>66.753</v>
      </c>
      <c r="D112">
        <f>_xlfn.XLOOKUP(A112, Brent!A:A, Brent!B:B, "")</f>
        <v>50.59</v>
      </c>
      <c r="E112">
        <f>_xlfn.XLOOKUP(
  A112,
  Repo!A:A,
  Repo!B:B,
  "",
  -1
)</f>
        <v>6.5</v>
      </c>
      <c r="F112" s="10">
        <f>_xlfn.XLOOKUP(
  A112,
  CPI!D:D,
  CPI!C:C,
  "",
  -1
)</f>
        <v>5.77</v>
      </c>
      <c r="G112">
        <v>29491</v>
      </c>
    </row>
    <row r="113" spans="1:7">
      <c r="A113" s="1">
        <v>42531</v>
      </c>
      <c r="B113">
        <v>29851</v>
      </c>
      <c r="C113">
        <f>_xlfn.XLOOKUP(A113, USD!A:A, USD!B:B, "")</f>
        <v>66.951999999999998</v>
      </c>
      <c r="D113">
        <f>_xlfn.XLOOKUP(A113, Brent!A:A, Brent!B:B, "")</f>
        <v>49.7</v>
      </c>
      <c r="E113">
        <f>_xlfn.XLOOKUP(
  A113,
  Repo!A:A,
  Repo!B:B,
  "",
  -1
)</f>
        <v>6.5</v>
      </c>
      <c r="F113" s="10">
        <f>_xlfn.XLOOKUP(
  A113,
  CPI!D:D,
  CPI!C:C,
  "",
  -1
)</f>
        <v>5.77</v>
      </c>
      <c r="G113">
        <v>29757</v>
      </c>
    </row>
    <row r="114" spans="1:7">
      <c r="A114" s="1">
        <v>42534</v>
      </c>
      <c r="B114">
        <v>30181</v>
      </c>
      <c r="C114">
        <f>_xlfn.XLOOKUP(A114, USD!A:A, USD!B:B, "")</f>
        <v>67.186999999999998</v>
      </c>
      <c r="D114">
        <f>_xlfn.XLOOKUP(A114, Brent!A:A, Brent!B:B, "")</f>
        <v>49.36</v>
      </c>
      <c r="E114">
        <f>_xlfn.XLOOKUP(
  A114,
  Repo!A:A,
  Repo!B:B,
  "",
  -1
)</f>
        <v>6.5</v>
      </c>
      <c r="F114" s="10">
        <f>_xlfn.XLOOKUP(
  A114,
  CPI!D:D,
  CPI!C:C,
  "",
  -1
)</f>
        <v>5.77</v>
      </c>
      <c r="G114">
        <v>29851</v>
      </c>
    </row>
    <row r="115" spans="1:7">
      <c r="A115" s="1">
        <v>42535</v>
      </c>
      <c r="B115">
        <v>30357</v>
      </c>
      <c r="C115">
        <f>_xlfn.XLOOKUP(A115, USD!A:A, USD!B:B, "")</f>
        <v>67.292000000000002</v>
      </c>
      <c r="D115">
        <f>_xlfn.XLOOKUP(A115, Brent!A:A, Brent!B:B, "")</f>
        <v>47.88</v>
      </c>
      <c r="E115">
        <f>_xlfn.XLOOKUP(
  A115,
  Repo!A:A,
  Repo!B:B,
  "",
  -1
)</f>
        <v>6.5</v>
      </c>
      <c r="F115" s="10">
        <f>_xlfn.XLOOKUP(
  A115,
  CPI!D:D,
  CPI!C:C,
  "",
  -1
)</f>
        <v>5.77</v>
      </c>
      <c r="G115">
        <v>30181</v>
      </c>
    </row>
    <row r="116" spans="1:7">
      <c r="A116" s="1">
        <v>42536</v>
      </c>
      <c r="B116">
        <v>30262</v>
      </c>
      <c r="C116">
        <f>_xlfn.XLOOKUP(A116, USD!A:A, USD!B:B, "")</f>
        <v>67.078999999999994</v>
      </c>
      <c r="D116">
        <f>_xlfn.XLOOKUP(A116, Brent!A:A, Brent!B:B, "")</f>
        <v>47.47</v>
      </c>
      <c r="E116">
        <f>_xlfn.XLOOKUP(
  A116,
  Repo!A:A,
  Repo!B:B,
  "",
  -1
)</f>
        <v>6.5</v>
      </c>
      <c r="F116" s="10">
        <f>_xlfn.XLOOKUP(
  A116,
  CPI!D:D,
  CPI!C:C,
  "",
  -1
)</f>
        <v>5.77</v>
      </c>
      <c r="G116">
        <v>30357</v>
      </c>
    </row>
    <row r="117" spans="1:7">
      <c r="A117" s="1">
        <v>42537</v>
      </c>
      <c r="B117">
        <v>30392</v>
      </c>
      <c r="C117">
        <f>_xlfn.XLOOKUP(A117, USD!A:A, USD!B:B, "")</f>
        <v>67.314999999999998</v>
      </c>
      <c r="D117">
        <f>_xlfn.XLOOKUP(A117, Brent!A:A, Brent!B:B, "")</f>
        <v>45.66</v>
      </c>
      <c r="E117">
        <f>_xlfn.XLOOKUP(
  A117,
  Repo!A:A,
  Repo!B:B,
  "",
  -1
)</f>
        <v>6.5</v>
      </c>
      <c r="F117" s="10">
        <f>_xlfn.XLOOKUP(
  A117,
  CPI!D:D,
  CPI!C:C,
  "",
  -1
)</f>
        <v>5.77</v>
      </c>
      <c r="G117">
        <v>30262</v>
      </c>
    </row>
    <row r="118" spans="1:7">
      <c r="A118" s="1">
        <v>42538</v>
      </c>
      <c r="B118">
        <v>30373</v>
      </c>
      <c r="C118">
        <f>_xlfn.XLOOKUP(A118, USD!A:A, USD!B:B, "")</f>
        <v>67.073999999999998</v>
      </c>
      <c r="D118">
        <f>_xlfn.XLOOKUP(A118, Brent!A:A, Brent!B:B, "")</f>
        <v>46.57</v>
      </c>
      <c r="E118">
        <f>_xlfn.XLOOKUP(
  A118,
  Repo!A:A,
  Repo!B:B,
  "",
  -1
)</f>
        <v>6.5</v>
      </c>
      <c r="F118" s="10">
        <f>_xlfn.XLOOKUP(
  A118,
  CPI!D:D,
  CPI!C:C,
  "",
  -1
)</f>
        <v>5.77</v>
      </c>
      <c r="G118">
        <v>30392</v>
      </c>
    </row>
    <row r="119" spans="1:7">
      <c r="A119" s="1">
        <v>42541</v>
      </c>
      <c r="B119">
        <v>30478</v>
      </c>
      <c r="C119">
        <f>_xlfn.XLOOKUP(A119, USD!A:A, USD!B:B, "")</f>
        <v>67.551000000000002</v>
      </c>
      <c r="D119">
        <f>_xlfn.XLOOKUP(A119, Brent!A:A, Brent!B:B, "")</f>
        <v>48.68</v>
      </c>
      <c r="E119">
        <f>_xlfn.XLOOKUP(
  A119,
  Repo!A:A,
  Repo!B:B,
  "",
  -1
)</f>
        <v>6.5</v>
      </c>
      <c r="F119" s="10">
        <f>_xlfn.XLOOKUP(
  A119,
  CPI!D:D,
  CPI!C:C,
  "",
  -1
)</f>
        <v>5.77</v>
      </c>
      <c r="G119">
        <v>30373</v>
      </c>
    </row>
    <row r="120" spans="1:7">
      <c r="A120" s="1">
        <v>42542</v>
      </c>
      <c r="B120">
        <v>30072</v>
      </c>
      <c r="C120">
        <f>_xlfn.XLOOKUP(A120, USD!A:A, USD!B:B, "")</f>
        <v>67.623999999999995</v>
      </c>
      <c r="D120">
        <f>_xlfn.XLOOKUP(A120, Brent!A:A, Brent!B:B, "")</f>
        <v>48.18</v>
      </c>
      <c r="E120">
        <f>_xlfn.XLOOKUP(
  A120,
  Repo!A:A,
  Repo!B:B,
  "",
  -1
)</f>
        <v>6.5</v>
      </c>
      <c r="F120" s="10">
        <f>_xlfn.XLOOKUP(
  A120,
  CPI!D:D,
  CPI!C:C,
  "",
  -1
)</f>
        <v>5.77</v>
      </c>
      <c r="G120">
        <v>30478</v>
      </c>
    </row>
    <row r="121" spans="1:7">
      <c r="A121" s="1">
        <v>42543</v>
      </c>
      <c r="B121">
        <v>29898</v>
      </c>
      <c r="C121">
        <f>_xlfn.XLOOKUP(A121, USD!A:A, USD!B:B, "")</f>
        <v>67.448999999999998</v>
      </c>
      <c r="D121">
        <f>_xlfn.XLOOKUP(A121, Brent!A:A, Brent!B:B, "")</f>
        <v>48.43</v>
      </c>
      <c r="E121">
        <f>_xlfn.XLOOKUP(
  A121,
  Repo!A:A,
  Repo!B:B,
  "",
  -1
)</f>
        <v>6.5</v>
      </c>
      <c r="F121" s="10">
        <f>_xlfn.XLOOKUP(
  A121,
  CPI!D:D,
  CPI!C:C,
  "",
  -1
)</f>
        <v>5.77</v>
      </c>
      <c r="G121">
        <v>30072</v>
      </c>
    </row>
    <row r="122" spans="1:7">
      <c r="A122" s="1">
        <v>42544</v>
      </c>
      <c r="B122">
        <v>29686</v>
      </c>
      <c r="C122">
        <f>_xlfn.XLOOKUP(A122, USD!A:A, USD!B:B, "")</f>
        <v>67.278999999999996</v>
      </c>
      <c r="D122">
        <f>_xlfn.XLOOKUP(A122, Brent!A:A, Brent!B:B, "")</f>
        <v>48.63</v>
      </c>
      <c r="E122">
        <f>_xlfn.XLOOKUP(
  A122,
  Repo!A:A,
  Repo!B:B,
  "",
  -1
)</f>
        <v>6.5</v>
      </c>
      <c r="F122" s="10">
        <f>_xlfn.XLOOKUP(
  A122,
  CPI!D:D,
  CPI!C:C,
  "",
  -1
)</f>
        <v>5.77</v>
      </c>
      <c r="G122">
        <v>29898</v>
      </c>
    </row>
    <row r="123" spans="1:7">
      <c r="A123" s="1">
        <v>42545</v>
      </c>
      <c r="B123">
        <v>31131</v>
      </c>
      <c r="C123">
        <f>_xlfn.XLOOKUP(A123, USD!A:A, USD!B:B, "")</f>
        <v>67.885000000000005</v>
      </c>
      <c r="D123">
        <f>_xlfn.XLOOKUP(A123, Brent!A:A, Brent!B:B, "")</f>
        <v>46.69</v>
      </c>
      <c r="E123">
        <f>_xlfn.XLOOKUP(
  A123,
  Repo!A:A,
  Repo!B:B,
  "",
  -1
)</f>
        <v>6.5</v>
      </c>
      <c r="F123" s="10">
        <f>_xlfn.XLOOKUP(
  A123,
  CPI!D:D,
  CPI!C:C,
  "",
  -1
)</f>
        <v>5.77</v>
      </c>
      <c r="G123">
        <v>29686</v>
      </c>
    </row>
    <row r="124" spans="1:7">
      <c r="A124" s="1">
        <v>42548</v>
      </c>
      <c r="B124">
        <v>31218</v>
      </c>
      <c r="C124">
        <f>_xlfn.XLOOKUP(A124, USD!A:A, USD!B:B, "")</f>
        <v>67.914000000000001</v>
      </c>
      <c r="D124">
        <f>_xlfn.XLOOKUP(A124, Brent!A:A, Brent!B:B, "")</f>
        <v>45.07</v>
      </c>
      <c r="E124">
        <f>_xlfn.XLOOKUP(
  A124,
  Repo!A:A,
  Repo!B:B,
  "",
  -1
)</f>
        <v>6.5</v>
      </c>
      <c r="F124" s="10">
        <f>_xlfn.XLOOKUP(
  A124,
  CPI!D:D,
  CPI!C:C,
  "",
  -1
)</f>
        <v>5.77</v>
      </c>
      <c r="G124">
        <v>31131</v>
      </c>
    </row>
    <row r="125" spans="1:7">
      <c r="A125" s="1">
        <v>42549</v>
      </c>
      <c r="B125">
        <v>30999</v>
      </c>
      <c r="C125">
        <f>_xlfn.XLOOKUP(A125, USD!A:A, USD!B:B, "")</f>
        <v>67.715000000000003</v>
      </c>
      <c r="D125">
        <f>_xlfn.XLOOKUP(A125, Brent!A:A, Brent!B:B, "")</f>
        <v>46.29</v>
      </c>
      <c r="E125">
        <f>_xlfn.XLOOKUP(
  A125,
  Repo!A:A,
  Repo!B:B,
  "",
  -1
)</f>
        <v>6.5</v>
      </c>
      <c r="F125" s="10">
        <f>_xlfn.XLOOKUP(
  A125,
  CPI!D:D,
  CPI!C:C,
  "",
  -1
)</f>
        <v>5.77</v>
      </c>
      <c r="G125">
        <v>31218</v>
      </c>
    </row>
    <row r="126" spans="1:7">
      <c r="A126" s="1">
        <v>42550</v>
      </c>
      <c r="B126">
        <v>30986</v>
      </c>
      <c r="C126">
        <f>_xlfn.XLOOKUP(A126, USD!A:A, USD!B:B, "")</f>
        <v>67.421999999999997</v>
      </c>
      <c r="D126">
        <f>_xlfn.XLOOKUP(A126, Brent!A:A, Brent!B:B, "")</f>
        <v>48.4</v>
      </c>
      <c r="E126">
        <f>_xlfn.XLOOKUP(
  A126,
  Repo!A:A,
  Repo!B:B,
  "",
  -1
)</f>
        <v>6.5</v>
      </c>
      <c r="F126" s="10">
        <f>_xlfn.XLOOKUP(
  A126,
  CPI!D:D,
  CPI!C:C,
  "",
  -1
)</f>
        <v>5.77</v>
      </c>
      <c r="G126">
        <v>30999</v>
      </c>
    </row>
    <row r="127" spans="1:7">
      <c r="A127" s="1">
        <v>42551</v>
      </c>
      <c r="B127">
        <v>30851</v>
      </c>
      <c r="C127">
        <f>_xlfn.XLOOKUP(A127, USD!A:A, USD!B:B, "")</f>
        <v>67.504000000000005</v>
      </c>
      <c r="D127">
        <f>_xlfn.XLOOKUP(A127, Brent!A:A, Brent!B:B, "")</f>
        <v>48.05</v>
      </c>
      <c r="E127">
        <f>_xlfn.XLOOKUP(
  A127,
  Repo!A:A,
  Repo!B:B,
  "",
  -1
)</f>
        <v>6.5</v>
      </c>
      <c r="F127" s="10">
        <f>_xlfn.XLOOKUP(
  A127,
  CPI!D:D,
  CPI!C:C,
  "",
  -1
)</f>
        <v>5.77</v>
      </c>
      <c r="G127">
        <v>30986</v>
      </c>
    </row>
    <row r="128" spans="1:7">
      <c r="A128" s="1">
        <v>42552</v>
      </c>
      <c r="B128">
        <v>31077</v>
      </c>
      <c r="C128">
        <f>_xlfn.XLOOKUP(A128, USD!A:A, USD!B:B, "")</f>
        <v>67.19</v>
      </c>
      <c r="D128">
        <f>_xlfn.XLOOKUP(A128, Brent!A:A, Brent!B:B, "")</f>
        <v>47.65</v>
      </c>
      <c r="E128">
        <f>_xlfn.XLOOKUP(
  A128,
  Repo!A:A,
  Repo!B:B,
  "",
  -1
)</f>
        <v>6.5</v>
      </c>
      <c r="F128" s="10">
        <f>_xlfn.XLOOKUP(
  A128,
  CPI!D:D,
  CPI!C:C,
  "",
  -1
)</f>
        <v>6.07</v>
      </c>
      <c r="G128">
        <v>30851</v>
      </c>
    </row>
    <row r="129" spans="1:7">
      <c r="A129" s="1">
        <v>42555</v>
      </c>
      <c r="B129">
        <v>31396</v>
      </c>
      <c r="C129">
        <f>_xlfn.XLOOKUP(A129, USD!A:A, USD!B:B, "")</f>
        <v>67.265000000000001</v>
      </c>
      <c r="D129">
        <f>_xlfn.XLOOKUP(A129, Brent!A:A, Brent!B:B, "")</f>
        <v>48.02</v>
      </c>
      <c r="E129">
        <f>_xlfn.XLOOKUP(
  A129,
  Repo!A:A,
  Repo!B:B,
  "",
  -1
)</f>
        <v>6.5</v>
      </c>
      <c r="F129" s="10">
        <f>_xlfn.XLOOKUP(
  A129,
  CPI!D:D,
  CPI!C:C,
  "",
  -1
)</f>
        <v>6.07</v>
      </c>
      <c r="G129">
        <v>31077</v>
      </c>
    </row>
    <row r="130" spans="1:7">
      <c r="A130" s="1">
        <v>42556</v>
      </c>
      <c r="B130">
        <v>30841</v>
      </c>
      <c r="C130">
        <f>_xlfn.XLOOKUP(A130, USD!A:A, USD!B:B, "")</f>
        <v>67.433999999999997</v>
      </c>
      <c r="D130">
        <f>_xlfn.XLOOKUP(A130, Brent!A:A, Brent!B:B, "")</f>
        <v>45.64</v>
      </c>
      <c r="E130">
        <f>_xlfn.XLOOKUP(
  A130,
  Repo!A:A,
  Repo!B:B,
  "",
  -1
)</f>
        <v>6.5</v>
      </c>
      <c r="F130" s="10">
        <f>_xlfn.XLOOKUP(
  A130,
  CPI!D:D,
  CPI!C:C,
  "",
  -1
)</f>
        <v>6.07</v>
      </c>
      <c r="G130">
        <v>31396</v>
      </c>
    </row>
    <row r="131" spans="1:7">
      <c r="A131" s="1">
        <v>42557</v>
      </c>
      <c r="B131">
        <v>32018</v>
      </c>
      <c r="C131">
        <f>_xlfn.XLOOKUP(A131, USD!A:A, USD!B:B, "")</f>
        <v>67.411000000000001</v>
      </c>
      <c r="D131">
        <f>_xlfn.XLOOKUP(A131, Brent!A:A, Brent!B:B, "")</f>
        <v>45.7</v>
      </c>
      <c r="E131">
        <f>_xlfn.XLOOKUP(
  A131,
  Repo!A:A,
  Repo!B:B,
  "",
  -1
)</f>
        <v>6.5</v>
      </c>
      <c r="F131" s="10">
        <f>_xlfn.XLOOKUP(
  A131,
  CPI!D:D,
  CPI!C:C,
  "",
  -1
)</f>
        <v>6.07</v>
      </c>
      <c r="G131">
        <v>30841</v>
      </c>
    </row>
    <row r="132" spans="1:7">
      <c r="A132" s="1">
        <v>42558</v>
      </c>
      <c r="B132">
        <v>31817</v>
      </c>
      <c r="C132">
        <f>_xlfn.XLOOKUP(A132, USD!A:A, USD!B:B, "")</f>
        <v>67.495000000000005</v>
      </c>
      <c r="D132">
        <f>_xlfn.XLOOKUP(A132, Brent!A:A, Brent!B:B, "")</f>
        <v>45.93</v>
      </c>
      <c r="E132">
        <f>_xlfn.XLOOKUP(
  A132,
  Repo!A:A,
  Repo!B:B,
  "",
  -1
)</f>
        <v>6.5</v>
      </c>
      <c r="F132" s="10">
        <f>_xlfn.XLOOKUP(
  A132,
  CPI!D:D,
  CPI!C:C,
  "",
  -1
)</f>
        <v>6.07</v>
      </c>
      <c r="G132">
        <v>32018</v>
      </c>
    </row>
    <row r="133" spans="1:7">
      <c r="A133" s="1">
        <v>42559</v>
      </c>
      <c r="B133">
        <v>31657</v>
      </c>
      <c r="C133">
        <f>_xlfn.XLOOKUP(A133, USD!A:A, USD!B:B, "")</f>
        <v>67.138999999999996</v>
      </c>
      <c r="D133">
        <f>_xlfn.XLOOKUP(A133, Brent!A:A, Brent!B:B, "")</f>
        <v>44.53</v>
      </c>
      <c r="E133">
        <f>_xlfn.XLOOKUP(
  A133,
  Repo!A:A,
  Repo!B:B,
  "",
  -1
)</f>
        <v>6.5</v>
      </c>
      <c r="F133" s="10">
        <f>_xlfn.XLOOKUP(
  A133,
  CPI!D:D,
  CPI!C:C,
  "",
  -1
)</f>
        <v>6.07</v>
      </c>
      <c r="G133">
        <v>31817</v>
      </c>
    </row>
    <row r="134" spans="1:7">
      <c r="A134" s="1">
        <v>42562</v>
      </c>
      <c r="B134">
        <v>31524</v>
      </c>
      <c r="C134">
        <f>_xlfn.XLOOKUP(A134, USD!A:A, USD!B:B, "")</f>
        <v>67.138000000000005</v>
      </c>
      <c r="D134">
        <f>_xlfn.XLOOKUP(A134, Brent!A:A, Brent!B:B, "")</f>
        <v>44.04</v>
      </c>
      <c r="E134">
        <f>_xlfn.XLOOKUP(
  A134,
  Repo!A:A,
  Repo!B:B,
  "",
  -1
)</f>
        <v>6.5</v>
      </c>
      <c r="F134" s="10">
        <f>_xlfn.XLOOKUP(
  A134,
  CPI!D:D,
  CPI!C:C,
  "",
  -1
)</f>
        <v>6.07</v>
      </c>
      <c r="G134">
        <v>31657</v>
      </c>
    </row>
    <row r="135" spans="1:7">
      <c r="A135" s="1">
        <v>42563</v>
      </c>
      <c r="B135">
        <v>31001</v>
      </c>
      <c r="C135">
        <f>_xlfn.XLOOKUP(A135, USD!A:A, USD!B:B, "")</f>
        <v>66.974999999999994</v>
      </c>
      <c r="D135">
        <f>_xlfn.XLOOKUP(A135, Brent!A:A, Brent!B:B, "")</f>
        <v>46.72</v>
      </c>
      <c r="E135">
        <f>_xlfn.XLOOKUP(
  A135,
  Repo!A:A,
  Repo!B:B,
  "",
  -1
)</f>
        <v>6.5</v>
      </c>
      <c r="F135" s="10">
        <f>_xlfn.XLOOKUP(
  A135,
  CPI!D:D,
  CPI!C:C,
  "",
  -1
)</f>
        <v>6.07</v>
      </c>
      <c r="G135">
        <v>31524</v>
      </c>
    </row>
    <row r="136" spans="1:7">
      <c r="A136" s="1">
        <v>42564</v>
      </c>
      <c r="B136">
        <v>31225</v>
      </c>
      <c r="C136">
        <f>_xlfn.XLOOKUP(A136, USD!A:A, USD!B:B, "")</f>
        <v>67.016000000000005</v>
      </c>
      <c r="D136">
        <f>_xlfn.XLOOKUP(A136, Brent!A:A, Brent!B:B, "")</f>
        <v>44.67</v>
      </c>
      <c r="E136">
        <f>_xlfn.XLOOKUP(
  A136,
  Repo!A:A,
  Repo!B:B,
  "",
  -1
)</f>
        <v>6.5</v>
      </c>
      <c r="F136" s="10">
        <f>_xlfn.XLOOKUP(
  A136,
  CPI!D:D,
  CPI!C:C,
  "",
  -1
)</f>
        <v>6.07</v>
      </c>
      <c r="G136">
        <v>31001</v>
      </c>
    </row>
    <row r="137" spans="1:7">
      <c r="A137" s="1">
        <v>42565</v>
      </c>
      <c r="B137">
        <v>30895</v>
      </c>
      <c r="C137">
        <f>_xlfn.XLOOKUP(A137, USD!A:A, USD!B:B, "")</f>
        <v>66.843000000000004</v>
      </c>
      <c r="D137">
        <f>_xlfn.XLOOKUP(A137, Brent!A:A, Brent!B:B, "")</f>
        <v>46.01</v>
      </c>
      <c r="E137">
        <f>_xlfn.XLOOKUP(
  A137,
  Repo!A:A,
  Repo!B:B,
  "",
  -1
)</f>
        <v>6.5</v>
      </c>
      <c r="F137" s="10">
        <f>_xlfn.XLOOKUP(
  A137,
  CPI!D:D,
  CPI!C:C,
  "",
  -1
)</f>
        <v>6.07</v>
      </c>
      <c r="G137">
        <v>31225</v>
      </c>
    </row>
    <row r="138" spans="1:7">
      <c r="A138" s="1">
        <v>42566</v>
      </c>
      <c r="B138">
        <v>30922</v>
      </c>
      <c r="C138">
        <f>_xlfn.XLOOKUP(A138, USD!A:A, USD!B:B, "")</f>
        <v>67.141000000000005</v>
      </c>
      <c r="D138">
        <f>_xlfn.XLOOKUP(A138, Brent!A:A, Brent!B:B, "")</f>
        <v>46.25</v>
      </c>
      <c r="E138">
        <f>_xlfn.XLOOKUP(
  A138,
  Repo!A:A,
  Repo!B:B,
  "",
  -1
)</f>
        <v>6.5</v>
      </c>
      <c r="F138" s="10">
        <f>_xlfn.XLOOKUP(
  A138,
  CPI!D:D,
  CPI!C:C,
  "",
  -1
)</f>
        <v>6.07</v>
      </c>
      <c r="G138">
        <v>30895</v>
      </c>
    </row>
    <row r="139" spans="1:7">
      <c r="A139" s="1">
        <v>42569</v>
      </c>
      <c r="B139">
        <v>30950</v>
      </c>
      <c r="C139">
        <f>_xlfn.XLOOKUP(A139, USD!A:A, USD!B:B, "")</f>
        <v>67.137</v>
      </c>
      <c r="D139">
        <f>_xlfn.XLOOKUP(A139, Brent!A:A, Brent!B:B, "")</f>
        <v>45.35</v>
      </c>
      <c r="E139">
        <f>_xlfn.XLOOKUP(
  A139,
  Repo!A:A,
  Repo!B:B,
  "",
  -1
)</f>
        <v>6.5</v>
      </c>
      <c r="F139" s="10">
        <f>_xlfn.XLOOKUP(
  A139,
  CPI!D:D,
  CPI!C:C,
  "",
  -1
)</f>
        <v>6.07</v>
      </c>
      <c r="G139">
        <v>30922</v>
      </c>
    </row>
    <row r="140" spans="1:7">
      <c r="A140" s="1">
        <v>42570</v>
      </c>
      <c r="B140">
        <v>31021</v>
      </c>
      <c r="C140">
        <f>_xlfn.XLOOKUP(A140, USD!A:A, USD!B:B, "")</f>
        <v>67.203999999999994</v>
      </c>
      <c r="D140">
        <f>_xlfn.XLOOKUP(A140, Brent!A:A, Brent!B:B, "")</f>
        <v>45.7</v>
      </c>
      <c r="E140">
        <f>_xlfn.XLOOKUP(
  A140,
  Repo!A:A,
  Repo!B:B,
  "",
  -1
)</f>
        <v>6.5</v>
      </c>
      <c r="F140" s="10">
        <f>_xlfn.XLOOKUP(
  A140,
  CPI!D:D,
  CPI!C:C,
  "",
  -1
)</f>
        <v>6.07</v>
      </c>
      <c r="G140">
        <v>30950</v>
      </c>
    </row>
    <row r="141" spans="1:7">
      <c r="A141" s="1">
        <v>42571</v>
      </c>
      <c r="B141">
        <v>30666</v>
      </c>
      <c r="C141">
        <f>_xlfn.XLOOKUP(A141, USD!A:A, USD!B:B, "")</f>
        <v>67.162999999999997</v>
      </c>
      <c r="D141">
        <f>_xlfn.XLOOKUP(A141, Brent!A:A, Brent!B:B, "")</f>
        <v>45.82</v>
      </c>
      <c r="E141">
        <f>_xlfn.XLOOKUP(
  A141,
  Repo!A:A,
  Repo!B:B,
  "",
  -1
)</f>
        <v>6.5</v>
      </c>
      <c r="F141" s="10">
        <f>_xlfn.XLOOKUP(
  A141,
  CPI!D:D,
  CPI!C:C,
  "",
  -1
)</f>
        <v>6.07</v>
      </c>
      <c r="G141">
        <v>31021</v>
      </c>
    </row>
    <row r="142" spans="1:7">
      <c r="A142" s="1">
        <v>42572</v>
      </c>
      <c r="B142">
        <v>30940</v>
      </c>
      <c r="C142">
        <f>_xlfn.XLOOKUP(A142, USD!A:A, USD!B:B, "")</f>
        <v>67.153000000000006</v>
      </c>
      <c r="D142">
        <f>_xlfn.XLOOKUP(A142, Brent!A:A, Brent!B:B, "")</f>
        <v>44.99</v>
      </c>
      <c r="E142">
        <f>_xlfn.XLOOKUP(
  A142,
  Repo!A:A,
  Repo!B:B,
  "",
  -1
)</f>
        <v>6.5</v>
      </c>
      <c r="F142" s="10">
        <f>_xlfn.XLOOKUP(
  A142,
  CPI!D:D,
  CPI!C:C,
  "",
  -1
)</f>
        <v>6.07</v>
      </c>
      <c r="G142">
        <v>30666</v>
      </c>
    </row>
    <row r="143" spans="1:7">
      <c r="A143" s="1">
        <v>42573</v>
      </c>
      <c r="B143">
        <v>30794</v>
      </c>
      <c r="C143">
        <f>_xlfn.XLOOKUP(A143, USD!A:A, USD!B:B, "")</f>
        <v>67.153999999999996</v>
      </c>
      <c r="D143">
        <f>_xlfn.XLOOKUP(A143, Brent!A:A, Brent!B:B, "")</f>
        <v>44.24</v>
      </c>
      <c r="E143">
        <f>_xlfn.XLOOKUP(
  A143,
  Repo!A:A,
  Repo!B:B,
  "",
  -1
)</f>
        <v>6.5</v>
      </c>
      <c r="F143" s="10">
        <f>_xlfn.XLOOKUP(
  A143,
  CPI!D:D,
  CPI!C:C,
  "",
  -1
)</f>
        <v>6.07</v>
      </c>
      <c r="G143">
        <v>30940</v>
      </c>
    </row>
    <row r="144" spans="1:7">
      <c r="A144" s="1">
        <v>42576</v>
      </c>
      <c r="B144">
        <v>30814</v>
      </c>
      <c r="C144">
        <f>_xlfn.XLOOKUP(A144, USD!A:A, USD!B:B, "")</f>
        <v>67.412000000000006</v>
      </c>
      <c r="D144">
        <f>_xlfn.XLOOKUP(A144, Brent!A:A, Brent!B:B, "")</f>
        <v>43.76</v>
      </c>
      <c r="E144">
        <f>_xlfn.XLOOKUP(
  A144,
  Repo!A:A,
  Repo!B:B,
  "",
  -1
)</f>
        <v>6.5</v>
      </c>
      <c r="F144" s="10">
        <f>_xlfn.XLOOKUP(
  A144,
  CPI!D:D,
  CPI!C:C,
  "",
  -1
)</f>
        <v>6.07</v>
      </c>
      <c r="G144">
        <v>30794</v>
      </c>
    </row>
    <row r="145" spans="1:7">
      <c r="A145" s="1">
        <v>42577</v>
      </c>
      <c r="B145">
        <v>30822</v>
      </c>
      <c r="C145">
        <f>_xlfn.XLOOKUP(A145, USD!A:A, USD!B:B, "")</f>
        <v>67.320999999999998</v>
      </c>
      <c r="D145">
        <f>_xlfn.XLOOKUP(A145, Brent!A:A, Brent!B:B, "")</f>
        <v>43.56</v>
      </c>
      <c r="E145">
        <f>_xlfn.XLOOKUP(
  A145,
  Repo!A:A,
  Repo!B:B,
  "",
  -1
)</f>
        <v>6.5</v>
      </c>
      <c r="F145" s="10">
        <f>_xlfn.XLOOKUP(
  A145,
  CPI!D:D,
  CPI!C:C,
  "",
  -1
)</f>
        <v>6.07</v>
      </c>
      <c r="G145">
        <v>30814</v>
      </c>
    </row>
    <row r="146" spans="1:7">
      <c r="A146" s="1">
        <v>42578</v>
      </c>
      <c r="B146">
        <v>30878</v>
      </c>
      <c r="C146">
        <f>_xlfn.XLOOKUP(A146, USD!A:A, USD!B:B, "")</f>
        <v>67.072000000000003</v>
      </c>
      <c r="D146">
        <f>_xlfn.XLOOKUP(A146, Brent!A:A, Brent!B:B, "")</f>
        <v>42.78</v>
      </c>
      <c r="E146">
        <f>_xlfn.XLOOKUP(
  A146,
  Repo!A:A,
  Repo!B:B,
  "",
  -1
)</f>
        <v>6.5</v>
      </c>
      <c r="F146" s="10">
        <f>_xlfn.XLOOKUP(
  A146,
  CPI!D:D,
  CPI!C:C,
  "",
  -1
)</f>
        <v>6.07</v>
      </c>
      <c r="G146">
        <v>30822</v>
      </c>
    </row>
    <row r="147" spans="1:7">
      <c r="A147" s="1">
        <v>42579</v>
      </c>
      <c r="B147">
        <v>30795</v>
      </c>
      <c r="C147">
        <f>_xlfn.XLOOKUP(A147, USD!A:A, USD!B:B, "")</f>
        <v>67.013999999999996</v>
      </c>
      <c r="D147">
        <f>_xlfn.XLOOKUP(A147, Brent!A:A, Brent!B:B, "")</f>
        <v>41.87</v>
      </c>
      <c r="E147">
        <f>_xlfn.XLOOKUP(
  A147,
  Repo!A:A,
  Repo!B:B,
  "",
  -1
)</f>
        <v>6.5</v>
      </c>
      <c r="F147" s="10">
        <f>_xlfn.XLOOKUP(
  A147,
  CPI!D:D,
  CPI!C:C,
  "",
  -1
)</f>
        <v>6.07</v>
      </c>
      <c r="G147">
        <v>30878</v>
      </c>
    </row>
    <row r="148" spans="1:7">
      <c r="A148" s="1">
        <v>42580</v>
      </c>
      <c r="B148">
        <v>31099</v>
      </c>
      <c r="C148">
        <f>_xlfn.XLOOKUP(A148, USD!A:A, USD!B:B, "")</f>
        <v>66.655000000000001</v>
      </c>
      <c r="D148">
        <f>_xlfn.XLOOKUP(A148, Brent!A:A, Brent!B:B, "")</f>
        <v>40.76</v>
      </c>
      <c r="E148">
        <f>_xlfn.XLOOKUP(
  A148,
  Repo!A:A,
  Repo!B:B,
  "",
  -1
)</f>
        <v>6.5</v>
      </c>
      <c r="F148" s="10">
        <f>_xlfn.XLOOKUP(
  A148,
  CPI!D:D,
  CPI!C:C,
  "",
  -1
)</f>
        <v>6.07</v>
      </c>
      <c r="G148">
        <v>30795</v>
      </c>
    </row>
    <row r="149" spans="1:7">
      <c r="A149" s="1">
        <v>42583</v>
      </c>
      <c r="B149">
        <v>31011</v>
      </c>
      <c r="C149">
        <f>_xlfn.XLOOKUP(A149, USD!A:A, USD!B:B, "")</f>
        <v>66.763999999999996</v>
      </c>
      <c r="D149">
        <f>_xlfn.XLOOKUP(A149, Brent!A:A, Brent!B:B, "")</f>
        <v>40.17</v>
      </c>
      <c r="E149">
        <f>_xlfn.XLOOKUP(
  A149,
  Repo!A:A,
  Repo!B:B,
  "",
  -1
)</f>
        <v>6.5</v>
      </c>
      <c r="F149" s="10">
        <f>_xlfn.XLOOKUP(
  A149,
  CPI!D:D,
  CPI!C:C,
  "",
  -1
)</f>
        <v>5.05</v>
      </c>
      <c r="G149">
        <v>31099</v>
      </c>
    </row>
    <row r="150" spans="1:7">
      <c r="A150" s="1">
        <v>42584</v>
      </c>
      <c r="B150">
        <v>31282</v>
      </c>
      <c r="C150">
        <f>_xlfn.XLOOKUP(A150, USD!A:A, USD!B:B, "")</f>
        <v>66.682000000000002</v>
      </c>
      <c r="D150">
        <f>_xlfn.XLOOKUP(A150, Brent!A:A, Brent!B:B, "")</f>
        <v>40</v>
      </c>
      <c r="E150">
        <f>_xlfn.XLOOKUP(
  A150,
  Repo!A:A,
  Repo!B:B,
  "",
  -1
)</f>
        <v>6.5</v>
      </c>
      <c r="F150" s="10">
        <f>_xlfn.XLOOKUP(
  A150,
  CPI!D:D,
  CPI!C:C,
  "",
  -1
)</f>
        <v>5.05</v>
      </c>
      <c r="G150">
        <v>31011</v>
      </c>
    </row>
    <row r="151" spans="1:7">
      <c r="A151" s="1">
        <v>42585</v>
      </c>
      <c r="B151">
        <v>31199</v>
      </c>
      <c r="C151">
        <f>_xlfn.XLOOKUP(A151, USD!A:A, USD!B:B, "")</f>
        <v>66.766999999999996</v>
      </c>
      <c r="D151">
        <f>_xlfn.XLOOKUP(A151, Brent!A:A, Brent!B:B, "")</f>
        <v>40.450000000000003</v>
      </c>
      <c r="E151">
        <f>_xlfn.XLOOKUP(
  A151,
  Repo!A:A,
  Repo!B:B,
  "",
  -1
)</f>
        <v>6.5</v>
      </c>
      <c r="F151" s="10">
        <f>_xlfn.XLOOKUP(
  A151,
  CPI!D:D,
  CPI!C:C,
  "",
  -1
)</f>
        <v>5.05</v>
      </c>
      <c r="G151">
        <v>31282</v>
      </c>
    </row>
    <row r="152" spans="1:7">
      <c r="A152" s="1">
        <v>42586</v>
      </c>
      <c r="B152">
        <v>31317</v>
      </c>
      <c r="C152">
        <f>_xlfn.XLOOKUP(A152, USD!A:A, USD!B:B, "")</f>
        <v>66.84</v>
      </c>
      <c r="D152">
        <f>_xlfn.XLOOKUP(A152, Brent!A:A, Brent!B:B, "")</f>
        <v>41.33</v>
      </c>
      <c r="E152">
        <f>_xlfn.XLOOKUP(
  A152,
  Repo!A:A,
  Repo!B:B,
  "",
  -1
)</f>
        <v>6.5</v>
      </c>
      <c r="F152" s="10">
        <f>_xlfn.XLOOKUP(
  A152,
  CPI!D:D,
  CPI!C:C,
  "",
  -1
)</f>
        <v>5.05</v>
      </c>
      <c r="G152">
        <v>31199</v>
      </c>
    </row>
    <row r="153" spans="1:7">
      <c r="A153" s="1">
        <v>42587</v>
      </c>
      <c r="B153">
        <v>30779</v>
      </c>
      <c r="C153">
        <f>_xlfn.XLOOKUP(A153, USD!A:A, USD!B:B, "")</f>
        <v>66.841999999999999</v>
      </c>
      <c r="D153">
        <f>_xlfn.XLOOKUP(A153, Brent!A:A, Brent!B:B, "")</f>
        <v>42.47</v>
      </c>
      <c r="E153">
        <f>_xlfn.XLOOKUP(
  A153,
  Repo!A:A,
  Repo!B:B,
  "",
  -1
)</f>
        <v>6.5</v>
      </c>
      <c r="F153" s="10">
        <f>_xlfn.XLOOKUP(
  A153,
  CPI!D:D,
  CPI!C:C,
  "",
  -1
)</f>
        <v>5.05</v>
      </c>
      <c r="G153">
        <v>31317</v>
      </c>
    </row>
    <row r="154" spans="1:7">
      <c r="A154" s="1">
        <v>42590</v>
      </c>
      <c r="B154">
        <v>30998</v>
      </c>
      <c r="C154">
        <f>_xlfn.XLOOKUP(A154, USD!A:A, USD!B:B, "")</f>
        <v>66.81</v>
      </c>
      <c r="D154">
        <f>_xlfn.XLOOKUP(A154, Brent!A:A, Brent!B:B, "")</f>
        <v>43.24</v>
      </c>
      <c r="E154">
        <f>_xlfn.XLOOKUP(
  A154,
  Repo!A:A,
  Repo!B:B,
  "",
  -1
)</f>
        <v>6.5</v>
      </c>
      <c r="F154" s="10">
        <f>_xlfn.XLOOKUP(
  A154,
  CPI!D:D,
  CPI!C:C,
  "",
  -1
)</f>
        <v>5.05</v>
      </c>
      <c r="G154">
        <v>30779</v>
      </c>
    </row>
    <row r="155" spans="1:7">
      <c r="A155" s="1">
        <v>42591</v>
      </c>
      <c r="B155">
        <v>31133</v>
      </c>
      <c r="C155">
        <f>_xlfn.XLOOKUP(A155, USD!A:A, USD!B:B, "")</f>
        <v>66.774000000000001</v>
      </c>
      <c r="D155">
        <f>_xlfn.XLOOKUP(A155, Brent!A:A, Brent!B:B, "")</f>
        <v>43.37</v>
      </c>
      <c r="E155">
        <f>_xlfn.XLOOKUP(
  A155,
  Repo!A:A,
  Repo!B:B,
  "",
  -1
)</f>
        <v>6.5</v>
      </c>
      <c r="F155" s="10">
        <f>_xlfn.XLOOKUP(
  A155,
  CPI!D:D,
  CPI!C:C,
  "",
  -1
)</f>
        <v>5.05</v>
      </c>
      <c r="G155">
        <v>30998</v>
      </c>
    </row>
    <row r="156" spans="1:7">
      <c r="A156" s="1">
        <v>42592</v>
      </c>
      <c r="B156">
        <v>31219</v>
      </c>
      <c r="C156">
        <f>_xlfn.XLOOKUP(A156, USD!A:A, USD!B:B, "")</f>
        <v>66.765000000000001</v>
      </c>
      <c r="D156">
        <f>_xlfn.XLOOKUP(A156, Brent!A:A, Brent!B:B, "")</f>
        <v>42.19</v>
      </c>
      <c r="E156">
        <f>_xlfn.XLOOKUP(
  A156,
  Repo!A:A,
  Repo!B:B,
  "",
  -1
)</f>
        <v>6.5</v>
      </c>
      <c r="F156" s="10">
        <f>_xlfn.XLOOKUP(
  A156,
  CPI!D:D,
  CPI!C:C,
  "",
  -1
)</f>
        <v>5.05</v>
      </c>
      <c r="G156">
        <v>31133</v>
      </c>
    </row>
    <row r="157" spans="1:7">
      <c r="A157" s="1">
        <v>42593</v>
      </c>
      <c r="B157">
        <v>31171</v>
      </c>
      <c r="C157">
        <f>_xlfn.XLOOKUP(A157, USD!A:A, USD!B:B, "")</f>
        <v>66.75</v>
      </c>
      <c r="D157">
        <f>_xlfn.XLOOKUP(A157, Brent!A:A, Brent!B:B, "")</f>
        <v>44.23</v>
      </c>
      <c r="E157">
        <f>_xlfn.XLOOKUP(
  A157,
  Repo!A:A,
  Repo!B:B,
  "",
  -1
)</f>
        <v>6.5</v>
      </c>
      <c r="F157" s="10">
        <f>_xlfn.XLOOKUP(
  A157,
  CPI!D:D,
  CPI!C:C,
  "",
  -1
)</f>
        <v>5.05</v>
      </c>
      <c r="G157">
        <v>31219</v>
      </c>
    </row>
    <row r="158" spans="1:7">
      <c r="A158" s="1">
        <v>42594</v>
      </c>
      <c r="B158">
        <v>31080</v>
      </c>
      <c r="C158">
        <f>_xlfn.XLOOKUP(A158, USD!A:A, USD!B:B, "")</f>
        <v>66.908000000000001</v>
      </c>
      <c r="D158">
        <f>_xlfn.XLOOKUP(A158, Brent!A:A, Brent!B:B, "")</f>
        <v>45.12</v>
      </c>
      <c r="E158">
        <f>_xlfn.XLOOKUP(
  A158,
  Repo!A:A,
  Repo!B:B,
  "",
  -1
)</f>
        <v>6.5</v>
      </c>
      <c r="F158" s="10">
        <f>_xlfn.XLOOKUP(
  A158,
  CPI!D:D,
  CPI!C:C,
  "",
  -1
)</f>
        <v>5.05</v>
      </c>
      <c r="G158">
        <v>31171</v>
      </c>
    </row>
    <row r="159" spans="1:7">
      <c r="A159" s="1">
        <v>42598</v>
      </c>
      <c r="B159">
        <v>31349</v>
      </c>
      <c r="C159">
        <f>_xlfn.XLOOKUP(A159, USD!A:A, USD!B:B, "")</f>
        <v>66.87</v>
      </c>
      <c r="D159">
        <f>_xlfn.XLOOKUP(A159, Brent!A:A, Brent!B:B, "")</f>
        <v>48.27</v>
      </c>
      <c r="E159">
        <f>_xlfn.XLOOKUP(
  A159,
  Repo!A:A,
  Repo!B:B,
  "",
  -1
)</f>
        <v>6.5</v>
      </c>
      <c r="F159" s="10">
        <f>_xlfn.XLOOKUP(
  A159,
  CPI!D:D,
  CPI!C:C,
  "",
  -1
)</f>
        <v>5.05</v>
      </c>
      <c r="G159">
        <v>31080</v>
      </c>
    </row>
    <row r="160" spans="1:7">
      <c r="A160" s="1">
        <v>42599</v>
      </c>
      <c r="B160">
        <v>31314</v>
      </c>
      <c r="C160">
        <f>_xlfn.XLOOKUP(A160, USD!A:A, USD!B:B, "")</f>
        <v>66.893000000000001</v>
      </c>
      <c r="D160">
        <f>_xlfn.XLOOKUP(A160, Brent!A:A, Brent!B:B, "")</f>
        <v>48.58</v>
      </c>
      <c r="E160">
        <f>_xlfn.XLOOKUP(
  A160,
  Repo!A:A,
  Repo!B:B,
  "",
  -1
)</f>
        <v>6.5</v>
      </c>
      <c r="F160" s="10">
        <f>_xlfn.XLOOKUP(
  A160,
  CPI!D:D,
  CPI!C:C,
  "",
  -1
)</f>
        <v>5.05</v>
      </c>
      <c r="G160">
        <v>31349</v>
      </c>
    </row>
    <row r="161" spans="1:7">
      <c r="A161" s="1">
        <v>42600</v>
      </c>
      <c r="B161">
        <v>31411</v>
      </c>
      <c r="C161">
        <f>_xlfn.XLOOKUP(A161, USD!A:A, USD!B:B, "")</f>
        <v>66.83</v>
      </c>
      <c r="D161">
        <f>_xlfn.XLOOKUP(A161, Brent!A:A, Brent!B:B, "")</f>
        <v>49.46</v>
      </c>
      <c r="E161">
        <f>_xlfn.XLOOKUP(
  A161,
  Repo!A:A,
  Repo!B:B,
  "",
  -1
)</f>
        <v>6.5</v>
      </c>
      <c r="F161" s="10">
        <f>_xlfn.XLOOKUP(
  A161,
  CPI!D:D,
  CPI!C:C,
  "",
  -1
)</f>
        <v>5.05</v>
      </c>
      <c r="G161">
        <v>31314</v>
      </c>
    </row>
    <row r="162" spans="1:7">
      <c r="A162" s="1">
        <v>42601</v>
      </c>
      <c r="B162">
        <v>31365</v>
      </c>
      <c r="C162">
        <f>_xlfn.XLOOKUP(A162, USD!A:A, USD!B:B, "")</f>
        <v>67.137</v>
      </c>
      <c r="D162">
        <f>_xlfn.XLOOKUP(A162, Brent!A:A, Brent!B:B, "")</f>
        <v>49.39</v>
      </c>
      <c r="E162">
        <f>_xlfn.XLOOKUP(
  A162,
  Repo!A:A,
  Repo!B:B,
  "",
  -1
)</f>
        <v>6.5</v>
      </c>
      <c r="F162" s="10">
        <f>_xlfn.XLOOKUP(
  A162,
  CPI!D:D,
  CPI!C:C,
  "",
  -1
)</f>
        <v>5.05</v>
      </c>
      <c r="G162">
        <v>31411</v>
      </c>
    </row>
    <row r="163" spans="1:7">
      <c r="A163" s="1">
        <v>42604</v>
      </c>
      <c r="B163">
        <v>31395</v>
      </c>
      <c r="C163">
        <f>_xlfn.XLOOKUP(A163, USD!A:A, USD!B:B, "")</f>
        <v>67.201999999999998</v>
      </c>
      <c r="D163">
        <f>_xlfn.XLOOKUP(A163, Brent!A:A, Brent!B:B, "")</f>
        <v>48.1</v>
      </c>
      <c r="E163">
        <f>_xlfn.XLOOKUP(
  A163,
  Repo!A:A,
  Repo!B:B,
  "",
  -1
)</f>
        <v>6.5</v>
      </c>
      <c r="F163" s="10">
        <f>_xlfn.XLOOKUP(
  A163,
  CPI!D:D,
  CPI!C:C,
  "",
  -1
)</f>
        <v>5.05</v>
      </c>
      <c r="G163">
        <v>31365</v>
      </c>
    </row>
    <row r="164" spans="1:7">
      <c r="A164" s="1">
        <v>42605</v>
      </c>
      <c r="B164">
        <v>31373</v>
      </c>
      <c r="C164">
        <f>_xlfn.XLOOKUP(A164, USD!A:A, USD!B:B, "")</f>
        <v>67.122</v>
      </c>
      <c r="D164">
        <f>_xlfn.XLOOKUP(A164, Brent!A:A, Brent!B:B, "")</f>
        <v>48.7</v>
      </c>
      <c r="E164">
        <f>_xlfn.XLOOKUP(
  A164,
  Repo!A:A,
  Repo!B:B,
  "",
  -1
)</f>
        <v>6.5</v>
      </c>
      <c r="F164" s="10">
        <f>_xlfn.XLOOKUP(
  A164,
  CPI!D:D,
  CPI!C:C,
  "",
  -1
)</f>
        <v>5.05</v>
      </c>
      <c r="G164">
        <v>31395</v>
      </c>
    </row>
    <row r="165" spans="1:7">
      <c r="A165" s="1">
        <v>42606</v>
      </c>
      <c r="B165">
        <v>31049</v>
      </c>
      <c r="C165">
        <f>_xlfn.XLOOKUP(A165, USD!A:A, USD!B:B, "")</f>
        <v>67.167000000000002</v>
      </c>
      <c r="D165">
        <f>_xlfn.XLOOKUP(A165, Brent!A:A, Brent!B:B, "")</f>
        <v>47.56</v>
      </c>
      <c r="E165">
        <f>_xlfn.XLOOKUP(
  A165,
  Repo!A:A,
  Repo!B:B,
  "",
  -1
)</f>
        <v>6.5</v>
      </c>
      <c r="F165" s="10">
        <f>_xlfn.XLOOKUP(
  A165,
  CPI!D:D,
  CPI!C:C,
  "",
  -1
)</f>
        <v>5.05</v>
      </c>
      <c r="G165">
        <v>31373</v>
      </c>
    </row>
    <row r="166" spans="1:7">
      <c r="A166" s="1">
        <v>42607</v>
      </c>
      <c r="B166">
        <v>30945</v>
      </c>
      <c r="C166">
        <f>_xlfn.XLOOKUP(A166, USD!A:A, USD!B:B, "")</f>
        <v>67.016000000000005</v>
      </c>
      <c r="D166">
        <f>_xlfn.XLOOKUP(A166, Brent!A:A, Brent!B:B, "")</f>
        <v>49.25</v>
      </c>
      <c r="E166">
        <f>_xlfn.XLOOKUP(
  A166,
  Repo!A:A,
  Repo!B:B,
  "",
  -1
)</f>
        <v>6.5</v>
      </c>
      <c r="F166" s="10">
        <f>_xlfn.XLOOKUP(
  A166,
  CPI!D:D,
  CPI!C:C,
  "",
  -1
)</f>
        <v>5.05</v>
      </c>
      <c r="G166">
        <v>31049</v>
      </c>
    </row>
    <row r="167" spans="1:7">
      <c r="A167" s="1">
        <v>42608</v>
      </c>
      <c r="B167">
        <v>31023</v>
      </c>
      <c r="C167">
        <f>_xlfn.XLOOKUP(A167, USD!A:A, USD!B:B, "")</f>
        <v>67.135999999999996</v>
      </c>
      <c r="D167">
        <f>_xlfn.XLOOKUP(A167, Brent!A:A, Brent!B:B, "")</f>
        <v>49.66</v>
      </c>
      <c r="E167">
        <f>_xlfn.XLOOKUP(
  A167,
  Repo!A:A,
  Repo!B:B,
  "",
  -1
)</f>
        <v>6.5</v>
      </c>
      <c r="F167" s="10">
        <f>_xlfn.XLOOKUP(
  A167,
  CPI!D:D,
  CPI!C:C,
  "",
  -1
)</f>
        <v>5.05</v>
      </c>
      <c r="G167">
        <v>30945</v>
      </c>
    </row>
    <row r="168" spans="1:7">
      <c r="A168" s="1">
        <v>42611</v>
      </c>
      <c r="B168">
        <v>31077</v>
      </c>
      <c r="C168">
        <f>_xlfn.XLOOKUP(A168, USD!A:A, USD!B:B, "")</f>
        <v>67.113</v>
      </c>
      <c r="D168">
        <f>_xlfn.XLOOKUP(A168, Brent!A:A, Brent!B:B, "")</f>
        <v>49.66</v>
      </c>
      <c r="E168">
        <f>_xlfn.XLOOKUP(
  A168,
  Repo!A:A,
  Repo!B:B,
  "",
  -1
)</f>
        <v>6.5</v>
      </c>
      <c r="F168" s="10">
        <f>_xlfn.XLOOKUP(
  A168,
  CPI!D:D,
  CPI!C:C,
  "",
  -1
)</f>
        <v>5.05</v>
      </c>
      <c r="G168">
        <v>31023</v>
      </c>
    </row>
    <row r="169" spans="1:7">
      <c r="A169" s="1">
        <v>42612</v>
      </c>
      <c r="B169">
        <v>30840</v>
      </c>
      <c r="C169">
        <f>_xlfn.XLOOKUP(A169, USD!A:A, USD!B:B, "")</f>
        <v>67.144000000000005</v>
      </c>
      <c r="D169">
        <f>_xlfn.XLOOKUP(A169, Brent!A:A, Brent!B:B, "")</f>
        <v>47.94</v>
      </c>
      <c r="E169">
        <f>_xlfn.XLOOKUP(
  A169,
  Repo!A:A,
  Repo!B:B,
  "",
  -1
)</f>
        <v>6.5</v>
      </c>
      <c r="F169" s="10">
        <f>_xlfn.XLOOKUP(
  A169,
  CPI!D:D,
  CPI!C:C,
  "",
  -1
)</f>
        <v>5.05</v>
      </c>
      <c r="G169">
        <v>31077</v>
      </c>
    </row>
    <row r="170" spans="1:7">
      <c r="A170" s="1">
        <v>42613</v>
      </c>
      <c r="B170">
        <v>30746</v>
      </c>
      <c r="C170">
        <f>_xlfn.XLOOKUP(A170, USD!A:A, USD!B:B, "")</f>
        <v>66.972999999999999</v>
      </c>
      <c r="D170">
        <f>_xlfn.XLOOKUP(A170, Brent!A:A, Brent!B:B, "")</f>
        <v>47.94</v>
      </c>
      <c r="E170">
        <f>_xlfn.XLOOKUP(
  A170,
  Repo!A:A,
  Repo!B:B,
  "",
  -1
)</f>
        <v>6.5</v>
      </c>
      <c r="F170" s="10">
        <f>_xlfn.XLOOKUP(
  A170,
  CPI!D:D,
  CPI!C:C,
  "",
  -1
)</f>
        <v>5.05</v>
      </c>
      <c r="G170">
        <v>30840</v>
      </c>
    </row>
    <row r="171" spans="1:7">
      <c r="A171" s="1">
        <v>42614</v>
      </c>
      <c r="B171">
        <v>30710</v>
      </c>
      <c r="C171">
        <f>_xlfn.XLOOKUP(A171, USD!A:A, USD!B:B, "")</f>
        <v>66.801000000000002</v>
      </c>
      <c r="D171">
        <f>_xlfn.XLOOKUP(A171, Brent!A:A, Brent!B:B, "")</f>
        <v>45.05</v>
      </c>
      <c r="E171">
        <f>_xlfn.XLOOKUP(
  A171,
  Repo!A:A,
  Repo!B:B,
  "",
  -1
)</f>
        <v>6.5</v>
      </c>
      <c r="F171" s="10">
        <f>_xlfn.XLOOKUP(
  A171,
  CPI!D:D,
  CPI!C:C,
  "",
  -1
)</f>
        <v>4.3899999999999997</v>
      </c>
      <c r="G171">
        <v>30746</v>
      </c>
    </row>
    <row r="172" spans="1:7">
      <c r="A172" s="1">
        <v>42615</v>
      </c>
      <c r="B172">
        <v>30900</v>
      </c>
      <c r="C172">
        <f>_xlfn.XLOOKUP(A172, USD!A:A, USD!B:B, "")</f>
        <v>66.795000000000002</v>
      </c>
      <c r="D172">
        <f>_xlfn.XLOOKUP(A172, Brent!A:A, Brent!B:B, "")</f>
        <v>45.96</v>
      </c>
      <c r="E172">
        <f>_xlfn.XLOOKUP(
  A172,
  Repo!A:A,
  Repo!B:B,
  "",
  -1
)</f>
        <v>6.5</v>
      </c>
      <c r="F172" s="10">
        <f>_xlfn.XLOOKUP(
  A172,
  CPI!D:D,
  CPI!C:C,
  "",
  -1
)</f>
        <v>4.3899999999999997</v>
      </c>
      <c r="G172">
        <v>30710</v>
      </c>
    </row>
    <row r="173" spans="1:7">
      <c r="A173" s="1">
        <v>42618</v>
      </c>
      <c r="B173">
        <v>31025</v>
      </c>
      <c r="C173">
        <f>_xlfn.XLOOKUP(A173, USD!A:A, USD!B:B, "")</f>
        <v>66.47</v>
      </c>
      <c r="D173">
        <f>_xlfn.XLOOKUP(A173, Brent!A:A, Brent!B:B, "")</f>
        <v>46.72</v>
      </c>
      <c r="E173">
        <f>_xlfn.XLOOKUP(
  A173,
  Repo!A:A,
  Repo!B:B,
  "",
  -1
)</f>
        <v>6.5</v>
      </c>
      <c r="F173" s="10">
        <f>_xlfn.XLOOKUP(
  A173,
  CPI!D:D,
  CPI!C:C,
  "",
  -1
)</f>
        <v>4.3899999999999997</v>
      </c>
      <c r="G173">
        <v>30900</v>
      </c>
    </row>
    <row r="174" spans="1:7">
      <c r="A174" s="1">
        <v>42619</v>
      </c>
      <c r="B174">
        <v>31401</v>
      </c>
      <c r="C174">
        <f>_xlfn.XLOOKUP(A174, USD!A:A, USD!B:B, "")</f>
        <v>66.28</v>
      </c>
      <c r="D174">
        <f>_xlfn.XLOOKUP(A174, Brent!A:A, Brent!B:B, "")</f>
        <v>46.21</v>
      </c>
      <c r="E174">
        <f>_xlfn.XLOOKUP(
  A174,
  Repo!A:A,
  Repo!B:B,
  "",
  -1
)</f>
        <v>6.5</v>
      </c>
      <c r="F174" s="10">
        <f>_xlfn.XLOOKUP(
  A174,
  CPI!D:D,
  CPI!C:C,
  "",
  -1
)</f>
        <v>4.3899999999999997</v>
      </c>
      <c r="G174">
        <v>31025</v>
      </c>
    </row>
    <row r="175" spans="1:7">
      <c r="A175" s="1">
        <v>42620</v>
      </c>
      <c r="B175">
        <v>31336</v>
      </c>
      <c r="C175">
        <f>_xlfn.XLOOKUP(A175, USD!A:A, USD!B:B, "")</f>
        <v>66.477999999999994</v>
      </c>
      <c r="D175">
        <f>_xlfn.XLOOKUP(A175, Brent!A:A, Brent!B:B, "")</f>
        <v>47</v>
      </c>
      <c r="E175">
        <f>_xlfn.XLOOKUP(
  A175,
  Repo!A:A,
  Repo!B:B,
  "",
  -1
)</f>
        <v>6.5</v>
      </c>
      <c r="F175" s="10">
        <f>_xlfn.XLOOKUP(
  A175,
  CPI!D:D,
  CPI!C:C,
  "",
  -1
)</f>
        <v>4.3899999999999997</v>
      </c>
      <c r="G175">
        <v>31401</v>
      </c>
    </row>
    <row r="176" spans="1:7">
      <c r="A176" s="1">
        <v>42621</v>
      </c>
      <c r="B176">
        <v>31239</v>
      </c>
      <c r="C176">
        <f>_xlfn.XLOOKUP(A176, USD!A:A, USD!B:B, "")</f>
        <v>66.631</v>
      </c>
      <c r="D176">
        <f>_xlfn.XLOOKUP(A176, Brent!A:A, Brent!B:B, "")</f>
        <v>49.23</v>
      </c>
      <c r="E176">
        <f>_xlfn.XLOOKUP(
  A176,
  Repo!A:A,
  Repo!B:B,
  "",
  -1
)</f>
        <v>6.5</v>
      </c>
      <c r="F176" s="10">
        <f>_xlfn.XLOOKUP(
  A176,
  CPI!D:D,
  CPI!C:C,
  "",
  -1
)</f>
        <v>4.3899999999999997</v>
      </c>
      <c r="G176">
        <v>31336</v>
      </c>
    </row>
    <row r="177" spans="1:7">
      <c r="A177" s="1">
        <v>42622</v>
      </c>
      <c r="B177">
        <v>31261</v>
      </c>
      <c r="C177">
        <f>_xlfn.XLOOKUP(A177, USD!A:A, USD!B:B, "")</f>
        <v>66.894999999999996</v>
      </c>
      <c r="D177">
        <f>_xlfn.XLOOKUP(A177, Brent!A:A, Brent!B:B, "")</f>
        <v>48.37</v>
      </c>
      <c r="E177">
        <f>_xlfn.XLOOKUP(
  A177,
  Repo!A:A,
  Repo!B:B,
  "",
  -1
)</f>
        <v>6.5</v>
      </c>
      <c r="F177" s="10">
        <f>_xlfn.XLOOKUP(
  A177,
  CPI!D:D,
  CPI!C:C,
  "",
  -1
)</f>
        <v>4.3899999999999997</v>
      </c>
      <c r="G177">
        <v>31239</v>
      </c>
    </row>
    <row r="178" spans="1:7">
      <c r="A178" s="1">
        <v>42625</v>
      </c>
      <c r="B178">
        <v>31087</v>
      </c>
      <c r="C178">
        <f>_xlfn.XLOOKUP(A178, USD!A:A, USD!B:B, "")</f>
        <v>66.738</v>
      </c>
      <c r="D178">
        <f>_xlfn.XLOOKUP(A178, Brent!A:A, Brent!B:B, "")</f>
        <v>47.82</v>
      </c>
      <c r="E178">
        <f>_xlfn.XLOOKUP(
  A178,
  Repo!A:A,
  Repo!B:B,
  "",
  -1
)</f>
        <v>6.5</v>
      </c>
      <c r="F178" s="10">
        <f>_xlfn.XLOOKUP(
  A178,
  CPI!D:D,
  CPI!C:C,
  "",
  -1
)</f>
        <v>4.3899999999999997</v>
      </c>
      <c r="G178">
        <v>31261</v>
      </c>
    </row>
    <row r="179" spans="1:7">
      <c r="A179" s="1">
        <v>42626</v>
      </c>
      <c r="B179">
        <v>31141</v>
      </c>
      <c r="C179">
        <f>_xlfn.XLOOKUP(A179, USD!A:A, USD!B:B, "")</f>
        <v>67.14</v>
      </c>
      <c r="D179">
        <f>_xlfn.XLOOKUP(A179, Brent!A:A, Brent!B:B, "")</f>
        <v>46.48</v>
      </c>
      <c r="E179">
        <f>_xlfn.XLOOKUP(
  A179,
  Repo!A:A,
  Repo!B:B,
  "",
  -1
)</f>
        <v>6.5</v>
      </c>
      <c r="F179" s="10">
        <f>_xlfn.XLOOKUP(
  A179,
  CPI!D:D,
  CPI!C:C,
  "",
  -1
)</f>
        <v>4.3899999999999997</v>
      </c>
      <c r="G179">
        <v>31087</v>
      </c>
    </row>
    <row r="180" spans="1:7">
      <c r="A180" s="1">
        <v>42627</v>
      </c>
      <c r="B180">
        <v>31100</v>
      </c>
      <c r="C180">
        <f>_xlfn.XLOOKUP(A180, USD!A:A, USD!B:B, "")</f>
        <v>66.798000000000002</v>
      </c>
      <c r="D180">
        <f>_xlfn.XLOOKUP(A180, Brent!A:A, Brent!B:B, "")</f>
        <v>45.65</v>
      </c>
      <c r="E180">
        <f>_xlfn.XLOOKUP(
  A180,
  Repo!A:A,
  Repo!B:B,
  "",
  -1
)</f>
        <v>6.5</v>
      </c>
      <c r="F180" s="10">
        <f>_xlfn.XLOOKUP(
  A180,
  CPI!D:D,
  CPI!C:C,
  "",
  -1
)</f>
        <v>4.3899999999999997</v>
      </c>
      <c r="G180">
        <v>31141</v>
      </c>
    </row>
    <row r="181" spans="1:7">
      <c r="A181" s="1">
        <v>42628</v>
      </c>
      <c r="B181">
        <v>30950</v>
      </c>
      <c r="C181">
        <f>_xlfn.XLOOKUP(A181, USD!A:A, USD!B:B, "")</f>
        <v>66.86</v>
      </c>
      <c r="D181">
        <f>_xlfn.XLOOKUP(A181, Brent!A:A, Brent!B:B, "")</f>
        <v>45.83</v>
      </c>
      <c r="E181">
        <f>_xlfn.XLOOKUP(
  A181,
  Repo!A:A,
  Repo!B:B,
  "",
  -1
)</f>
        <v>6.5</v>
      </c>
      <c r="F181" s="10">
        <f>_xlfn.XLOOKUP(
  A181,
  CPI!D:D,
  CPI!C:C,
  "",
  -1
)</f>
        <v>4.3899999999999997</v>
      </c>
      <c r="G181">
        <v>31100</v>
      </c>
    </row>
    <row r="182" spans="1:7">
      <c r="A182" s="1">
        <v>42629</v>
      </c>
      <c r="B182">
        <v>30851</v>
      </c>
      <c r="C182">
        <f>_xlfn.XLOOKUP(A182, USD!A:A, USD!B:B, "")</f>
        <v>67.075000000000003</v>
      </c>
      <c r="D182">
        <f>_xlfn.XLOOKUP(A182, Brent!A:A, Brent!B:B, "")</f>
        <v>45.26</v>
      </c>
      <c r="E182">
        <f>_xlfn.XLOOKUP(
  A182,
  Repo!A:A,
  Repo!B:B,
  "",
  -1
)</f>
        <v>6.5</v>
      </c>
      <c r="F182" s="10">
        <f>_xlfn.XLOOKUP(
  A182,
  CPI!D:D,
  CPI!C:C,
  "",
  -1
)</f>
        <v>4.3899999999999997</v>
      </c>
      <c r="G182">
        <v>30950</v>
      </c>
    </row>
    <row r="183" spans="1:7">
      <c r="A183" s="1">
        <v>42632</v>
      </c>
      <c r="B183">
        <v>30936</v>
      </c>
      <c r="C183">
        <f>_xlfn.XLOOKUP(A183, USD!A:A, USD!B:B, "")</f>
        <v>66.98</v>
      </c>
      <c r="D183">
        <f>_xlfn.XLOOKUP(A183, Brent!A:A, Brent!B:B, "")</f>
        <v>46.04</v>
      </c>
      <c r="E183">
        <f>_xlfn.XLOOKUP(
  A183,
  Repo!A:A,
  Repo!B:B,
  "",
  -1
)</f>
        <v>6.5</v>
      </c>
      <c r="F183" s="10">
        <f>_xlfn.XLOOKUP(
  A183,
  CPI!D:D,
  CPI!C:C,
  "",
  -1
)</f>
        <v>4.3899999999999997</v>
      </c>
      <c r="G183">
        <v>30851</v>
      </c>
    </row>
    <row r="184" spans="1:7">
      <c r="A184" s="1">
        <v>42633</v>
      </c>
      <c r="B184">
        <v>30892</v>
      </c>
      <c r="C184">
        <f>_xlfn.XLOOKUP(A184, USD!A:A, USD!B:B, "")</f>
        <v>66.984999999999999</v>
      </c>
      <c r="D184">
        <f>_xlfn.XLOOKUP(A184, Brent!A:A, Brent!B:B, "")</f>
        <v>45.24</v>
      </c>
      <c r="E184">
        <f>_xlfn.XLOOKUP(
  A184,
  Repo!A:A,
  Repo!B:B,
  "",
  -1
)</f>
        <v>6.5</v>
      </c>
      <c r="F184" s="10">
        <f>_xlfn.XLOOKUP(
  A184,
  CPI!D:D,
  CPI!C:C,
  "",
  -1
)</f>
        <v>4.3899999999999997</v>
      </c>
      <c r="G184">
        <v>30936</v>
      </c>
    </row>
    <row r="185" spans="1:7">
      <c r="A185" s="1">
        <v>42634</v>
      </c>
      <c r="B185">
        <v>31207</v>
      </c>
      <c r="C185">
        <f>_xlfn.XLOOKUP(A185, USD!A:A, USD!B:B, "")</f>
        <v>66.744</v>
      </c>
      <c r="D185">
        <f>_xlfn.XLOOKUP(A185, Brent!A:A, Brent!B:B, "")</f>
        <v>45.99</v>
      </c>
      <c r="E185">
        <f>_xlfn.XLOOKUP(
  A185,
  Repo!A:A,
  Repo!B:B,
  "",
  -1
)</f>
        <v>6.5</v>
      </c>
      <c r="F185" s="10">
        <f>_xlfn.XLOOKUP(
  A185,
  CPI!D:D,
  CPI!C:C,
  "",
  -1
)</f>
        <v>4.3899999999999997</v>
      </c>
      <c r="G185">
        <v>30892</v>
      </c>
    </row>
    <row r="186" spans="1:7">
      <c r="A186" s="1">
        <v>42635</v>
      </c>
      <c r="B186">
        <v>31335</v>
      </c>
      <c r="C186">
        <f>_xlfn.XLOOKUP(A186, USD!A:A, USD!B:B, "")</f>
        <v>66.632999999999996</v>
      </c>
      <c r="D186">
        <f>_xlfn.XLOOKUP(A186, Brent!A:A, Brent!B:B, "")</f>
        <v>47.21</v>
      </c>
      <c r="E186">
        <f>_xlfn.XLOOKUP(
  A186,
  Repo!A:A,
  Repo!B:B,
  "",
  -1
)</f>
        <v>6.5</v>
      </c>
      <c r="F186" s="10">
        <f>_xlfn.XLOOKUP(
  A186,
  CPI!D:D,
  CPI!C:C,
  "",
  -1
)</f>
        <v>4.3899999999999997</v>
      </c>
      <c r="G186">
        <v>31207</v>
      </c>
    </row>
    <row r="187" spans="1:7">
      <c r="A187" s="1">
        <v>42636</v>
      </c>
      <c r="B187">
        <v>31288</v>
      </c>
      <c r="C187">
        <f>_xlfn.XLOOKUP(A187, USD!A:A, USD!B:B, "")</f>
        <v>66.706999999999994</v>
      </c>
      <c r="D187">
        <f>_xlfn.XLOOKUP(A187, Brent!A:A, Brent!B:B, "")</f>
        <v>46.71</v>
      </c>
      <c r="E187">
        <f>_xlfn.XLOOKUP(
  A187,
  Repo!A:A,
  Repo!B:B,
  "",
  -1
)</f>
        <v>6.5</v>
      </c>
      <c r="F187" s="10">
        <f>_xlfn.XLOOKUP(
  A187,
  CPI!D:D,
  CPI!C:C,
  "",
  -1
)</f>
        <v>4.3899999999999997</v>
      </c>
      <c r="G187">
        <v>31335</v>
      </c>
    </row>
    <row r="188" spans="1:7">
      <c r="A188" s="1">
        <v>42639</v>
      </c>
      <c r="B188">
        <v>31351</v>
      </c>
      <c r="C188">
        <f>_xlfn.XLOOKUP(A188, USD!A:A, USD!B:B, "")</f>
        <v>66.613</v>
      </c>
      <c r="D188">
        <f>_xlfn.XLOOKUP(A188, Brent!A:A, Brent!B:B, "")</f>
        <v>46.61</v>
      </c>
      <c r="E188">
        <f>_xlfn.XLOOKUP(
  A188,
  Repo!A:A,
  Repo!B:B,
  "",
  -1
)</f>
        <v>6.5</v>
      </c>
      <c r="F188" s="10">
        <f>_xlfn.XLOOKUP(
  A188,
  CPI!D:D,
  CPI!C:C,
  "",
  -1
)</f>
        <v>4.3899999999999997</v>
      </c>
      <c r="G188">
        <v>31288</v>
      </c>
    </row>
    <row r="189" spans="1:7">
      <c r="A189" s="1">
        <v>42640</v>
      </c>
      <c r="B189">
        <v>31003</v>
      </c>
      <c r="C189">
        <f>_xlfn.XLOOKUP(A189, USD!A:A, USD!B:B, "")</f>
        <v>66.424999999999997</v>
      </c>
      <c r="D189">
        <f>_xlfn.XLOOKUP(A189, Brent!A:A, Brent!B:B, "")</f>
        <v>44.95</v>
      </c>
      <c r="E189">
        <f>_xlfn.XLOOKUP(
  A189,
  Repo!A:A,
  Repo!B:B,
  "",
  -1
)</f>
        <v>6.5</v>
      </c>
      <c r="F189" s="10">
        <f>_xlfn.XLOOKUP(
  A189,
  CPI!D:D,
  CPI!C:C,
  "",
  -1
)</f>
        <v>4.3899999999999997</v>
      </c>
      <c r="G189">
        <v>31351</v>
      </c>
    </row>
    <row r="190" spans="1:7">
      <c r="A190" s="1">
        <v>42641</v>
      </c>
      <c r="B190">
        <v>30963</v>
      </c>
      <c r="C190">
        <f>_xlfn.XLOOKUP(A190, USD!A:A, USD!B:B, "")</f>
        <v>66.349000000000004</v>
      </c>
      <c r="D190">
        <f>_xlfn.XLOOKUP(A190, Brent!A:A, Brent!B:B, "")</f>
        <v>45.49</v>
      </c>
      <c r="E190">
        <f>_xlfn.XLOOKUP(
  A190,
  Repo!A:A,
  Repo!B:B,
  "",
  -1
)</f>
        <v>6.5</v>
      </c>
      <c r="F190" s="10">
        <f>_xlfn.XLOOKUP(
  A190,
  CPI!D:D,
  CPI!C:C,
  "",
  -1
)</f>
        <v>4.3899999999999997</v>
      </c>
      <c r="G190">
        <v>31003</v>
      </c>
    </row>
    <row r="191" spans="1:7">
      <c r="A191" s="1">
        <v>42642</v>
      </c>
      <c r="B191">
        <v>31224</v>
      </c>
      <c r="C191">
        <f>_xlfn.XLOOKUP(A191, USD!A:A, USD!B:B, "")</f>
        <v>66.811999999999998</v>
      </c>
      <c r="D191">
        <f>_xlfn.XLOOKUP(A191, Brent!A:A, Brent!B:B, "")</f>
        <v>48.43</v>
      </c>
      <c r="E191">
        <f>_xlfn.XLOOKUP(
  A191,
  Repo!A:A,
  Repo!B:B,
  "",
  -1
)</f>
        <v>6.5</v>
      </c>
      <c r="F191" s="10">
        <f>_xlfn.XLOOKUP(
  A191,
  CPI!D:D,
  CPI!C:C,
  "",
  -1
)</f>
        <v>4.3899999999999997</v>
      </c>
      <c r="G191">
        <v>30963</v>
      </c>
    </row>
    <row r="192" spans="1:7">
      <c r="A192" s="1">
        <v>42643</v>
      </c>
      <c r="B192">
        <v>30814</v>
      </c>
      <c r="C192">
        <f>_xlfn.XLOOKUP(A192, USD!A:A, USD!B:B, "")</f>
        <v>66.555999999999997</v>
      </c>
      <c r="D192">
        <f>_xlfn.XLOOKUP(A192, Brent!A:A, Brent!B:B, "")</f>
        <v>48.24</v>
      </c>
      <c r="E192">
        <f>_xlfn.XLOOKUP(
  A192,
  Repo!A:A,
  Repo!B:B,
  "",
  -1
)</f>
        <v>6.5</v>
      </c>
      <c r="F192" s="10">
        <f>_xlfn.XLOOKUP(
  A192,
  CPI!D:D,
  CPI!C:C,
  "",
  -1
)</f>
        <v>4.3899999999999997</v>
      </c>
      <c r="G192">
        <v>31224</v>
      </c>
    </row>
    <row r="193" spans="1:7">
      <c r="A193" s="1">
        <v>42646</v>
      </c>
      <c r="B193">
        <v>30749</v>
      </c>
      <c r="C193">
        <f>_xlfn.XLOOKUP(A193, USD!A:A, USD!B:B, "")</f>
        <v>66.546000000000006</v>
      </c>
      <c r="D193">
        <f>_xlfn.XLOOKUP(A193, Brent!A:A, Brent!B:B, "")</f>
        <v>48.61</v>
      </c>
      <c r="E193">
        <f>_xlfn.XLOOKUP(
  A193,
  Repo!A:A,
  Repo!B:B,
  "",
  -1
)</f>
        <v>6.5</v>
      </c>
      <c r="F193" s="10">
        <f>_xlfn.XLOOKUP(
  A193,
  CPI!D:D,
  CPI!C:C,
  "",
  -1
)</f>
        <v>4.2</v>
      </c>
      <c r="G193">
        <v>30814</v>
      </c>
    </row>
    <row r="194" spans="1:7">
      <c r="A194" s="1">
        <v>42647</v>
      </c>
      <c r="B194">
        <v>30068</v>
      </c>
      <c r="C194">
        <f>_xlfn.XLOOKUP(A194, USD!A:A, USD!B:B, "")</f>
        <v>66.608999999999995</v>
      </c>
      <c r="D194">
        <f>_xlfn.XLOOKUP(A194, Brent!A:A, Brent!B:B, "")</f>
        <v>48.81</v>
      </c>
      <c r="E194">
        <f>_xlfn.XLOOKUP(
  A194,
  Repo!A:A,
  Repo!B:B,
  "",
  -1
)</f>
        <v>6.5</v>
      </c>
      <c r="F194" s="10">
        <f>_xlfn.XLOOKUP(
  A194,
  CPI!D:D,
  CPI!C:C,
  "",
  -1
)</f>
        <v>4.2</v>
      </c>
      <c r="G194">
        <v>30749</v>
      </c>
    </row>
    <row r="195" spans="1:7">
      <c r="A195" s="1">
        <v>42648</v>
      </c>
      <c r="B195">
        <v>30004</v>
      </c>
      <c r="C195">
        <f>_xlfn.XLOOKUP(A195, USD!A:A, USD!B:B, "")</f>
        <v>66.572000000000003</v>
      </c>
      <c r="D195">
        <f>_xlfn.XLOOKUP(A195, Brent!A:A, Brent!B:B, "")</f>
        <v>49.57</v>
      </c>
      <c r="E195">
        <f>_xlfn.XLOOKUP(
  A195,
  Repo!A:A,
  Repo!B:B,
  "",
  -1
)</f>
        <v>6.5</v>
      </c>
      <c r="F195" s="10">
        <f>_xlfn.XLOOKUP(
  A195,
  CPI!D:D,
  CPI!C:C,
  "",
  -1
)</f>
        <v>4.2</v>
      </c>
      <c r="G195">
        <v>30068</v>
      </c>
    </row>
    <row r="196" spans="1:7">
      <c r="A196" s="1">
        <v>42649</v>
      </c>
      <c r="B196">
        <v>29615</v>
      </c>
      <c r="C196">
        <f>_xlfn.XLOOKUP(A196, USD!A:A, USD!B:B, "")</f>
        <v>66.697000000000003</v>
      </c>
      <c r="D196">
        <f>_xlfn.XLOOKUP(A196, Brent!A:A, Brent!B:B, "")</f>
        <v>50.14</v>
      </c>
      <c r="E196">
        <f>_xlfn.XLOOKUP(
  A196,
  Repo!A:A,
  Repo!B:B,
  "",
  -1
)</f>
        <v>6.5</v>
      </c>
      <c r="F196" s="10">
        <f>_xlfn.XLOOKUP(
  A196,
  CPI!D:D,
  CPI!C:C,
  "",
  -1
)</f>
        <v>4.2</v>
      </c>
      <c r="G196">
        <v>30004</v>
      </c>
    </row>
    <row r="197" spans="1:7">
      <c r="A197" s="1">
        <v>42650</v>
      </c>
      <c r="B197">
        <v>29591</v>
      </c>
      <c r="C197">
        <f>_xlfn.XLOOKUP(A197, USD!A:A, USD!B:B, "")</f>
        <v>66.602000000000004</v>
      </c>
      <c r="D197">
        <f>_xlfn.XLOOKUP(A197, Brent!A:A, Brent!B:B, "")</f>
        <v>50.49</v>
      </c>
      <c r="E197">
        <f>_xlfn.XLOOKUP(
  A197,
  Repo!A:A,
  Repo!B:B,
  "",
  -1
)</f>
        <v>6.5</v>
      </c>
      <c r="F197" s="10">
        <f>_xlfn.XLOOKUP(
  A197,
  CPI!D:D,
  CPI!C:C,
  "",
  -1
)</f>
        <v>4.2</v>
      </c>
      <c r="G197">
        <v>29615</v>
      </c>
    </row>
    <row r="198" spans="1:7">
      <c r="A198" s="1">
        <v>42653</v>
      </c>
      <c r="B198">
        <v>29662</v>
      </c>
      <c r="C198">
        <f>_xlfn.XLOOKUP(A198, USD!A:A, USD!B:B, "")</f>
        <v>66.492000000000004</v>
      </c>
      <c r="D198">
        <f>_xlfn.XLOOKUP(A198, Brent!A:A, Brent!B:B, "")</f>
        <v>51.54</v>
      </c>
      <c r="E198">
        <f>_xlfn.XLOOKUP(
  A198,
  Repo!A:A,
  Repo!B:B,
  "",
  -1
)</f>
        <v>6.5</v>
      </c>
      <c r="F198" s="10">
        <f>_xlfn.XLOOKUP(
  A198,
  CPI!D:D,
  CPI!C:C,
  "",
  -1
)</f>
        <v>4.2</v>
      </c>
      <c r="G198">
        <v>29591</v>
      </c>
    </row>
    <row r="199" spans="1:7">
      <c r="A199" s="1">
        <v>42654</v>
      </c>
      <c r="B199">
        <v>29712</v>
      </c>
      <c r="C199">
        <f>_xlfn.XLOOKUP(A199, USD!A:A, USD!B:B, "")</f>
        <v>66.834000000000003</v>
      </c>
      <c r="D199">
        <f>_xlfn.XLOOKUP(A199, Brent!A:A, Brent!B:B, "")</f>
        <v>50.48</v>
      </c>
      <c r="E199">
        <f>_xlfn.XLOOKUP(
  A199,
  Repo!A:A,
  Repo!B:B,
  "",
  -1
)</f>
        <v>6.5</v>
      </c>
      <c r="F199" s="10">
        <f>_xlfn.XLOOKUP(
  A199,
  CPI!D:D,
  CPI!C:C,
  "",
  -1
)</f>
        <v>4.2</v>
      </c>
      <c r="G199">
        <v>29662</v>
      </c>
    </row>
    <row r="200" spans="1:7">
      <c r="A200" s="1">
        <v>42655</v>
      </c>
      <c r="B200">
        <v>29662</v>
      </c>
      <c r="C200">
        <f>_xlfn.XLOOKUP(A200, USD!A:A, USD!B:B, "")</f>
        <v>66.811999999999998</v>
      </c>
      <c r="D200">
        <f>_xlfn.XLOOKUP(A200, Brent!A:A, Brent!B:B, "")</f>
        <v>49.53</v>
      </c>
      <c r="E200">
        <f>_xlfn.XLOOKUP(
  A200,
  Repo!A:A,
  Repo!B:B,
  "",
  -1
)</f>
        <v>6.5</v>
      </c>
      <c r="F200" s="10">
        <f>_xlfn.XLOOKUP(
  A200,
  CPI!D:D,
  CPI!C:C,
  "",
  -1
)</f>
        <v>4.2</v>
      </c>
      <c r="G200">
        <v>29712</v>
      </c>
    </row>
    <row r="201" spans="1:7">
      <c r="A201" s="1">
        <v>42656</v>
      </c>
      <c r="B201">
        <v>29697</v>
      </c>
      <c r="C201">
        <f>_xlfn.XLOOKUP(A201, USD!A:A, USD!B:B, "")</f>
        <v>66.793999999999997</v>
      </c>
      <c r="D201">
        <f>_xlfn.XLOOKUP(A201, Brent!A:A, Brent!B:B, "")</f>
        <v>49.29</v>
      </c>
      <c r="E201">
        <f>_xlfn.XLOOKUP(
  A201,
  Repo!A:A,
  Repo!B:B,
  "",
  -1
)</f>
        <v>6.5</v>
      </c>
      <c r="F201" s="10">
        <f>_xlfn.XLOOKUP(
  A201,
  CPI!D:D,
  CPI!C:C,
  "",
  -1
)</f>
        <v>4.2</v>
      </c>
      <c r="G201">
        <v>29662</v>
      </c>
    </row>
    <row r="202" spans="1:7">
      <c r="A202" s="1">
        <v>42657</v>
      </c>
      <c r="B202">
        <v>29638</v>
      </c>
      <c r="C202">
        <f>_xlfn.XLOOKUP(A202, USD!A:A, USD!B:B, "")</f>
        <v>66.716999999999999</v>
      </c>
      <c r="D202">
        <f>_xlfn.XLOOKUP(A202, Brent!A:A, Brent!B:B, "")</f>
        <v>48.87</v>
      </c>
      <c r="E202">
        <f>_xlfn.XLOOKUP(
  A202,
  Repo!A:A,
  Repo!B:B,
  "",
  -1
)</f>
        <v>6.5</v>
      </c>
      <c r="F202" s="10">
        <f>_xlfn.XLOOKUP(
  A202,
  CPI!D:D,
  CPI!C:C,
  "",
  -1
)</f>
        <v>4.2</v>
      </c>
      <c r="G202">
        <v>29697</v>
      </c>
    </row>
    <row r="203" spans="1:7">
      <c r="A203" s="1">
        <v>42660</v>
      </c>
      <c r="B203">
        <v>29675</v>
      </c>
      <c r="C203">
        <f>_xlfn.XLOOKUP(A203, USD!A:A, USD!B:B, "")</f>
        <v>66.789000000000001</v>
      </c>
      <c r="D203">
        <f>_xlfn.XLOOKUP(A203, Brent!A:A, Brent!B:B, "")</f>
        <v>49.31</v>
      </c>
      <c r="E203">
        <f>_xlfn.XLOOKUP(
  A203,
  Repo!A:A,
  Repo!B:B,
  "",
  -1
)</f>
        <v>6.5</v>
      </c>
      <c r="F203" s="10">
        <f>_xlfn.XLOOKUP(
  A203,
  CPI!D:D,
  CPI!C:C,
  "",
  -1
)</f>
        <v>4.2</v>
      </c>
      <c r="G203">
        <v>29638</v>
      </c>
    </row>
    <row r="204" spans="1:7">
      <c r="A204" s="1">
        <v>42661</v>
      </c>
      <c r="B204">
        <v>29773</v>
      </c>
      <c r="C204">
        <f>_xlfn.XLOOKUP(A204, USD!A:A, USD!B:B, "")</f>
        <v>66.733000000000004</v>
      </c>
      <c r="D204">
        <f>_xlfn.XLOOKUP(A204, Brent!A:A, Brent!B:B, "")</f>
        <v>49.81</v>
      </c>
      <c r="E204">
        <f>_xlfn.XLOOKUP(
  A204,
  Repo!A:A,
  Repo!B:B,
  "",
  -1
)</f>
        <v>6.5</v>
      </c>
      <c r="F204" s="10">
        <f>_xlfn.XLOOKUP(
  A204,
  CPI!D:D,
  CPI!C:C,
  "",
  -1
)</f>
        <v>4.2</v>
      </c>
      <c r="G204">
        <v>29675</v>
      </c>
    </row>
    <row r="205" spans="1:7">
      <c r="A205" s="1">
        <v>42662</v>
      </c>
      <c r="B205">
        <v>29883</v>
      </c>
      <c r="C205">
        <f>_xlfn.XLOOKUP(A205, USD!A:A, USD!B:B, "")</f>
        <v>66.644999999999996</v>
      </c>
      <c r="D205">
        <f>_xlfn.XLOOKUP(A205, Brent!A:A, Brent!B:B, "")</f>
        <v>51.85</v>
      </c>
      <c r="E205">
        <f>_xlfn.XLOOKUP(
  A205,
  Repo!A:A,
  Repo!B:B,
  "",
  -1
)</f>
        <v>6.5</v>
      </c>
      <c r="F205" s="10">
        <f>_xlfn.XLOOKUP(
  A205,
  CPI!D:D,
  CPI!C:C,
  "",
  -1
)</f>
        <v>4.2</v>
      </c>
      <c r="G205">
        <v>29773</v>
      </c>
    </row>
    <row r="206" spans="1:7">
      <c r="A206" s="1">
        <v>42663</v>
      </c>
      <c r="B206">
        <v>29891</v>
      </c>
      <c r="C206">
        <f>_xlfn.XLOOKUP(A206, USD!A:A, USD!B:B, "")</f>
        <v>66.83</v>
      </c>
      <c r="D206">
        <f>_xlfn.XLOOKUP(A206, Brent!A:A, Brent!B:B, "")</f>
        <v>50.42</v>
      </c>
      <c r="E206">
        <f>_xlfn.XLOOKUP(
  A206,
  Repo!A:A,
  Repo!B:B,
  "",
  -1
)</f>
        <v>6.5</v>
      </c>
      <c r="F206" s="10">
        <f>_xlfn.XLOOKUP(
  A206,
  CPI!D:D,
  CPI!C:C,
  "",
  -1
)</f>
        <v>4.2</v>
      </c>
      <c r="G206">
        <v>29883</v>
      </c>
    </row>
    <row r="207" spans="1:7">
      <c r="A207" s="1">
        <v>42664</v>
      </c>
      <c r="B207">
        <v>29936</v>
      </c>
      <c r="C207">
        <f>_xlfn.XLOOKUP(A207, USD!A:A, USD!B:B, "")</f>
        <v>66.926000000000002</v>
      </c>
      <c r="D207">
        <f>_xlfn.XLOOKUP(A207, Brent!A:A, Brent!B:B, "")</f>
        <v>50.28</v>
      </c>
      <c r="E207">
        <f>_xlfn.XLOOKUP(
  A207,
  Repo!A:A,
  Repo!B:B,
  "",
  -1
)</f>
        <v>6.5</v>
      </c>
      <c r="F207" s="10">
        <f>_xlfn.XLOOKUP(
  A207,
  CPI!D:D,
  CPI!C:C,
  "",
  -1
)</f>
        <v>4.2</v>
      </c>
      <c r="G207">
        <v>29891</v>
      </c>
    </row>
    <row r="208" spans="1:7">
      <c r="A208" s="1">
        <v>42667</v>
      </c>
      <c r="B208">
        <v>29820</v>
      </c>
      <c r="C208">
        <f>_xlfn.XLOOKUP(A208, USD!A:A, USD!B:B, "")</f>
        <v>66.844999999999999</v>
      </c>
      <c r="D208">
        <f>_xlfn.XLOOKUP(A208, Brent!A:A, Brent!B:B, "")</f>
        <v>49.8</v>
      </c>
      <c r="E208">
        <f>_xlfn.XLOOKUP(
  A208,
  Repo!A:A,
  Repo!B:B,
  "",
  -1
)</f>
        <v>6.5</v>
      </c>
      <c r="F208" s="10">
        <f>_xlfn.XLOOKUP(
  A208,
  CPI!D:D,
  CPI!C:C,
  "",
  -1
)</f>
        <v>4.2</v>
      </c>
      <c r="G208">
        <v>29936</v>
      </c>
    </row>
    <row r="209" spans="1:7">
      <c r="A209" s="1">
        <v>42668</v>
      </c>
      <c r="B209">
        <v>30034</v>
      </c>
      <c r="C209">
        <f>_xlfn.XLOOKUP(A209, USD!A:A, USD!B:B, "")</f>
        <v>66.805999999999997</v>
      </c>
      <c r="D209">
        <f>_xlfn.XLOOKUP(A209, Brent!A:A, Brent!B:B, "")</f>
        <v>49.08</v>
      </c>
      <c r="E209">
        <f>_xlfn.XLOOKUP(
  A209,
  Repo!A:A,
  Repo!B:B,
  "",
  -1
)</f>
        <v>6.5</v>
      </c>
      <c r="F209" s="10">
        <f>_xlfn.XLOOKUP(
  A209,
  CPI!D:D,
  CPI!C:C,
  "",
  -1
)</f>
        <v>4.2</v>
      </c>
      <c r="G209">
        <v>29820</v>
      </c>
    </row>
    <row r="210" spans="1:7">
      <c r="A210" s="1">
        <v>42669</v>
      </c>
      <c r="B210">
        <v>29913</v>
      </c>
      <c r="C210">
        <f>_xlfn.XLOOKUP(A210, USD!A:A, USD!B:B, "")</f>
        <v>66.863</v>
      </c>
      <c r="D210">
        <f>_xlfn.XLOOKUP(A210, Brent!A:A, Brent!B:B, "")</f>
        <v>48.98</v>
      </c>
      <c r="E210">
        <f>_xlfn.XLOOKUP(
  A210,
  Repo!A:A,
  Repo!B:B,
  "",
  -1
)</f>
        <v>6.5</v>
      </c>
      <c r="F210" s="10">
        <f>_xlfn.XLOOKUP(
  A210,
  CPI!D:D,
  CPI!C:C,
  "",
  -1
)</f>
        <v>4.2</v>
      </c>
      <c r="G210">
        <v>30034</v>
      </c>
    </row>
    <row r="211" spans="1:7">
      <c r="A211" s="1">
        <v>42670</v>
      </c>
      <c r="B211">
        <v>30054</v>
      </c>
      <c r="C211">
        <f>_xlfn.XLOOKUP(A211, USD!A:A, USD!B:B, "")</f>
        <v>66.881</v>
      </c>
      <c r="D211">
        <f>_xlfn.XLOOKUP(A211, Brent!A:A, Brent!B:B, "")</f>
        <v>49.13</v>
      </c>
      <c r="E211">
        <f>_xlfn.XLOOKUP(
  A211,
  Repo!A:A,
  Repo!B:B,
  "",
  -1
)</f>
        <v>6.5</v>
      </c>
      <c r="F211" s="10">
        <f>_xlfn.XLOOKUP(
  A211,
  CPI!D:D,
  CPI!C:C,
  "",
  -1
)</f>
        <v>4.2</v>
      </c>
      <c r="G211">
        <v>29913</v>
      </c>
    </row>
    <row r="212" spans="1:7">
      <c r="A212" s="1">
        <v>42671</v>
      </c>
      <c r="B212">
        <v>30131</v>
      </c>
      <c r="C212">
        <f>_xlfn.XLOOKUP(A212, USD!A:A, USD!B:B, "")</f>
        <v>66.778000000000006</v>
      </c>
      <c r="D212">
        <f>_xlfn.XLOOKUP(A212, Brent!A:A, Brent!B:B, "")</f>
        <v>47.78</v>
      </c>
      <c r="E212">
        <f>_xlfn.XLOOKUP(
  A212,
  Repo!A:A,
  Repo!B:B,
  "",
  -1
)</f>
        <v>6.5</v>
      </c>
      <c r="F212" s="10">
        <f>_xlfn.XLOOKUP(
  A212,
  CPI!D:D,
  CPI!C:C,
  "",
  -1
)</f>
        <v>4.2</v>
      </c>
      <c r="G212">
        <v>30054</v>
      </c>
    </row>
    <row r="213" spans="1:7">
      <c r="A213" s="1">
        <v>42674</v>
      </c>
      <c r="B213">
        <v>30057</v>
      </c>
      <c r="C213">
        <f>_xlfn.XLOOKUP(A213, USD!A:A, USD!B:B, "")</f>
        <v>66.686000000000007</v>
      </c>
      <c r="D213">
        <f>_xlfn.XLOOKUP(A213, Brent!A:A, Brent!B:B, "")</f>
        <v>46.2</v>
      </c>
      <c r="E213">
        <f>_xlfn.XLOOKUP(
  A213,
  Repo!A:A,
  Repo!B:B,
  "",
  -1
)</f>
        <v>6.25</v>
      </c>
      <c r="F213" s="10">
        <f>_xlfn.XLOOKUP(
  A213,
  CPI!D:D,
  CPI!C:C,
  "",
  -1
)</f>
        <v>4.2</v>
      </c>
      <c r="G213">
        <v>30131</v>
      </c>
    </row>
    <row r="214" spans="1:7">
      <c r="A214" s="1">
        <v>42675</v>
      </c>
      <c r="B214">
        <v>30329</v>
      </c>
      <c r="C214">
        <f>_xlfn.XLOOKUP(A214, USD!A:A, USD!B:B, "")</f>
        <v>66.695999999999998</v>
      </c>
      <c r="D214">
        <f>_xlfn.XLOOKUP(A214, Brent!A:A, Brent!B:B, "")</f>
        <v>45.77</v>
      </c>
      <c r="E214">
        <f>_xlfn.XLOOKUP(
  A214,
  Repo!A:A,
  Repo!B:B,
  "",
  -1
)</f>
        <v>6.25</v>
      </c>
      <c r="F214" s="10">
        <f>_xlfn.XLOOKUP(
  A214,
  CPI!D:D,
  CPI!C:C,
  "",
  -1
)</f>
        <v>3.63</v>
      </c>
      <c r="G214">
        <v>30057</v>
      </c>
    </row>
    <row r="215" spans="1:7">
      <c r="A215" s="1">
        <v>42676</v>
      </c>
      <c r="B215">
        <v>30759</v>
      </c>
      <c r="C215">
        <f>_xlfn.XLOOKUP(A215, USD!A:A, USD!B:B, "")</f>
        <v>66.762</v>
      </c>
      <c r="D215">
        <f>_xlfn.XLOOKUP(A215, Brent!A:A, Brent!B:B, "")</f>
        <v>44.26</v>
      </c>
      <c r="E215">
        <f>_xlfn.XLOOKUP(
  A215,
  Repo!A:A,
  Repo!B:B,
  "",
  -1
)</f>
        <v>6.25</v>
      </c>
      <c r="F215" s="10">
        <f>_xlfn.XLOOKUP(
  A215,
  CPI!D:D,
  CPI!C:C,
  "",
  -1
)</f>
        <v>3.63</v>
      </c>
      <c r="G215">
        <v>30329</v>
      </c>
    </row>
    <row r="216" spans="1:7">
      <c r="A216" s="1">
        <v>42677</v>
      </c>
      <c r="B216">
        <v>30674</v>
      </c>
      <c r="C216">
        <f>_xlfn.XLOOKUP(A216, USD!A:A, USD!B:B, "")</f>
        <v>66.668000000000006</v>
      </c>
      <c r="D216">
        <f>_xlfn.XLOOKUP(A216, Brent!A:A, Brent!B:B, "")</f>
        <v>43.84</v>
      </c>
      <c r="E216">
        <f>_xlfn.XLOOKUP(
  A216,
  Repo!A:A,
  Repo!B:B,
  "",
  -1
)</f>
        <v>6.25</v>
      </c>
      <c r="F216" s="10">
        <f>_xlfn.XLOOKUP(
  A216,
  CPI!D:D,
  CPI!C:C,
  "",
  -1
)</f>
        <v>3.63</v>
      </c>
      <c r="G216">
        <v>30759</v>
      </c>
    </row>
    <row r="217" spans="1:7">
      <c r="A217" s="1">
        <v>42678</v>
      </c>
      <c r="B217">
        <v>30689</v>
      </c>
      <c r="C217">
        <f>_xlfn.XLOOKUP(A217, USD!A:A, USD!B:B, "")</f>
        <v>66.796000000000006</v>
      </c>
      <c r="D217">
        <f>_xlfn.XLOOKUP(A217, Brent!A:A, Brent!B:B, "")</f>
        <v>43.06</v>
      </c>
      <c r="E217">
        <f>_xlfn.XLOOKUP(
  A217,
  Repo!A:A,
  Repo!B:B,
  "",
  -1
)</f>
        <v>6.25</v>
      </c>
      <c r="F217" s="10">
        <f>_xlfn.XLOOKUP(
  A217,
  CPI!D:D,
  CPI!C:C,
  "",
  -1
)</f>
        <v>3.63</v>
      </c>
      <c r="G217">
        <v>30674</v>
      </c>
    </row>
    <row r="218" spans="1:7">
      <c r="A218" s="1">
        <v>42681</v>
      </c>
      <c r="B218">
        <v>30118</v>
      </c>
      <c r="C218">
        <f>_xlfn.XLOOKUP(A218, USD!A:A, USD!B:B, "")</f>
        <v>66.745000000000005</v>
      </c>
      <c r="D218">
        <f>_xlfn.XLOOKUP(A218, Brent!A:A, Brent!B:B, "")</f>
        <v>42.83</v>
      </c>
      <c r="E218">
        <f>_xlfn.XLOOKUP(
  A218,
  Repo!A:A,
  Repo!B:B,
  "",
  -1
)</f>
        <v>6.25</v>
      </c>
      <c r="F218" s="10">
        <f>_xlfn.XLOOKUP(
  A218,
  CPI!D:D,
  CPI!C:C,
  "",
  -1
)</f>
        <v>3.63</v>
      </c>
      <c r="G218">
        <v>30689</v>
      </c>
    </row>
    <row r="219" spans="1:7">
      <c r="A219" s="1">
        <v>42682</v>
      </c>
      <c r="B219">
        <v>29899</v>
      </c>
      <c r="C219">
        <f>_xlfn.XLOOKUP(A219, USD!A:A, USD!B:B, "")</f>
        <v>66.245999999999995</v>
      </c>
      <c r="D219">
        <f>_xlfn.XLOOKUP(A219, Brent!A:A, Brent!B:B, "")</f>
        <v>43.47</v>
      </c>
      <c r="E219">
        <f>_xlfn.XLOOKUP(
  A219,
  Repo!A:A,
  Repo!B:B,
  "",
  -1
)</f>
        <v>6.25</v>
      </c>
      <c r="F219" s="10">
        <f>_xlfn.XLOOKUP(
  A219,
  CPI!D:D,
  CPI!C:C,
  "",
  -1
)</f>
        <v>3.63</v>
      </c>
      <c r="G219">
        <v>30118</v>
      </c>
    </row>
    <row r="220" spans="1:7">
      <c r="A220" s="1">
        <v>42683</v>
      </c>
      <c r="B220">
        <v>29961</v>
      </c>
      <c r="C220">
        <f>_xlfn.XLOOKUP(A220, USD!A:A, USD!B:B, "")</f>
        <v>66.515000000000001</v>
      </c>
      <c r="D220">
        <f>_xlfn.XLOOKUP(A220, Brent!A:A, Brent!B:B, "")</f>
        <v>43.88</v>
      </c>
      <c r="E220">
        <f>_xlfn.XLOOKUP(
  A220,
  Repo!A:A,
  Repo!B:B,
  "",
  -1
)</f>
        <v>6.25</v>
      </c>
      <c r="F220" s="10">
        <f>_xlfn.XLOOKUP(
  A220,
  CPI!D:D,
  CPI!C:C,
  "",
  -1
)</f>
        <v>3.63</v>
      </c>
      <c r="G220">
        <v>29899</v>
      </c>
    </row>
    <row r="221" spans="1:7">
      <c r="A221" s="1">
        <v>42684</v>
      </c>
      <c r="B221">
        <v>29986</v>
      </c>
      <c r="C221">
        <f>_xlfn.XLOOKUP(A221, USD!A:A, USD!B:B, "")</f>
        <v>66.864999999999995</v>
      </c>
      <c r="D221">
        <f>_xlfn.XLOOKUP(A221, Brent!A:A, Brent!B:B, "")</f>
        <v>43.67</v>
      </c>
      <c r="E221">
        <f>_xlfn.XLOOKUP(
  A221,
  Repo!A:A,
  Repo!B:B,
  "",
  -1
)</f>
        <v>6.25</v>
      </c>
      <c r="F221" s="10">
        <f>_xlfn.XLOOKUP(
  A221,
  CPI!D:D,
  CPI!C:C,
  "",
  -1
)</f>
        <v>3.63</v>
      </c>
      <c r="G221">
        <v>29961</v>
      </c>
    </row>
    <row r="222" spans="1:7">
      <c r="A222" s="1">
        <v>42685</v>
      </c>
      <c r="B222">
        <v>29461</v>
      </c>
      <c r="C222">
        <f>_xlfn.XLOOKUP(A222, USD!A:A, USD!B:B, "")</f>
        <v>67.564999999999998</v>
      </c>
      <c r="D222">
        <f>_xlfn.XLOOKUP(A222, Brent!A:A, Brent!B:B, "")</f>
        <v>41.61</v>
      </c>
      <c r="E222">
        <f>_xlfn.XLOOKUP(
  A222,
  Repo!A:A,
  Repo!B:B,
  "",
  -1
)</f>
        <v>6.25</v>
      </c>
      <c r="F222" s="10">
        <f>_xlfn.XLOOKUP(
  A222,
  CPI!D:D,
  CPI!C:C,
  "",
  -1
)</f>
        <v>3.63</v>
      </c>
      <c r="G222">
        <v>29986</v>
      </c>
    </row>
    <row r="223" spans="1:7">
      <c r="A223" s="1">
        <v>42688</v>
      </c>
      <c r="B223">
        <v>29676</v>
      </c>
      <c r="C223">
        <f>_xlfn.XLOOKUP(A223, USD!A:A, USD!B:B, "")</f>
        <v>67.784999999999997</v>
      </c>
      <c r="D223">
        <f>_xlfn.XLOOKUP(A223, Brent!A:A, Brent!B:B, "")</f>
        <v>41.83</v>
      </c>
      <c r="E223">
        <f>_xlfn.XLOOKUP(
  A223,
  Repo!A:A,
  Repo!B:B,
  "",
  -1
)</f>
        <v>6.25</v>
      </c>
      <c r="F223" s="10">
        <f>_xlfn.XLOOKUP(
  A223,
  CPI!D:D,
  CPI!C:C,
  "",
  -1
)</f>
        <v>3.63</v>
      </c>
      <c r="G223">
        <v>29461</v>
      </c>
    </row>
    <row r="224" spans="1:7">
      <c r="A224" s="1">
        <v>42689</v>
      </c>
      <c r="B224">
        <v>29391</v>
      </c>
      <c r="C224">
        <f>_xlfn.XLOOKUP(A224, USD!A:A, USD!B:B, "")</f>
        <v>67.786000000000001</v>
      </c>
      <c r="D224">
        <f>_xlfn.XLOOKUP(A224, Brent!A:A, Brent!B:B, "")</f>
        <v>44.15</v>
      </c>
      <c r="E224">
        <f>_xlfn.XLOOKUP(
  A224,
  Repo!A:A,
  Repo!B:B,
  "",
  -1
)</f>
        <v>6.25</v>
      </c>
      <c r="F224" s="10">
        <f>_xlfn.XLOOKUP(
  A224,
  CPI!D:D,
  CPI!C:C,
  "",
  -1
)</f>
        <v>3.63</v>
      </c>
      <c r="G224">
        <v>29676</v>
      </c>
    </row>
    <row r="225" spans="1:7">
      <c r="A225" s="1">
        <v>42690</v>
      </c>
      <c r="B225">
        <v>29463</v>
      </c>
      <c r="C225">
        <f>_xlfn.XLOOKUP(A225, USD!A:A, USD!B:B, "")</f>
        <v>67.998999999999995</v>
      </c>
      <c r="D225">
        <f>_xlfn.XLOOKUP(A225, Brent!A:A, Brent!B:B, "")</f>
        <v>45.07</v>
      </c>
      <c r="E225">
        <f>_xlfn.XLOOKUP(
  A225,
  Repo!A:A,
  Repo!B:B,
  "",
  -1
)</f>
        <v>6.25</v>
      </c>
      <c r="F225" s="10">
        <f>_xlfn.XLOOKUP(
  A225,
  CPI!D:D,
  CPI!C:C,
  "",
  -1
)</f>
        <v>3.63</v>
      </c>
      <c r="G225">
        <v>29391</v>
      </c>
    </row>
    <row r="226" spans="1:7">
      <c r="A226" s="1">
        <v>42691</v>
      </c>
      <c r="B226">
        <v>29185</v>
      </c>
      <c r="C226">
        <f>_xlfn.XLOOKUP(A226, USD!A:A, USD!B:B, "")</f>
        <v>68.022999999999996</v>
      </c>
      <c r="D226">
        <f>_xlfn.XLOOKUP(A226, Brent!A:A, Brent!B:B, "")</f>
        <v>44.57</v>
      </c>
      <c r="E226">
        <f>_xlfn.XLOOKUP(
  A226,
  Repo!A:A,
  Repo!B:B,
  "",
  -1
)</f>
        <v>6.25</v>
      </c>
      <c r="F226" s="10">
        <f>_xlfn.XLOOKUP(
  A226,
  CPI!D:D,
  CPI!C:C,
  "",
  -1
)</f>
        <v>3.63</v>
      </c>
      <c r="G226">
        <v>29463</v>
      </c>
    </row>
    <row r="227" spans="1:7">
      <c r="A227" s="1">
        <v>42692</v>
      </c>
      <c r="B227">
        <v>29005</v>
      </c>
      <c r="C227">
        <f>_xlfn.XLOOKUP(A227, USD!A:A, USD!B:B, "")</f>
        <v>68.191000000000003</v>
      </c>
      <c r="D227">
        <f>_xlfn.XLOOKUP(A227, Brent!A:A, Brent!B:B, "")</f>
        <v>44.41</v>
      </c>
      <c r="E227">
        <f>_xlfn.XLOOKUP(
  A227,
  Repo!A:A,
  Repo!B:B,
  "",
  -1
)</f>
        <v>6.25</v>
      </c>
      <c r="F227" s="10">
        <f>_xlfn.XLOOKUP(
  A227,
  CPI!D:D,
  CPI!C:C,
  "",
  -1
)</f>
        <v>3.63</v>
      </c>
      <c r="G227">
        <v>29185</v>
      </c>
    </row>
    <row r="228" spans="1:7">
      <c r="A228" s="1">
        <v>42695</v>
      </c>
      <c r="B228">
        <v>29197</v>
      </c>
      <c r="C228">
        <f>_xlfn.XLOOKUP(A228, USD!A:A, USD!B:B, "")</f>
        <v>68.227999999999994</v>
      </c>
      <c r="D228">
        <f>_xlfn.XLOOKUP(A228, Brent!A:A, Brent!B:B, "")</f>
        <v>45.96</v>
      </c>
      <c r="E228">
        <f>_xlfn.XLOOKUP(
  A228,
  Repo!A:A,
  Repo!B:B,
  "",
  -1
)</f>
        <v>6.25</v>
      </c>
      <c r="F228" s="10">
        <f>_xlfn.XLOOKUP(
  A228,
  CPI!D:D,
  CPI!C:C,
  "",
  -1
)</f>
        <v>3.63</v>
      </c>
      <c r="G228">
        <v>29005</v>
      </c>
    </row>
    <row r="229" spans="1:7">
      <c r="A229" s="1">
        <v>42696</v>
      </c>
      <c r="B229">
        <v>29182</v>
      </c>
      <c r="C229">
        <f>_xlfn.XLOOKUP(A229, USD!A:A, USD!B:B, "")</f>
        <v>68.396000000000001</v>
      </c>
      <c r="D229">
        <f>_xlfn.XLOOKUP(A229, Brent!A:A, Brent!B:B, "")</f>
        <v>46.1</v>
      </c>
      <c r="E229">
        <f>_xlfn.XLOOKUP(
  A229,
  Repo!A:A,
  Repo!B:B,
  "",
  -1
)</f>
        <v>6.25</v>
      </c>
      <c r="F229" s="10">
        <f>_xlfn.XLOOKUP(
  A229,
  CPI!D:D,
  CPI!C:C,
  "",
  -1
)</f>
        <v>3.63</v>
      </c>
      <c r="G229">
        <v>29197</v>
      </c>
    </row>
    <row r="230" spans="1:7">
      <c r="A230" s="1">
        <v>42697</v>
      </c>
      <c r="B230">
        <v>28885</v>
      </c>
      <c r="C230">
        <f>_xlfn.XLOOKUP(A230, USD!A:A, USD!B:B, "")</f>
        <v>68.784000000000006</v>
      </c>
      <c r="D230">
        <f>_xlfn.XLOOKUP(A230, Brent!A:A, Brent!B:B, "")</f>
        <v>46.54</v>
      </c>
      <c r="E230">
        <f>_xlfn.XLOOKUP(
  A230,
  Repo!A:A,
  Repo!B:B,
  "",
  -1
)</f>
        <v>6.25</v>
      </c>
      <c r="F230" s="10">
        <f>_xlfn.XLOOKUP(
  A230,
  CPI!D:D,
  CPI!C:C,
  "",
  -1
)</f>
        <v>3.63</v>
      </c>
      <c r="G230">
        <v>29182</v>
      </c>
    </row>
    <row r="231" spans="1:7">
      <c r="A231" s="1">
        <v>42698</v>
      </c>
      <c r="B231">
        <v>28816</v>
      </c>
      <c r="C231">
        <f>_xlfn.XLOOKUP(A231, USD!A:A, USD!B:B, "")</f>
        <v>68.760999999999996</v>
      </c>
      <c r="D231">
        <f>_xlfn.XLOOKUP(A231, Brent!A:A, Brent!B:B, "")</f>
        <v>47.54</v>
      </c>
      <c r="E231">
        <f>_xlfn.XLOOKUP(
  A231,
  Repo!A:A,
  Repo!B:B,
  "",
  -1
)</f>
        <v>6.25</v>
      </c>
      <c r="F231" s="10">
        <f>_xlfn.XLOOKUP(
  A231,
  CPI!D:D,
  CPI!C:C,
  "",
  -1
)</f>
        <v>3.63</v>
      </c>
      <c r="G231">
        <v>28885</v>
      </c>
    </row>
    <row r="232" spans="1:7">
      <c r="A232" s="1">
        <v>42699</v>
      </c>
      <c r="B232">
        <v>28671</v>
      </c>
      <c r="C232">
        <f>_xlfn.XLOOKUP(A232, USD!A:A, USD!B:B, "")</f>
        <v>68.519000000000005</v>
      </c>
      <c r="D232">
        <f>_xlfn.XLOOKUP(A232, Brent!A:A, Brent!B:B, "")</f>
        <v>46.32</v>
      </c>
      <c r="E232">
        <f>_xlfn.XLOOKUP(
  A232,
  Repo!A:A,
  Repo!B:B,
  "",
  -1
)</f>
        <v>6.25</v>
      </c>
      <c r="F232" s="10">
        <f>_xlfn.XLOOKUP(
  A232,
  CPI!D:D,
  CPI!C:C,
  "",
  -1
)</f>
        <v>3.63</v>
      </c>
      <c r="G232">
        <v>28816</v>
      </c>
    </row>
    <row r="233" spans="1:7">
      <c r="A233" s="1">
        <v>42702</v>
      </c>
      <c r="B233">
        <v>28793</v>
      </c>
      <c r="C233">
        <f>_xlfn.XLOOKUP(A233, USD!A:A, USD!B:B, "")</f>
        <v>68.578999999999994</v>
      </c>
      <c r="D233">
        <f>_xlfn.XLOOKUP(A233, Brent!A:A, Brent!B:B, "")</f>
        <v>46.64</v>
      </c>
      <c r="E233">
        <f>_xlfn.XLOOKUP(
  A233,
  Repo!A:A,
  Repo!B:B,
  "",
  -1
)</f>
        <v>6.25</v>
      </c>
      <c r="F233" s="10">
        <f>_xlfn.XLOOKUP(
  A233,
  CPI!D:D,
  CPI!C:C,
  "",
  -1
)</f>
        <v>3.63</v>
      </c>
      <c r="G233">
        <v>28671</v>
      </c>
    </row>
    <row r="234" spans="1:7">
      <c r="A234" s="1">
        <v>42703</v>
      </c>
      <c r="B234">
        <v>28853</v>
      </c>
      <c r="C234">
        <f>_xlfn.XLOOKUP(A234, USD!A:A, USD!B:B, "")</f>
        <v>68.614999999999995</v>
      </c>
      <c r="D234">
        <f>_xlfn.XLOOKUP(A234, Brent!A:A, Brent!B:B, "")</f>
        <v>44.68</v>
      </c>
      <c r="E234">
        <f>_xlfn.XLOOKUP(
  A234,
  Repo!A:A,
  Repo!B:B,
  "",
  -1
)</f>
        <v>6.25</v>
      </c>
      <c r="F234" s="10">
        <f>_xlfn.XLOOKUP(
  A234,
  CPI!D:D,
  CPI!C:C,
  "",
  -1
)</f>
        <v>3.63</v>
      </c>
      <c r="G234">
        <v>28793</v>
      </c>
    </row>
    <row r="235" spans="1:7">
      <c r="A235" s="1">
        <v>42704</v>
      </c>
      <c r="B235">
        <v>28428</v>
      </c>
      <c r="C235">
        <f>_xlfn.XLOOKUP(A235, USD!A:A, USD!B:B, "")</f>
        <v>68.597999999999999</v>
      </c>
      <c r="D235">
        <f>_xlfn.XLOOKUP(A235, Brent!A:A, Brent!B:B, "")</f>
        <v>47.95</v>
      </c>
      <c r="E235">
        <f>_xlfn.XLOOKUP(
  A235,
  Repo!A:A,
  Repo!B:B,
  "",
  -1
)</f>
        <v>6.25</v>
      </c>
      <c r="F235" s="10">
        <f>_xlfn.XLOOKUP(
  A235,
  CPI!D:D,
  CPI!C:C,
  "",
  -1
)</f>
        <v>3.63</v>
      </c>
      <c r="G235">
        <v>28853</v>
      </c>
    </row>
    <row r="236" spans="1:7">
      <c r="A236" s="1">
        <v>42705</v>
      </c>
      <c r="B236">
        <v>28062</v>
      </c>
      <c r="C236">
        <f>_xlfn.XLOOKUP(A236, USD!A:A, USD!B:B, "")</f>
        <v>68.236000000000004</v>
      </c>
      <c r="D236">
        <f>_xlfn.XLOOKUP(A236, Brent!A:A, Brent!B:B, "")</f>
        <v>52.28</v>
      </c>
      <c r="E236">
        <f>_xlfn.XLOOKUP(
  A236,
  Repo!A:A,
  Repo!B:B,
  "",
  -1
)</f>
        <v>6.25</v>
      </c>
      <c r="F236" s="10">
        <f>_xlfn.XLOOKUP(
  A236,
  CPI!D:D,
  CPI!C:C,
  "",
  -1
)</f>
        <v>3.41</v>
      </c>
      <c r="G236">
        <v>28428</v>
      </c>
    </row>
    <row r="237" spans="1:7">
      <c r="A237" s="1">
        <v>42706</v>
      </c>
      <c r="B237">
        <v>28445</v>
      </c>
      <c r="C237">
        <f>_xlfn.XLOOKUP(A237, USD!A:A, USD!B:B, "")</f>
        <v>68.031000000000006</v>
      </c>
      <c r="D237">
        <f>_xlfn.XLOOKUP(A237, Brent!A:A, Brent!B:B, "")</f>
        <v>52.35</v>
      </c>
      <c r="E237">
        <f>_xlfn.XLOOKUP(
  A237,
  Repo!A:A,
  Repo!B:B,
  "",
  -1
)</f>
        <v>6.25</v>
      </c>
      <c r="F237" s="10">
        <f>_xlfn.XLOOKUP(
  A237,
  CPI!D:D,
  CPI!C:C,
  "",
  -1
)</f>
        <v>3.41</v>
      </c>
      <c r="G237">
        <v>28062</v>
      </c>
    </row>
    <row r="238" spans="1:7">
      <c r="A238" s="1">
        <v>42709</v>
      </c>
      <c r="B238">
        <v>28236</v>
      </c>
      <c r="C238">
        <f>_xlfn.XLOOKUP(A238, USD!A:A, USD!B:B, "")</f>
        <v>68.025000000000006</v>
      </c>
      <c r="D238">
        <f>_xlfn.XLOOKUP(A238, Brent!A:A, Brent!B:B, "")</f>
        <v>53.3</v>
      </c>
      <c r="E238">
        <f>_xlfn.XLOOKUP(
  A238,
  Repo!A:A,
  Repo!B:B,
  "",
  -1
)</f>
        <v>6.25</v>
      </c>
      <c r="F238" s="10">
        <f>_xlfn.XLOOKUP(
  A238,
  CPI!D:D,
  CPI!C:C,
  "",
  -1
)</f>
        <v>3.41</v>
      </c>
      <c r="G238">
        <v>28445</v>
      </c>
    </row>
    <row r="239" spans="1:7">
      <c r="A239" s="1">
        <v>42710</v>
      </c>
      <c r="B239">
        <v>27944</v>
      </c>
      <c r="C239">
        <f>_xlfn.XLOOKUP(A239, USD!A:A, USD!B:B, "")</f>
        <v>67.742000000000004</v>
      </c>
      <c r="D239">
        <f>_xlfn.XLOOKUP(A239, Brent!A:A, Brent!B:B, "")</f>
        <v>52.31</v>
      </c>
      <c r="E239">
        <f>_xlfn.XLOOKUP(
  A239,
  Repo!A:A,
  Repo!B:B,
  "",
  -1
)</f>
        <v>6.25</v>
      </c>
      <c r="F239" s="10">
        <f>_xlfn.XLOOKUP(
  A239,
  CPI!D:D,
  CPI!C:C,
  "",
  -1
)</f>
        <v>3.41</v>
      </c>
      <c r="G239">
        <v>28236</v>
      </c>
    </row>
    <row r="240" spans="1:7">
      <c r="A240" s="1">
        <v>42711</v>
      </c>
      <c r="B240">
        <v>28043</v>
      </c>
      <c r="C240">
        <f>_xlfn.XLOOKUP(A240, USD!A:A, USD!B:B, "")</f>
        <v>67.438000000000002</v>
      </c>
      <c r="D240">
        <f>_xlfn.XLOOKUP(A240, Brent!A:A, Brent!B:B, "")</f>
        <v>51.9</v>
      </c>
      <c r="E240">
        <f>_xlfn.XLOOKUP(
  A240,
  Repo!A:A,
  Repo!B:B,
  "",
  -1
)</f>
        <v>6.25</v>
      </c>
      <c r="F240" s="10">
        <f>_xlfn.XLOOKUP(
  A240,
  CPI!D:D,
  CPI!C:C,
  "",
  -1
)</f>
        <v>3.41</v>
      </c>
      <c r="G240">
        <v>27944</v>
      </c>
    </row>
    <row r="241" spans="1:7">
      <c r="A241" s="1">
        <v>42712</v>
      </c>
      <c r="B241">
        <v>27896</v>
      </c>
      <c r="C241">
        <f>_xlfn.XLOOKUP(A241, USD!A:A, USD!B:B, "")</f>
        <v>67.546000000000006</v>
      </c>
      <c r="D241">
        <f>_xlfn.XLOOKUP(A241, Brent!A:A, Brent!B:B, "")</f>
        <v>51.6</v>
      </c>
      <c r="E241">
        <f>_xlfn.XLOOKUP(
  A241,
  Repo!A:A,
  Repo!B:B,
  "",
  -1
)</f>
        <v>6.25</v>
      </c>
      <c r="F241" s="10">
        <f>_xlfn.XLOOKUP(
  A241,
  CPI!D:D,
  CPI!C:C,
  "",
  -1
)</f>
        <v>3.41</v>
      </c>
      <c r="G241">
        <v>28043</v>
      </c>
    </row>
    <row r="242" spans="1:7">
      <c r="A242" s="1">
        <v>42713</v>
      </c>
      <c r="B242">
        <v>27701</v>
      </c>
      <c r="C242">
        <f>_xlfn.XLOOKUP(A242, USD!A:A, USD!B:B, "")</f>
        <v>67.47</v>
      </c>
      <c r="D242">
        <f>_xlfn.XLOOKUP(A242, Brent!A:A, Brent!B:B, "")</f>
        <v>52.19</v>
      </c>
      <c r="E242">
        <f>_xlfn.XLOOKUP(
  A242,
  Repo!A:A,
  Repo!B:B,
  "",
  -1
)</f>
        <v>6.25</v>
      </c>
      <c r="F242" s="10">
        <f>_xlfn.XLOOKUP(
  A242,
  CPI!D:D,
  CPI!C:C,
  "",
  -1
)</f>
        <v>3.41</v>
      </c>
      <c r="G242">
        <v>27896</v>
      </c>
    </row>
    <row r="243" spans="1:7">
      <c r="A243" s="1">
        <v>42716</v>
      </c>
      <c r="B243">
        <v>27843</v>
      </c>
      <c r="C243">
        <f>_xlfn.XLOOKUP(A243, USD!A:A, USD!B:B, "")</f>
        <v>67.430999999999997</v>
      </c>
      <c r="D243">
        <f>_xlfn.XLOOKUP(A243, Brent!A:A, Brent!B:B, "")</f>
        <v>53.99</v>
      </c>
      <c r="E243">
        <f>_xlfn.XLOOKUP(
  A243,
  Repo!A:A,
  Repo!B:B,
  "",
  -1
)</f>
        <v>6.25</v>
      </c>
      <c r="F243" s="10">
        <f>_xlfn.XLOOKUP(
  A243,
  CPI!D:D,
  CPI!C:C,
  "",
  -1
)</f>
        <v>3.41</v>
      </c>
      <c r="G243">
        <v>27701</v>
      </c>
    </row>
    <row r="244" spans="1:7">
      <c r="A244" s="1">
        <v>42717</v>
      </c>
      <c r="B244">
        <v>27710</v>
      </c>
      <c r="C244">
        <f>_xlfn.XLOOKUP(A244, USD!A:A, USD!B:B, "")</f>
        <v>67.411000000000001</v>
      </c>
      <c r="D244">
        <f>_xlfn.XLOOKUP(A244, Brent!A:A, Brent!B:B, "")</f>
        <v>53.28</v>
      </c>
      <c r="E244">
        <f>_xlfn.XLOOKUP(
  A244,
  Repo!A:A,
  Repo!B:B,
  "",
  -1
)</f>
        <v>6.25</v>
      </c>
      <c r="F244" s="10">
        <f>_xlfn.XLOOKUP(
  A244,
  CPI!D:D,
  CPI!C:C,
  "",
  -1
)</f>
        <v>3.41</v>
      </c>
      <c r="G244">
        <v>27843</v>
      </c>
    </row>
    <row r="245" spans="1:7">
      <c r="A245" s="1">
        <v>42718</v>
      </c>
      <c r="B245">
        <v>27746</v>
      </c>
      <c r="C245">
        <f>_xlfn.XLOOKUP(A245, USD!A:A, USD!B:B, "")</f>
        <v>67.474999999999994</v>
      </c>
      <c r="D245">
        <f>_xlfn.XLOOKUP(A245, Brent!A:A, Brent!B:B, "")</f>
        <v>53.15</v>
      </c>
      <c r="E245">
        <f>_xlfn.XLOOKUP(
  A245,
  Repo!A:A,
  Repo!B:B,
  "",
  -1
)</f>
        <v>6.25</v>
      </c>
      <c r="F245" s="10">
        <f>_xlfn.XLOOKUP(
  A245,
  CPI!D:D,
  CPI!C:C,
  "",
  -1
)</f>
        <v>3.41</v>
      </c>
      <c r="G245">
        <v>27710</v>
      </c>
    </row>
    <row r="246" spans="1:7">
      <c r="A246" s="1">
        <v>42719</v>
      </c>
      <c r="B246">
        <v>27130</v>
      </c>
      <c r="C246">
        <f>_xlfn.XLOOKUP(A246, USD!A:A, USD!B:B, "")</f>
        <v>67.856999999999999</v>
      </c>
      <c r="D246">
        <f>_xlfn.XLOOKUP(A246, Brent!A:A, Brent!B:B, "")</f>
        <v>51.72</v>
      </c>
      <c r="E246">
        <f>_xlfn.XLOOKUP(
  A246,
  Repo!A:A,
  Repo!B:B,
  "",
  -1
)</f>
        <v>6.25</v>
      </c>
      <c r="F246" s="10">
        <f>_xlfn.XLOOKUP(
  A246,
  CPI!D:D,
  CPI!C:C,
  "",
  -1
)</f>
        <v>3.41</v>
      </c>
      <c r="G246">
        <v>27746</v>
      </c>
    </row>
    <row r="247" spans="1:7">
      <c r="A247" s="1">
        <v>42720</v>
      </c>
      <c r="B247">
        <v>27308</v>
      </c>
      <c r="C247">
        <f>_xlfn.XLOOKUP(A247, USD!A:A, USD!B:B, "")</f>
        <v>67.855000000000004</v>
      </c>
      <c r="D247">
        <f>_xlfn.XLOOKUP(A247, Brent!A:A, Brent!B:B, "")</f>
        <v>54.15</v>
      </c>
      <c r="E247">
        <f>_xlfn.XLOOKUP(
  A247,
  Repo!A:A,
  Repo!B:B,
  "",
  -1
)</f>
        <v>6.25</v>
      </c>
      <c r="F247" s="10">
        <f>_xlfn.XLOOKUP(
  A247,
  CPI!D:D,
  CPI!C:C,
  "",
  -1
)</f>
        <v>3.41</v>
      </c>
      <c r="G247">
        <v>27130</v>
      </c>
    </row>
    <row r="248" spans="1:7">
      <c r="A248" s="1">
        <v>42723</v>
      </c>
      <c r="B248">
        <v>27392</v>
      </c>
      <c r="C248">
        <f>_xlfn.XLOOKUP(A248, USD!A:A, USD!B:B, "")</f>
        <v>67.843999999999994</v>
      </c>
      <c r="D248">
        <f>_xlfn.XLOOKUP(A248, Brent!A:A, Brent!B:B, "")</f>
        <v>53.53</v>
      </c>
      <c r="E248">
        <f>_xlfn.XLOOKUP(
  A248,
  Repo!A:A,
  Repo!B:B,
  "",
  -1
)</f>
        <v>6.25</v>
      </c>
      <c r="F248" s="10">
        <f>_xlfn.XLOOKUP(
  A248,
  CPI!D:D,
  CPI!C:C,
  "",
  -1
)</f>
        <v>3.41</v>
      </c>
      <c r="G248">
        <v>27308</v>
      </c>
    </row>
    <row r="249" spans="1:7">
      <c r="A249" s="1">
        <v>42724</v>
      </c>
      <c r="B249">
        <v>27262</v>
      </c>
      <c r="C249">
        <f>_xlfn.XLOOKUP(A249, USD!A:A, USD!B:B, "")</f>
        <v>67.917000000000002</v>
      </c>
      <c r="D249">
        <f>_xlfn.XLOOKUP(A249, Brent!A:A, Brent!B:B, "")</f>
        <v>54.56</v>
      </c>
      <c r="E249">
        <f>_xlfn.XLOOKUP(
  A249,
  Repo!A:A,
  Repo!B:B,
  "",
  -1
)</f>
        <v>6.25</v>
      </c>
      <c r="F249" s="10">
        <f>_xlfn.XLOOKUP(
  A249,
  CPI!D:D,
  CPI!C:C,
  "",
  -1
)</f>
        <v>3.41</v>
      </c>
      <c r="G249">
        <v>27392</v>
      </c>
    </row>
    <row r="250" spans="1:7">
      <c r="A250" s="1">
        <v>42725</v>
      </c>
      <c r="B250">
        <v>27103</v>
      </c>
      <c r="C250">
        <f>_xlfn.XLOOKUP(A250, USD!A:A, USD!B:B, "")</f>
        <v>67.837000000000003</v>
      </c>
      <c r="D250">
        <f>_xlfn.XLOOKUP(A250, Brent!A:A, Brent!B:B, "")</f>
        <v>53.01</v>
      </c>
      <c r="E250">
        <f>_xlfn.XLOOKUP(
  A250,
  Repo!A:A,
  Repo!B:B,
  "",
  -1
)</f>
        <v>6.25</v>
      </c>
      <c r="F250" s="10">
        <f>_xlfn.XLOOKUP(
  A250,
  CPI!D:D,
  CPI!C:C,
  "",
  -1
)</f>
        <v>3.41</v>
      </c>
      <c r="G250">
        <v>27262</v>
      </c>
    </row>
    <row r="251" spans="1:7">
      <c r="A251" s="1">
        <v>42726</v>
      </c>
      <c r="B251">
        <v>27152</v>
      </c>
      <c r="C251">
        <f>_xlfn.XLOOKUP(A251, USD!A:A, USD!B:B, "")</f>
        <v>67.847999999999999</v>
      </c>
      <c r="D251">
        <f>_xlfn.XLOOKUP(A251, Brent!A:A, Brent!B:B, "")</f>
        <v>54.04</v>
      </c>
      <c r="E251">
        <f>_xlfn.XLOOKUP(
  A251,
  Repo!A:A,
  Repo!B:B,
  "",
  -1
)</f>
        <v>6.25</v>
      </c>
      <c r="F251" s="10">
        <f>_xlfn.XLOOKUP(
  A251,
  CPI!D:D,
  CPI!C:C,
  "",
  -1
)</f>
        <v>3.41</v>
      </c>
      <c r="G251">
        <v>27103</v>
      </c>
    </row>
    <row r="252" spans="1:7">
      <c r="A252" s="1">
        <v>42727</v>
      </c>
      <c r="B252">
        <v>27186</v>
      </c>
      <c r="C252">
        <f>_xlfn.XLOOKUP(A252, USD!A:A, USD!B:B, "")</f>
        <v>67.837000000000003</v>
      </c>
      <c r="D252">
        <f>_xlfn.XLOOKUP(A252, Brent!A:A, Brent!B:B, "")</f>
        <v>53.93</v>
      </c>
      <c r="E252">
        <f>_xlfn.XLOOKUP(
  A252,
  Repo!A:A,
  Repo!B:B,
  "",
  -1
)</f>
        <v>6.25</v>
      </c>
      <c r="F252" s="10">
        <f>_xlfn.XLOOKUP(
  A252,
  CPI!D:D,
  CPI!C:C,
  "",
  -1
)</f>
        <v>3.41</v>
      </c>
      <c r="G252">
        <v>27152</v>
      </c>
    </row>
    <row r="253" spans="1:7">
      <c r="A253" s="1">
        <v>42732</v>
      </c>
      <c r="B253">
        <v>27539</v>
      </c>
      <c r="C253">
        <f>_xlfn.XLOOKUP(A253, USD!A:A, USD!B:B, "")</f>
        <v>68.233000000000004</v>
      </c>
      <c r="D253">
        <f>_xlfn.XLOOKUP(A253, Brent!A:A, Brent!B:B, "")</f>
        <v>54.95</v>
      </c>
      <c r="E253">
        <f>_xlfn.XLOOKUP(
  A253,
  Repo!A:A,
  Repo!B:B,
  "",
  -1
)</f>
        <v>6.25</v>
      </c>
      <c r="F253" s="10">
        <f>_xlfn.XLOOKUP(
  A253,
  CPI!D:D,
  CPI!C:C,
  "",
  -1
)</f>
        <v>3.41</v>
      </c>
      <c r="G253">
        <v>27186</v>
      </c>
    </row>
    <row r="254" spans="1:7">
      <c r="A254" s="1">
        <v>42733</v>
      </c>
      <c r="B254">
        <v>27810</v>
      </c>
      <c r="C254">
        <f>_xlfn.XLOOKUP(A254, USD!A:A, USD!B:B, "")</f>
        <v>67.935000000000002</v>
      </c>
      <c r="D254">
        <f>_xlfn.XLOOKUP(A254, Brent!A:A, Brent!B:B, "")</f>
        <v>54.97</v>
      </c>
      <c r="E254">
        <f>_xlfn.XLOOKUP(
  A254,
  Repo!A:A,
  Repo!B:B,
  "",
  -1
)</f>
        <v>6.25</v>
      </c>
      <c r="F254" s="10">
        <f>_xlfn.XLOOKUP(
  A254,
  CPI!D:D,
  CPI!C:C,
  "",
  -1
)</f>
        <v>3.41</v>
      </c>
      <c r="G254">
        <v>27539</v>
      </c>
    </row>
    <row r="255" spans="1:7">
      <c r="A255" s="1">
        <v>42734</v>
      </c>
      <c r="B255">
        <v>27700</v>
      </c>
      <c r="C255">
        <f>_xlfn.XLOOKUP(A255, USD!A:A, USD!B:B, "")</f>
        <v>67.954999999999998</v>
      </c>
      <c r="D255">
        <f>_xlfn.XLOOKUP(A255, Brent!A:A, Brent!B:B, "")</f>
        <v>54.96</v>
      </c>
      <c r="E255">
        <f>_xlfn.XLOOKUP(
  A255,
  Repo!A:A,
  Repo!B:B,
  "",
  -1
)</f>
        <v>6.25</v>
      </c>
      <c r="F255" s="10">
        <f>_xlfn.XLOOKUP(
  A255,
  CPI!D:D,
  CPI!C:C,
  "",
  -1
)</f>
        <v>3.41</v>
      </c>
      <c r="G255">
        <v>27810</v>
      </c>
    </row>
    <row r="256" spans="1:7">
      <c r="A256" s="1">
        <v>42738</v>
      </c>
      <c r="B256">
        <v>28102</v>
      </c>
      <c r="C256">
        <f>_xlfn.XLOOKUP(A256, USD!A:A, USD!B:B, "")</f>
        <v>68.260000000000005</v>
      </c>
      <c r="D256">
        <f>_xlfn.XLOOKUP(A256, Brent!A:A, Brent!B:B, "")</f>
        <v>55.05</v>
      </c>
      <c r="E256">
        <f>_xlfn.XLOOKUP(
  A256,
  Repo!A:A,
  Repo!B:B,
  "",
  -1
)</f>
        <v>6.25</v>
      </c>
      <c r="F256" s="10">
        <f>_xlfn.XLOOKUP(
  A256,
  CPI!D:D,
  CPI!C:C,
  "",
  -1
)</f>
        <v>3.17</v>
      </c>
      <c r="G256">
        <v>27700</v>
      </c>
    </row>
    <row r="257" spans="1:7">
      <c r="A257" s="1">
        <v>42739</v>
      </c>
      <c r="B257">
        <v>28085</v>
      </c>
      <c r="C257">
        <f>_xlfn.XLOOKUP(A257, USD!A:A, USD!B:B, "")</f>
        <v>67.885999999999996</v>
      </c>
      <c r="D257">
        <f>_xlfn.XLOOKUP(A257, Brent!A:A, Brent!B:B, "")</f>
        <v>54.57</v>
      </c>
      <c r="E257">
        <f>_xlfn.XLOOKUP(
  A257,
  Repo!A:A,
  Repo!B:B,
  "",
  -1
)</f>
        <v>6.25</v>
      </c>
      <c r="F257" s="10">
        <f>_xlfn.XLOOKUP(
  A257,
  CPI!D:D,
  CPI!C:C,
  "",
  -1
)</f>
        <v>3.17</v>
      </c>
      <c r="G257">
        <v>28102</v>
      </c>
    </row>
    <row r="258" spans="1:7">
      <c r="A258" s="1">
        <v>42740</v>
      </c>
      <c r="B258">
        <v>28890</v>
      </c>
      <c r="C258">
        <f>_xlfn.XLOOKUP(A258, USD!A:A, USD!B:B, "")</f>
        <v>67.742999999999995</v>
      </c>
      <c r="D258">
        <f>_xlfn.XLOOKUP(A258, Brent!A:A, Brent!B:B, "")</f>
        <v>54.99</v>
      </c>
      <c r="E258">
        <f>_xlfn.XLOOKUP(
  A258,
  Repo!A:A,
  Repo!B:B,
  "",
  -1
)</f>
        <v>6.25</v>
      </c>
      <c r="F258" s="10">
        <f>_xlfn.XLOOKUP(
  A258,
  CPI!D:D,
  CPI!C:C,
  "",
  -1
)</f>
        <v>3.17</v>
      </c>
      <c r="G258">
        <v>28085</v>
      </c>
    </row>
    <row r="259" spans="1:7">
      <c r="A259" s="1">
        <v>42741</v>
      </c>
      <c r="B259">
        <v>27960</v>
      </c>
      <c r="C259">
        <f>_xlfn.XLOOKUP(A259, USD!A:A, USD!B:B, "")</f>
        <v>68.114999999999995</v>
      </c>
      <c r="D259">
        <f>_xlfn.XLOOKUP(A259, Brent!A:A, Brent!B:B, "")</f>
        <v>55.9</v>
      </c>
      <c r="E259">
        <f>_xlfn.XLOOKUP(
  A259,
  Repo!A:A,
  Repo!B:B,
  "",
  -1
)</f>
        <v>6.25</v>
      </c>
      <c r="F259" s="10">
        <f>_xlfn.XLOOKUP(
  A259,
  CPI!D:D,
  CPI!C:C,
  "",
  -1
)</f>
        <v>3.17</v>
      </c>
      <c r="G259">
        <v>28890</v>
      </c>
    </row>
    <row r="260" spans="1:7">
      <c r="A260" s="1">
        <v>42744</v>
      </c>
      <c r="B260">
        <v>28124</v>
      </c>
      <c r="C260">
        <f>_xlfn.XLOOKUP(A260, USD!A:A, USD!B:B, "")</f>
        <v>68.099999999999994</v>
      </c>
      <c r="D260">
        <f>_xlfn.XLOOKUP(A260, Brent!A:A, Brent!B:B, "")</f>
        <v>54.39</v>
      </c>
      <c r="E260">
        <f>_xlfn.XLOOKUP(
  A260,
  Repo!A:A,
  Repo!B:B,
  "",
  -1
)</f>
        <v>6.25</v>
      </c>
      <c r="F260" s="10">
        <f>_xlfn.XLOOKUP(
  A260,
  CPI!D:D,
  CPI!C:C,
  "",
  -1
)</f>
        <v>3.17</v>
      </c>
      <c r="G260">
        <v>27960</v>
      </c>
    </row>
    <row r="261" spans="1:7">
      <c r="A261" s="1">
        <v>42745</v>
      </c>
      <c r="B261">
        <v>28210</v>
      </c>
      <c r="C261">
        <f>_xlfn.XLOOKUP(A261, USD!A:A, USD!B:B, "")</f>
        <v>68.326999999999998</v>
      </c>
      <c r="D261">
        <f>_xlfn.XLOOKUP(A261, Brent!A:A, Brent!B:B, "")</f>
        <v>53.2</v>
      </c>
      <c r="E261">
        <f>_xlfn.XLOOKUP(
  A261,
  Repo!A:A,
  Repo!B:B,
  "",
  -1
)</f>
        <v>6.25</v>
      </c>
      <c r="F261" s="10">
        <f>_xlfn.XLOOKUP(
  A261,
  CPI!D:D,
  CPI!C:C,
  "",
  -1
)</f>
        <v>3.17</v>
      </c>
      <c r="G261">
        <v>28124</v>
      </c>
    </row>
    <row r="262" spans="1:7">
      <c r="A262" s="1">
        <v>42746</v>
      </c>
      <c r="B262">
        <v>28353</v>
      </c>
      <c r="C262">
        <f>_xlfn.XLOOKUP(A262, USD!A:A, USD!B:B, "")</f>
        <v>68.311999999999998</v>
      </c>
      <c r="D262">
        <f>_xlfn.XLOOKUP(A262, Brent!A:A, Brent!B:B, "")</f>
        <v>53.61</v>
      </c>
      <c r="E262">
        <f>_xlfn.XLOOKUP(
  A262,
  Repo!A:A,
  Repo!B:B,
  "",
  -1
)</f>
        <v>6.25</v>
      </c>
      <c r="F262" s="10">
        <f>_xlfn.XLOOKUP(
  A262,
  CPI!D:D,
  CPI!C:C,
  "",
  -1
)</f>
        <v>3.17</v>
      </c>
      <c r="G262">
        <v>28210</v>
      </c>
    </row>
    <row r="263" spans="1:7">
      <c r="A263" s="1">
        <v>42747</v>
      </c>
      <c r="B263">
        <v>28463</v>
      </c>
      <c r="C263">
        <f>_xlfn.XLOOKUP(A263, USD!A:A, USD!B:B, "")</f>
        <v>68.141000000000005</v>
      </c>
      <c r="D263">
        <f>_xlfn.XLOOKUP(A263, Brent!A:A, Brent!B:B, "")</f>
        <v>54.51</v>
      </c>
      <c r="E263">
        <f>_xlfn.XLOOKUP(
  A263,
  Repo!A:A,
  Repo!B:B,
  "",
  -1
)</f>
        <v>6.25</v>
      </c>
      <c r="F263" s="10">
        <f>_xlfn.XLOOKUP(
  A263,
  CPI!D:D,
  CPI!C:C,
  "",
  -1
)</f>
        <v>3.17</v>
      </c>
      <c r="G263">
        <v>28353</v>
      </c>
    </row>
    <row r="264" spans="1:7">
      <c r="A264" s="1">
        <v>42748</v>
      </c>
      <c r="B264">
        <v>28440</v>
      </c>
      <c r="C264">
        <f>_xlfn.XLOOKUP(A264, USD!A:A, USD!B:B, "")</f>
        <v>68.180000000000007</v>
      </c>
      <c r="D264">
        <f>_xlfn.XLOOKUP(A264, Brent!A:A, Brent!B:B, "")</f>
        <v>54.37</v>
      </c>
      <c r="E264">
        <f>_xlfn.XLOOKUP(
  A264,
  Repo!A:A,
  Repo!B:B,
  "",
  -1
)</f>
        <v>6.25</v>
      </c>
      <c r="F264" s="10">
        <f>_xlfn.XLOOKUP(
  A264,
  CPI!D:D,
  CPI!C:C,
  "",
  -1
)</f>
        <v>3.17</v>
      </c>
      <c r="G264">
        <v>28463</v>
      </c>
    </row>
    <row r="265" spans="1:7">
      <c r="A265" s="1">
        <v>42751</v>
      </c>
      <c r="B265">
        <v>28601</v>
      </c>
      <c r="C265">
        <f>_xlfn.XLOOKUP(A265, USD!A:A, USD!B:B, "")</f>
        <v>68.102999999999994</v>
      </c>
      <c r="D265">
        <f>_xlfn.XLOOKUP(A265, Brent!A:A, Brent!B:B, "")</f>
        <v>54.3</v>
      </c>
      <c r="E265">
        <f>_xlfn.XLOOKUP(
  A265,
  Repo!A:A,
  Repo!B:B,
  "",
  -1
)</f>
        <v>6.25</v>
      </c>
      <c r="F265" s="10">
        <f>_xlfn.XLOOKUP(
  A265,
  CPI!D:D,
  CPI!C:C,
  "",
  -1
)</f>
        <v>3.17</v>
      </c>
      <c r="G265">
        <v>28440</v>
      </c>
    </row>
    <row r="266" spans="1:7">
      <c r="A266" s="1">
        <v>42752</v>
      </c>
      <c r="B266">
        <v>28797</v>
      </c>
      <c r="C266">
        <f>_xlfn.XLOOKUP(A266, USD!A:A, USD!B:B, "")</f>
        <v>67.861999999999995</v>
      </c>
      <c r="D266">
        <f>_xlfn.XLOOKUP(A266, Brent!A:A, Brent!B:B, "")</f>
        <v>54.68</v>
      </c>
      <c r="E266">
        <f>_xlfn.XLOOKUP(
  A266,
  Repo!A:A,
  Repo!B:B,
  "",
  -1
)</f>
        <v>6.25</v>
      </c>
      <c r="F266" s="10">
        <f>_xlfn.XLOOKUP(
  A266,
  CPI!D:D,
  CPI!C:C,
  "",
  -1
)</f>
        <v>3.17</v>
      </c>
      <c r="G266">
        <v>28601</v>
      </c>
    </row>
    <row r="267" spans="1:7">
      <c r="A267" s="1">
        <v>42753</v>
      </c>
      <c r="B267">
        <v>28852</v>
      </c>
      <c r="C267">
        <f>_xlfn.XLOOKUP(A267, USD!A:A, USD!B:B, "")</f>
        <v>68.22</v>
      </c>
      <c r="D267">
        <f>_xlfn.XLOOKUP(A267, Brent!A:A, Brent!B:B, "")</f>
        <v>53.77</v>
      </c>
      <c r="E267">
        <f>_xlfn.XLOOKUP(
  A267,
  Repo!A:A,
  Repo!B:B,
  "",
  -1
)</f>
        <v>6.25</v>
      </c>
      <c r="F267" s="10">
        <f>_xlfn.XLOOKUP(
  A267,
  CPI!D:D,
  CPI!C:C,
  "",
  -1
)</f>
        <v>3.17</v>
      </c>
      <c r="G267">
        <v>28797</v>
      </c>
    </row>
    <row r="268" spans="1:7">
      <c r="A268" s="1">
        <v>42754</v>
      </c>
      <c r="B268">
        <v>28588</v>
      </c>
      <c r="C268">
        <f>_xlfn.XLOOKUP(A268, USD!A:A, USD!B:B, "")</f>
        <v>68.099999999999994</v>
      </c>
      <c r="D268">
        <f>_xlfn.XLOOKUP(A268, Brent!A:A, Brent!B:B, "")</f>
        <v>53.18</v>
      </c>
      <c r="E268">
        <f>_xlfn.XLOOKUP(
  A268,
  Repo!A:A,
  Repo!B:B,
  "",
  -1
)</f>
        <v>6.25</v>
      </c>
      <c r="F268" s="10">
        <f>_xlfn.XLOOKUP(
  A268,
  CPI!D:D,
  CPI!C:C,
  "",
  -1
)</f>
        <v>3.17</v>
      </c>
      <c r="G268">
        <v>28852</v>
      </c>
    </row>
    <row r="269" spans="1:7">
      <c r="A269" s="1">
        <v>42755</v>
      </c>
      <c r="B269">
        <v>28685</v>
      </c>
      <c r="C269">
        <f>_xlfn.XLOOKUP(A269, USD!A:A, USD!B:B, "")</f>
        <v>68.075000000000003</v>
      </c>
      <c r="D269">
        <f>_xlfn.XLOOKUP(A269, Brent!A:A, Brent!B:B, "")</f>
        <v>55.04</v>
      </c>
      <c r="E269">
        <f>_xlfn.XLOOKUP(
  A269,
  Repo!A:A,
  Repo!B:B,
  "",
  -1
)</f>
        <v>6.25</v>
      </c>
      <c r="F269" s="10">
        <f>_xlfn.XLOOKUP(
  A269,
  CPI!D:D,
  CPI!C:C,
  "",
  -1
)</f>
        <v>3.17</v>
      </c>
      <c r="G269">
        <v>28588</v>
      </c>
    </row>
    <row r="270" spans="1:7">
      <c r="A270" s="1">
        <v>42758</v>
      </c>
      <c r="B270">
        <v>28876</v>
      </c>
      <c r="C270">
        <f>_xlfn.XLOOKUP(A270, USD!A:A, USD!B:B, "")</f>
        <v>68.051000000000002</v>
      </c>
      <c r="D270">
        <f>_xlfn.XLOOKUP(A270, Brent!A:A, Brent!B:B, "")</f>
        <v>54.8</v>
      </c>
      <c r="E270">
        <f>_xlfn.XLOOKUP(
  A270,
  Repo!A:A,
  Repo!B:B,
  "",
  -1
)</f>
        <v>6.25</v>
      </c>
      <c r="F270" s="10">
        <f>_xlfn.XLOOKUP(
  A270,
  CPI!D:D,
  CPI!C:C,
  "",
  -1
)</f>
        <v>3.17</v>
      </c>
      <c r="G270">
        <v>28685</v>
      </c>
    </row>
    <row r="271" spans="1:7">
      <c r="A271" s="1">
        <v>42759</v>
      </c>
      <c r="B271">
        <v>28815</v>
      </c>
      <c r="C271">
        <f>_xlfn.XLOOKUP(A271, USD!A:A, USD!B:B, "")</f>
        <v>68.138000000000005</v>
      </c>
      <c r="D271">
        <f>_xlfn.XLOOKUP(A271, Brent!A:A, Brent!B:B, "")</f>
        <v>54.7</v>
      </c>
      <c r="E271">
        <f>_xlfn.XLOOKUP(
  A271,
  Repo!A:A,
  Repo!B:B,
  "",
  -1
)</f>
        <v>6.25</v>
      </c>
      <c r="F271" s="10">
        <f>_xlfn.XLOOKUP(
  A271,
  CPI!D:D,
  CPI!C:C,
  "",
  -1
)</f>
        <v>3.17</v>
      </c>
      <c r="G271">
        <v>28876</v>
      </c>
    </row>
    <row r="272" spans="1:7">
      <c r="A272" s="1">
        <v>42760</v>
      </c>
      <c r="B272">
        <v>28472</v>
      </c>
      <c r="C272">
        <f>_xlfn.XLOOKUP(A272, USD!A:A, USD!B:B, "")</f>
        <v>67.988</v>
      </c>
      <c r="D272">
        <f>_xlfn.XLOOKUP(A272, Brent!A:A, Brent!B:B, "")</f>
        <v>54.34</v>
      </c>
      <c r="E272">
        <f>_xlfn.XLOOKUP(
  A272,
  Repo!A:A,
  Repo!B:B,
  "",
  -1
)</f>
        <v>6.25</v>
      </c>
      <c r="F272" s="10">
        <f>_xlfn.XLOOKUP(
  A272,
  CPI!D:D,
  CPI!C:C,
  "",
  -1
)</f>
        <v>3.17</v>
      </c>
      <c r="G272">
        <v>28815</v>
      </c>
    </row>
    <row r="273" spans="1:7">
      <c r="A273" s="1">
        <v>42762</v>
      </c>
      <c r="B273">
        <v>28449</v>
      </c>
      <c r="C273">
        <f>_xlfn.XLOOKUP(A273, USD!A:A, USD!B:B, "")</f>
        <v>68.105000000000004</v>
      </c>
      <c r="D273">
        <f>_xlfn.XLOOKUP(A273, Brent!A:A, Brent!B:B, "")</f>
        <v>54.8</v>
      </c>
      <c r="E273">
        <f>_xlfn.XLOOKUP(
  A273,
  Repo!A:A,
  Repo!B:B,
  "",
  -1
)</f>
        <v>6.25</v>
      </c>
      <c r="F273" s="10">
        <f>_xlfn.XLOOKUP(
  A273,
  CPI!D:D,
  CPI!C:C,
  "",
  -1
)</f>
        <v>3.17</v>
      </c>
      <c r="G273">
        <v>28472</v>
      </c>
    </row>
    <row r="274" spans="1:7">
      <c r="A274" s="1">
        <v>42765</v>
      </c>
      <c r="B274">
        <v>28642</v>
      </c>
      <c r="C274">
        <f>_xlfn.XLOOKUP(A274, USD!A:A, USD!B:B, "")</f>
        <v>67.828999999999994</v>
      </c>
      <c r="D274">
        <f>_xlfn.XLOOKUP(A274, Brent!A:A, Brent!B:B, "")</f>
        <v>54.77</v>
      </c>
      <c r="E274">
        <f>_xlfn.XLOOKUP(
  A274,
  Repo!A:A,
  Repo!B:B,
  "",
  -1
)</f>
        <v>6.25</v>
      </c>
      <c r="F274" s="10">
        <f>_xlfn.XLOOKUP(
  A274,
  CPI!D:D,
  CPI!C:C,
  "",
  -1
)</f>
        <v>3.17</v>
      </c>
      <c r="G274">
        <v>28449</v>
      </c>
    </row>
    <row r="275" spans="1:7">
      <c r="A275" s="1">
        <v>42766</v>
      </c>
      <c r="B275">
        <v>29172</v>
      </c>
      <c r="C275">
        <f>_xlfn.XLOOKUP(A275, USD!A:A, USD!B:B, "")</f>
        <v>67.515000000000001</v>
      </c>
      <c r="D275">
        <f>_xlfn.XLOOKUP(A275, Brent!A:A, Brent!B:B, "")</f>
        <v>55.25</v>
      </c>
      <c r="E275">
        <f>_xlfn.XLOOKUP(
  A275,
  Repo!A:A,
  Repo!B:B,
  "",
  -1
)</f>
        <v>6.25</v>
      </c>
      <c r="F275" s="10">
        <f>_xlfn.XLOOKUP(
  A275,
  CPI!D:D,
  CPI!C:C,
  "",
  -1
)</f>
        <v>3.17</v>
      </c>
      <c r="G275">
        <v>28642</v>
      </c>
    </row>
    <row r="276" spans="1:7">
      <c r="A276" s="1">
        <v>42767</v>
      </c>
      <c r="B276">
        <v>28981</v>
      </c>
      <c r="C276">
        <f>_xlfn.XLOOKUP(A276, USD!A:A, USD!B:B, "")</f>
        <v>67.415000000000006</v>
      </c>
      <c r="D276">
        <f>_xlfn.XLOOKUP(A276, Brent!A:A, Brent!B:B, "")</f>
        <v>55.79</v>
      </c>
      <c r="E276">
        <f>_xlfn.XLOOKUP(
  A276,
  Repo!A:A,
  Repo!B:B,
  "",
  -1
)</f>
        <v>6.25</v>
      </c>
      <c r="F276" s="10">
        <f>_xlfn.XLOOKUP(
  A276,
  CPI!D:D,
  CPI!C:C,
  "",
  -1
)</f>
        <v>3.65</v>
      </c>
      <c r="G276">
        <v>29172</v>
      </c>
    </row>
    <row r="277" spans="1:7">
      <c r="A277" s="1">
        <v>42768</v>
      </c>
      <c r="B277">
        <v>29064</v>
      </c>
      <c r="C277">
        <f>_xlfn.XLOOKUP(A277, USD!A:A, USD!B:B, "")</f>
        <v>67.209999999999994</v>
      </c>
      <c r="D277">
        <f>_xlfn.XLOOKUP(A277, Brent!A:A, Brent!B:B, "")</f>
        <v>55.94</v>
      </c>
      <c r="E277">
        <f>_xlfn.XLOOKUP(
  A277,
  Repo!A:A,
  Repo!B:B,
  "",
  -1
)</f>
        <v>6.25</v>
      </c>
      <c r="F277" s="10">
        <f>_xlfn.XLOOKUP(
  A277,
  CPI!D:D,
  CPI!C:C,
  "",
  -1
)</f>
        <v>3.65</v>
      </c>
      <c r="G277">
        <v>28981</v>
      </c>
    </row>
    <row r="278" spans="1:7">
      <c r="A278" s="1">
        <v>42769</v>
      </c>
      <c r="B278">
        <v>29166</v>
      </c>
      <c r="C278">
        <f>_xlfn.XLOOKUP(A278, USD!A:A, USD!B:B, "")</f>
        <v>67.183999999999997</v>
      </c>
      <c r="D278">
        <f>_xlfn.XLOOKUP(A278, Brent!A:A, Brent!B:B, "")</f>
        <v>55.92</v>
      </c>
      <c r="E278">
        <f>_xlfn.XLOOKUP(
  A278,
  Repo!A:A,
  Repo!B:B,
  "",
  -1
)</f>
        <v>6.25</v>
      </c>
      <c r="F278" s="10">
        <f>_xlfn.XLOOKUP(
  A278,
  CPI!D:D,
  CPI!C:C,
  "",
  -1
)</f>
        <v>3.65</v>
      </c>
      <c r="G278">
        <v>29064</v>
      </c>
    </row>
    <row r="279" spans="1:7">
      <c r="A279" s="1">
        <v>42772</v>
      </c>
      <c r="B279">
        <v>29202</v>
      </c>
      <c r="C279">
        <f>_xlfn.XLOOKUP(A279, USD!A:A, USD!B:B, "")</f>
        <v>67.194999999999993</v>
      </c>
      <c r="D279">
        <f>_xlfn.XLOOKUP(A279, Brent!A:A, Brent!B:B, "")</f>
        <v>55.02</v>
      </c>
      <c r="E279">
        <f>_xlfn.XLOOKUP(
  A279,
  Repo!A:A,
  Repo!B:B,
  "",
  -1
)</f>
        <v>6.25</v>
      </c>
      <c r="F279" s="10">
        <f>_xlfn.XLOOKUP(
  A279,
  CPI!D:D,
  CPI!C:C,
  "",
  -1
)</f>
        <v>3.65</v>
      </c>
      <c r="G279">
        <v>29166</v>
      </c>
    </row>
    <row r="280" spans="1:7">
      <c r="A280" s="1">
        <v>42773</v>
      </c>
      <c r="B280">
        <v>29348</v>
      </c>
      <c r="C280">
        <f>_xlfn.XLOOKUP(A280, USD!A:A, USD!B:B, "")</f>
        <v>67.349999999999994</v>
      </c>
      <c r="D280">
        <f>_xlfn.XLOOKUP(A280, Brent!A:A, Brent!B:B, "")</f>
        <v>53.79</v>
      </c>
      <c r="E280">
        <f>_xlfn.XLOOKUP(
  A280,
  Repo!A:A,
  Repo!B:B,
  "",
  -1
)</f>
        <v>6.25</v>
      </c>
      <c r="F280" s="10">
        <f>_xlfn.XLOOKUP(
  A280,
  CPI!D:D,
  CPI!C:C,
  "",
  -1
)</f>
        <v>3.65</v>
      </c>
      <c r="G280">
        <v>29202</v>
      </c>
    </row>
    <row r="281" spans="1:7">
      <c r="A281" s="1">
        <v>42774</v>
      </c>
      <c r="B281">
        <v>29371</v>
      </c>
      <c r="C281">
        <f>_xlfn.XLOOKUP(A281, USD!A:A, USD!B:B, "")</f>
        <v>67.05</v>
      </c>
      <c r="D281">
        <f>_xlfn.XLOOKUP(A281, Brent!A:A, Brent!B:B, "")</f>
        <v>54.42</v>
      </c>
      <c r="E281">
        <f>_xlfn.XLOOKUP(
  A281,
  Repo!A:A,
  Repo!B:B,
  "",
  -1
)</f>
        <v>6.25</v>
      </c>
      <c r="F281" s="10">
        <f>_xlfn.XLOOKUP(
  A281,
  CPI!D:D,
  CPI!C:C,
  "",
  -1
)</f>
        <v>3.65</v>
      </c>
      <c r="G281">
        <v>29348</v>
      </c>
    </row>
    <row r="282" spans="1:7">
      <c r="A282" s="1">
        <v>42775</v>
      </c>
      <c r="B282">
        <v>29115</v>
      </c>
      <c r="C282">
        <f>_xlfn.XLOOKUP(A282, USD!A:A, USD!B:B, "")</f>
        <v>66.765000000000001</v>
      </c>
      <c r="D282">
        <f>_xlfn.XLOOKUP(A282, Brent!A:A, Brent!B:B, "")</f>
        <v>53.98</v>
      </c>
      <c r="E282">
        <f>_xlfn.XLOOKUP(
  A282,
  Repo!A:A,
  Repo!B:B,
  "",
  -1
)</f>
        <v>6.25</v>
      </c>
      <c r="F282" s="10">
        <f>_xlfn.XLOOKUP(
  A282,
  CPI!D:D,
  CPI!C:C,
  "",
  -1
)</f>
        <v>3.65</v>
      </c>
      <c r="G282">
        <v>29371</v>
      </c>
    </row>
    <row r="283" spans="1:7">
      <c r="A283" s="1">
        <v>42776</v>
      </c>
      <c r="B283">
        <v>29195</v>
      </c>
      <c r="C283">
        <f>_xlfn.XLOOKUP(A283, USD!A:A, USD!B:B, "")</f>
        <v>66.853999999999999</v>
      </c>
      <c r="D283">
        <f>_xlfn.XLOOKUP(A283, Brent!A:A, Brent!B:B, "")</f>
        <v>55.2</v>
      </c>
      <c r="E283">
        <f>_xlfn.XLOOKUP(
  A283,
  Repo!A:A,
  Repo!B:B,
  "",
  -1
)</f>
        <v>6.25</v>
      </c>
      <c r="F283" s="10">
        <f>_xlfn.XLOOKUP(
  A283,
  CPI!D:D,
  CPI!C:C,
  "",
  -1
)</f>
        <v>3.65</v>
      </c>
      <c r="G283">
        <v>29115</v>
      </c>
    </row>
    <row r="284" spans="1:7">
      <c r="A284" s="1">
        <v>42779</v>
      </c>
      <c r="B284">
        <v>29057</v>
      </c>
      <c r="C284">
        <f>_xlfn.XLOOKUP(A284, USD!A:A, USD!B:B, "")</f>
        <v>66.974999999999994</v>
      </c>
      <c r="D284">
        <f>_xlfn.XLOOKUP(A284, Brent!A:A, Brent!B:B, "")</f>
        <v>54.15</v>
      </c>
      <c r="E284">
        <f>_xlfn.XLOOKUP(
  A284,
  Repo!A:A,
  Repo!B:B,
  "",
  -1
)</f>
        <v>6.25</v>
      </c>
      <c r="F284" s="10">
        <f>_xlfn.XLOOKUP(
  A284,
  CPI!D:D,
  CPI!C:C,
  "",
  -1
)</f>
        <v>3.65</v>
      </c>
      <c r="G284">
        <v>29195</v>
      </c>
    </row>
    <row r="285" spans="1:7">
      <c r="A285" s="1">
        <v>42780</v>
      </c>
      <c r="B285">
        <v>29027</v>
      </c>
      <c r="C285">
        <f>_xlfn.XLOOKUP(A285, USD!A:A, USD!B:B, "")</f>
        <v>66.834999999999994</v>
      </c>
      <c r="D285">
        <f>_xlfn.XLOOKUP(A285, Brent!A:A, Brent!B:B, "")</f>
        <v>54.96</v>
      </c>
      <c r="E285">
        <f>_xlfn.XLOOKUP(
  A285,
  Repo!A:A,
  Repo!B:B,
  "",
  -1
)</f>
        <v>6.25</v>
      </c>
      <c r="F285" s="10">
        <f>_xlfn.XLOOKUP(
  A285,
  CPI!D:D,
  CPI!C:C,
  "",
  -1
)</f>
        <v>3.65</v>
      </c>
      <c r="G285">
        <v>29057</v>
      </c>
    </row>
    <row r="286" spans="1:7">
      <c r="A286" s="1">
        <v>42781</v>
      </c>
      <c r="B286">
        <v>29138</v>
      </c>
      <c r="C286">
        <f>_xlfn.XLOOKUP(A286, USD!A:A, USD!B:B, "")</f>
        <v>66.875</v>
      </c>
      <c r="D286">
        <f>_xlfn.XLOOKUP(A286, Brent!A:A, Brent!B:B, "")</f>
        <v>54.57</v>
      </c>
      <c r="E286">
        <f>_xlfn.XLOOKUP(
  A286,
  Repo!A:A,
  Repo!B:B,
  "",
  -1
)</f>
        <v>6.25</v>
      </c>
      <c r="F286" s="10">
        <f>_xlfn.XLOOKUP(
  A286,
  CPI!D:D,
  CPI!C:C,
  "",
  -1
)</f>
        <v>3.65</v>
      </c>
      <c r="G286">
        <v>29027</v>
      </c>
    </row>
    <row r="287" spans="1:7">
      <c r="A287" s="1">
        <v>42782</v>
      </c>
      <c r="B287">
        <v>29377</v>
      </c>
      <c r="C287">
        <f>_xlfn.XLOOKUP(A287, USD!A:A, USD!B:B, "")</f>
        <v>67.08</v>
      </c>
      <c r="D287">
        <f>_xlfn.XLOOKUP(A287, Brent!A:A, Brent!B:B, "")</f>
        <v>54.16</v>
      </c>
      <c r="E287">
        <f>_xlfn.XLOOKUP(
  A287,
  Repo!A:A,
  Repo!B:B,
  "",
  -1
)</f>
        <v>6.25</v>
      </c>
      <c r="F287" s="10">
        <f>_xlfn.XLOOKUP(
  A287,
  CPI!D:D,
  CPI!C:C,
  "",
  -1
)</f>
        <v>3.65</v>
      </c>
      <c r="G287">
        <v>29138</v>
      </c>
    </row>
    <row r="288" spans="1:7">
      <c r="A288" s="1">
        <v>42783</v>
      </c>
      <c r="B288">
        <v>29359</v>
      </c>
      <c r="C288">
        <f>_xlfn.XLOOKUP(A288, USD!A:A, USD!B:B, "")</f>
        <v>67.08</v>
      </c>
      <c r="D288">
        <f>_xlfn.XLOOKUP(A288, Brent!A:A, Brent!B:B, "")</f>
        <v>54.48</v>
      </c>
      <c r="E288">
        <f>_xlfn.XLOOKUP(
  A288,
  Repo!A:A,
  Repo!B:B,
  "",
  -1
)</f>
        <v>6.25</v>
      </c>
      <c r="F288" s="10">
        <f>_xlfn.XLOOKUP(
  A288,
  CPI!D:D,
  CPI!C:C,
  "",
  -1
)</f>
        <v>3.65</v>
      </c>
      <c r="G288">
        <v>29377</v>
      </c>
    </row>
    <row r="289" spans="1:7">
      <c r="A289" s="1">
        <v>42786</v>
      </c>
      <c r="B289">
        <v>29324</v>
      </c>
      <c r="C289">
        <f>_xlfn.XLOOKUP(A289, USD!A:A, USD!B:B, "")</f>
        <v>66.905000000000001</v>
      </c>
      <c r="D289">
        <f>_xlfn.XLOOKUP(A289, Brent!A:A, Brent!B:B, "")</f>
        <v>55.25</v>
      </c>
      <c r="E289">
        <f>_xlfn.XLOOKUP(
  A289,
  Repo!A:A,
  Repo!B:B,
  "",
  -1
)</f>
        <v>6.25</v>
      </c>
      <c r="F289" s="10">
        <f>_xlfn.XLOOKUP(
  A289,
  CPI!D:D,
  CPI!C:C,
  "",
  -1
)</f>
        <v>3.65</v>
      </c>
      <c r="G289">
        <v>29359</v>
      </c>
    </row>
    <row r="290" spans="1:7">
      <c r="A290" s="1">
        <v>42787</v>
      </c>
      <c r="B290">
        <v>29314</v>
      </c>
      <c r="C290">
        <f>_xlfn.XLOOKUP(A290, USD!A:A, USD!B:B, "")</f>
        <v>66.984999999999999</v>
      </c>
      <c r="D290">
        <f>_xlfn.XLOOKUP(A290, Brent!A:A, Brent!B:B, "")</f>
        <v>56.34</v>
      </c>
      <c r="E290">
        <f>_xlfn.XLOOKUP(
  A290,
  Repo!A:A,
  Repo!B:B,
  "",
  -1
)</f>
        <v>6.25</v>
      </c>
      <c r="F290" s="10">
        <f>_xlfn.XLOOKUP(
  A290,
  CPI!D:D,
  CPI!C:C,
  "",
  -1
)</f>
        <v>3.65</v>
      </c>
      <c r="G290">
        <v>29324</v>
      </c>
    </row>
    <row r="291" spans="1:7">
      <c r="A291" s="1">
        <v>42788</v>
      </c>
      <c r="B291">
        <v>29223</v>
      </c>
      <c r="C291">
        <f>_xlfn.XLOOKUP(A291, USD!A:A, USD!B:B, "")</f>
        <v>66.95</v>
      </c>
      <c r="D291">
        <f>_xlfn.XLOOKUP(A291, Brent!A:A, Brent!B:B, "")</f>
        <v>54.9</v>
      </c>
      <c r="E291">
        <f>_xlfn.XLOOKUP(
  A291,
  Repo!A:A,
  Repo!B:B,
  "",
  -1
)</f>
        <v>6.25</v>
      </c>
      <c r="F291" s="10">
        <f>_xlfn.XLOOKUP(
  A291,
  CPI!D:D,
  CPI!C:C,
  "",
  -1
)</f>
        <v>3.65</v>
      </c>
      <c r="G291">
        <v>29314</v>
      </c>
    </row>
    <row r="292" spans="1:7">
      <c r="A292" s="1">
        <v>42789</v>
      </c>
      <c r="B292">
        <v>29440</v>
      </c>
      <c r="C292">
        <f>_xlfn.XLOOKUP(A292, USD!A:A, USD!B:B, "")</f>
        <v>66.69</v>
      </c>
      <c r="D292">
        <f>_xlfn.XLOOKUP(A292, Brent!A:A, Brent!B:B, "")</f>
        <v>55.82</v>
      </c>
      <c r="E292">
        <f>_xlfn.XLOOKUP(
  A292,
  Repo!A:A,
  Repo!B:B,
  "",
  -1
)</f>
        <v>6.25</v>
      </c>
      <c r="F292" s="10">
        <f>_xlfn.XLOOKUP(
  A292,
  CPI!D:D,
  CPI!C:C,
  "",
  -1
)</f>
        <v>3.65</v>
      </c>
      <c r="G292">
        <v>29223</v>
      </c>
    </row>
    <row r="293" spans="1:7">
      <c r="A293" s="1">
        <v>42790</v>
      </c>
      <c r="B293">
        <v>29613</v>
      </c>
      <c r="C293">
        <f>_xlfn.XLOOKUP(A293, USD!A:A, USD!B:B, "")</f>
        <v>66.644999999999996</v>
      </c>
      <c r="D293">
        <f>_xlfn.XLOOKUP(A293, Brent!A:A, Brent!B:B, "")</f>
        <v>54.69</v>
      </c>
      <c r="E293">
        <f>_xlfn.XLOOKUP(
  A293,
  Repo!A:A,
  Repo!B:B,
  "",
  -1
)</f>
        <v>6.25</v>
      </c>
      <c r="F293" s="10">
        <f>_xlfn.XLOOKUP(
  A293,
  CPI!D:D,
  CPI!C:C,
  "",
  -1
)</f>
        <v>3.65</v>
      </c>
      <c r="G293">
        <v>29440</v>
      </c>
    </row>
    <row r="294" spans="1:7">
      <c r="A294" s="1">
        <v>42793</v>
      </c>
      <c r="B294">
        <v>29732</v>
      </c>
      <c r="C294">
        <f>_xlfn.XLOOKUP(A294, USD!A:A, USD!B:B, "")</f>
        <v>66.7</v>
      </c>
      <c r="D294">
        <f>_xlfn.XLOOKUP(A294, Brent!A:A, Brent!B:B, "")</f>
        <v>54.65</v>
      </c>
      <c r="E294">
        <f>_xlfn.XLOOKUP(
  A294,
  Repo!A:A,
  Repo!B:B,
  "",
  -1
)</f>
        <v>6.25</v>
      </c>
      <c r="F294" s="10">
        <f>_xlfn.XLOOKUP(
  A294,
  CPI!D:D,
  CPI!C:C,
  "",
  -1
)</f>
        <v>3.65</v>
      </c>
      <c r="G294">
        <v>29613</v>
      </c>
    </row>
    <row r="295" spans="1:7">
      <c r="A295" s="1">
        <v>42794</v>
      </c>
      <c r="B295">
        <v>29592</v>
      </c>
      <c r="C295">
        <f>_xlfn.XLOOKUP(A295, USD!A:A, USD!B:B, "")</f>
        <v>66.724999999999994</v>
      </c>
      <c r="D295">
        <f>_xlfn.XLOOKUP(A295, Brent!A:A, Brent!B:B, "")</f>
        <v>53.36</v>
      </c>
      <c r="E295">
        <f>_xlfn.XLOOKUP(
  A295,
  Repo!A:A,
  Repo!B:B,
  "",
  -1
)</f>
        <v>6.25</v>
      </c>
      <c r="F295" s="10">
        <f>_xlfn.XLOOKUP(
  A295,
  CPI!D:D,
  CPI!C:C,
  "",
  -1
)</f>
        <v>3.65</v>
      </c>
      <c r="G295">
        <v>29732</v>
      </c>
    </row>
    <row r="296" spans="1:7">
      <c r="A296" s="1">
        <v>42795</v>
      </c>
      <c r="B296">
        <v>29529</v>
      </c>
      <c r="C296">
        <f>_xlfn.XLOOKUP(A296, USD!A:A, USD!B:B, "")</f>
        <v>66.864999999999995</v>
      </c>
      <c r="D296">
        <f>_xlfn.XLOOKUP(A296, Brent!A:A, Brent!B:B, "")</f>
        <v>55.72</v>
      </c>
      <c r="E296">
        <f>_xlfn.XLOOKUP(
  A296,
  Repo!A:A,
  Repo!B:B,
  "",
  -1
)</f>
        <v>6.25</v>
      </c>
      <c r="F296" s="10">
        <f>_xlfn.XLOOKUP(
  A296,
  CPI!D:D,
  CPI!C:C,
  "",
  -1
)</f>
        <v>3.89</v>
      </c>
      <c r="G296">
        <v>29592</v>
      </c>
    </row>
    <row r="297" spans="1:7">
      <c r="A297" s="1">
        <v>42796</v>
      </c>
      <c r="B297">
        <v>29204</v>
      </c>
      <c r="C297">
        <f>_xlfn.XLOOKUP(A297, USD!A:A, USD!B:B, "")</f>
        <v>66.784999999999997</v>
      </c>
      <c r="D297">
        <f>_xlfn.XLOOKUP(A297, Brent!A:A, Brent!B:B, "")</f>
        <v>54.16</v>
      </c>
      <c r="E297">
        <f>_xlfn.XLOOKUP(
  A297,
  Repo!A:A,
  Repo!B:B,
  "",
  -1
)</f>
        <v>6.25</v>
      </c>
      <c r="F297" s="10">
        <f>_xlfn.XLOOKUP(
  A297,
  CPI!D:D,
  CPI!C:C,
  "",
  -1
)</f>
        <v>3.89</v>
      </c>
      <c r="G297">
        <v>29529</v>
      </c>
    </row>
    <row r="298" spans="1:7">
      <c r="A298" s="1">
        <v>42797</v>
      </c>
      <c r="B298">
        <v>29442</v>
      </c>
      <c r="C298">
        <f>_xlfn.XLOOKUP(A298, USD!A:A, USD!B:B, "")</f>
        <v>66.78</v>
      </c>
      <c r="D298">
        <f>_xlfn.XLOOKUP(A298, Brent!A:A, Brent!B:B, "")</f>
        <v>54.12</v>
      </c>
      <c r="E298">
        <f>_xlfn.XLOOKUP(
  A298,
  Repo!A:A,
  Repo!B:B,
  "",
  -1
)</f>
        <v>6.25</v>
      </c>
      <c r="F298" s="10">
        <f>_xlfn.XLOOKUP(
  A298,
  CPI!D:D,
  CPI!C:C,
  "",
  -1
)</f>
        <v>3.89</v>
      </c>
      <c r="G298">
        <v>29204</v>
      </c>
    </row>
    <row r="299" spans="1:7">
      <c r="A299" s="1">
        <v>42800</v>
      </c>
      <c r="B299">
        <v>28979</v>
      </c>
      <c r="C299">
        <f>_xlfn.XLOOKUP(A299, USD!A:A, USD!B:B, "")</f>
        <v>66.674999999999997</v>
      </c>
      <c r="D299">
        <f>_xlfn.XLOOKUP(A299, Brent!A:A, Brent!B:B, "")</f>
        <v>54.73</v>
      </c>
      <c r="E299">
        <f>_xlfn.XLOOKUP(
  A299,
  Repo!A:A,
  Repo!B:B,
  "",
  -1
)</f>
        <v>6.25</v>
      </c>
      <c r="F299" s="10">
        <f>_xlfn.XLOOKUP(
  A299,
  CPI!D:D,
  CPI!C:C,
  "",
  -1
)</f>
        <v>3.89</v>
      </c>
      <c r="G299">
        <v>29442</v>
      </c>
    </row>
    <row r="300" spans="1:7">
      <c r="A300" s="1">
        <v>42801</v>
      </c>
      <c r="B300">
        <v>28791</v>
      </c>
      <c r="C300">
        <f>_xlfn.XLOOKUP(A300, USD!A:A, USD!B:B, "")</f>
        <v>66.625</v>
      </c>
      <c r="D300">
        <f>_xlfn.XLOOKUP(A300, Brent!A:A, Brent!B:B, "")</f>
        <v>54.61</v>
      </c>
      <c r="E300">
        <f>_xlfn.XLOOKUP(
  A300,
  Repo!A:A,
  Repo!B:B,
  "",
  -1
)</f>
        <v>6.25</v>
      </c>
      <c r="F300" s="10">
        <f>_xlfn.XLOOKUP(
  A300,
  CPI!D:D,
  CPI!C:C,
  "",
  -1
)</f>
        <v>3.89</v>
      </c>
      <c r="G300">
        <v>28979</v>
      </c>
    </row>
    <row r="301" spans="1:7">
      <c r="A301" s="1">
        <v>42802</v>
      </c>
      <c r="B301">
        <v>28660</v>
      </c>
      <c r="C301">
        <f>_xlfn.XLOOKUP(A301, USD!A:A, USD!B:B, "")</f>
        <v>66.765000000000001</v>
      </c>
      <c r="D301">
        <f>_xlfn.XLOOKUP(A301, Brent!A:A, Brent!B:B, "")</f>
        <v>53.3</v>
      </c>
      <c r="E301">
        <f>_xlfn.XLOOKUP(
  A301,
  Repo!A:A,
  Repo!B:B,
  "",
  -1
)</f>
        <v>6.25</v>
      </c>
      <c r="F301" s="10">
        <f>_xlfn.XLOOKUP(
  A301,
  CPI!D:D,
  CPI!C:C,
  "",
  -1
)</f>
        <v>3.89</v>
      </c>
      <c r="G301">
        <v>28791</v>
      </c>
    </row>
    <row r="302" spans="1:7">
      <c r="A302" s="1">
        <v>42803</v>
      </c>
      <c r="B302">
        <v>28491</v>
      </c>
      <c r="C302">
        <f>_xlfn.XLOOKUP(A302, USD!A:A, USD!B:B, "")</f>
        <v>66.69</v>
      </c>
      <c r="D302">
        <f>_xlfn.XLOOKUP(A302, Brent!A:A, Brent!B:B, "")</f>
        <v>50.65</v>
      </c>
      <c r="E302">
        <f>_xlfn.XLOOKUP(
  A302,
  Repo!A:A,
  Repo!B:B,
  "",
  -1
)</f>
        <v>6.25</v>
      </c>
      <c r="F302" s="10">
        <f>_xlfn.XLOOKUP(
  A302,
  CPI!D:D,
  CPI!C:C,
  "",
  -1
)</f>
        <v>3.89</v>
      </c>
      <c r="G302">
        <v>28660</v>
      </c>
    </row>
    <row r="303" spans="1:7">
      <c r="A303" s="1">
        <v>42804</v>
      </c>
      <c r="B303">
        <v>28417</v>
      </c>
      <c r="C303">
        <f>_xlfn.XLOOKUP(A303, USD!A:A, USD!B:B, "")</f>
        <v>66.555000000000007</v>
      </c>
      <c r="D303">
        <f>_xlfn.XLOOKUP(A303, Brent!A:A, Brent!B:B, "")</f>
        <v>50.63</v>
      </c>
      <c r="E303">
        <f>_xlfn.XLOOKUP(
  A303,
  Repo!A:A,
  Repo!B:B,
  "",
  -1
)</f>
        <v>6.25</v>
      </c>
      <c r="F303" s="10">
        <f>_xlfn.XLOOKUP(
  A303,
  CPI!D:D,
  CPI!C:C,
  "",
  -1
)</f>
        <v>3.89</v>
      </c>
      <c r="G303">
        <v>28491</v>
      </c>
    </row>
    <row r="304" spans="1:7">
      <c r="A304" s="1">
        <v>42807</v>
      </c>
      <c r="B304">
        <v>28291</v>
      </c>
      <c r="C304">
        <f>_xlfn.XLOOKUP(A304, USD!A:A, USD!B:B, "")</f>
        <v>66.180000000000007</v>
      </c>
      <c r="D304">
        <f>_xlfn.XLOOKUP(A304, Brent!A:A, Brent!B:B, "")</f>
        <v>50.1</v>
      </c>
      <c r="E304">
        <f>_xlfn.XLOOKUP(
  A304,
  Repo!A:A,
  Repo!B:B,
  "",
  -1
)</f>
        <v>6.25</v>
      </c>
      <c r="F304" s="10">
        <f>_xlfn.XLOOKUP(
  A304,
  CPI!D:D,
  CPI!C:C,
  "",
  -1
)</f>
        <v>3.89</v>
      </c>
      <c r="G304">
        <v>28417</v>
      </c>
    </row>
    <row r="305" spans="1:7">
      <c r="A305" s="1">
        <v>42808</v>
      </c>
      <c r="B305">
        <v>28100</v>
      </c>
      <c r="C305">
        <f>_xlfn.XLOOKUP(A305, USD!A:A, USD!B:B, "")</f>
        <v>65.775000000000006</v>
      </c>
      <c r="D305">
        <f>_xlfn.XLOOKUP(A305, Brent!A:A, Brent!B:B, "")</f>
        <v>49.6</v>
      </c>
      <c r="E305">
        <f>_xlfn.XLOOKUP(
  A305,
  Repo!A:A,
  Repo!B:B,
  "",
  -1
)</f>
        <v>6.25</v>
      </c>
      <c r="F305" s="10">
        <f>_xlfn.XLOOKUP(
  A305,
  CPI!D:D,
  CPI!C:C,
  "",
  -1
)</f>
        <v>3.89</v>
      </c>
      <c r="G305">
        <v>28291</v>
      </c>
    </row>
    <row r="306" spans="1:7">
      <c r="A306" s="1">
        <v>42809</v>
      </c>
      <c r="B306">
        <v>28019</v>
      </c>
      <c r="C306">
        <f>_xlfn.XLOOKUP(A306, USD!A:A, USD!B:B, "")</f>
        <v>65.63</v>
      </c>
      <c r="D306">
        <f>_xlfn.XLOOKUP(A306, Brent!A:A, Brent!B:B, "")</f>
        <v>50.63</v>
      </c>
      <c r="E306">
        <f>_xlfn.XLOOKUP(
  A306,
  Repo!A:A,
  Repo!B:B,
  "",
  -1
)</f>
        <v>6.25</v>
      </c>
      <c r="F306" s="10">
        <f>_xlfn.XLOOKUP(
  A306,
  CPI!D:D,
  CPI!C:C,
  "",
  -1
)</f>
        <v>3.89</v>
      </c>
      <c r="G306">
        <v>28100</v>
      </c>
    </row>
    <row r="307" spans="1:7">
      <c r="A307" s="1">
        <v>42810</v>
      </c>
      <c r="B307">
        <v>28436</v>
      </c>
      <c r="C307">
        <f>_xlfn.XLOOKUP(A307, USD!A:A, USD!B:B, "")</f>
        <v>65.385000000000005</v>
      </c>
      <c r="D307">
        <f>_xlfn.XLOOKUP(A307, Brent!A:A, Brent!B:B, "")</f>
        <v>50.56</v>
      </c>
      <c r="E307">
        <f>_xlfn.XLOOKUP(
  A307,
  Repo!A:A,
  Repo!B:B,
  "",
  -1
)</f>
        <v>6.25</v>
      </c>
      <c r="F307" s="10">
        <f>_xlfn.XLOOKUP(
  A307,
  CPI!D:D,
  CPI!C:C,
  "",
  -1
)</f>
        <v>3.89</v>
      </c>
      <c r="G307">
        <v>28019</v>
      </c>
    </row>
    <row r="308" spans="1:7">
      <c r="A308" s="1">
        <v>42811</v>
      </c>
      <c r="B308">
        <v>28528</v>
      </c>
      <c r="C308">
        <f>_xlfn.XLOOKUP(A308, USD!A:A, USD!B:B, "")</f>
        <v>65.474999999999994</v>
      </c>
      <c r="D308">
        <f>_xlfn.XLOOKUP(A308, Brent!A:A, Brent!B:B, "")</f>
        <v>50.58</v>
      </c>
      <c r="E308">
        <f>_xlfn.XLOOKUP(
  A308,
  Repo!A:A,
  Repo!B:B,
  "",
  -1
)</f>
        <v>6.25</v>
      </c>
      <c r="F308" s="10">
        <f>_xlfn.XLOOKUP(
  A308,
  CPI!D:D,
  CPI!C:C,
  "",
  -1
)</f>
        <v>3.89</v>
      </c>
      <c r="G308">
        <v>28436</v>
      </c>
    </row>
    <row r="309" spans="1:7">
      <c r="A309" s="1">
        <v>42814</v>
      </c>
      <c r="B309">
        <v>28518</v>
      </c>
      <c r="C309">
        <f>_xlfn.XLOOKUP(A309, USD!A:A, USD!B:B, "")</f>
        <v>65.344999999999999</v>
      </c>
      <c r="D309">
        <f>_xlfn.XLOOKUP(A309, Brent!A:A, Brent!B:B, "")</f>
        <v>50.67</v>
      </c>
      <c r="E309">
        <f>_xlfn.XLOOKUP(
  A309,
  Repo!A:A,
  Repo!B:B,
  "",
  -1
)</f>
        <v>6.25</v>
      </c>
      <c r="F309" s="10">
        <f>_xlfn.XLOOKUP(
  A309,
  CPI!D:D,
  CPI!C:C,
  "",
  -1
)</f>
        <v>3.89</v>
      </c>
      <c r="G309">
        <v>28528</v>
      </c>
    </row>
    <row r="310" spans="1:7">
      <c r="A310" s="1">
        <v>42815</v>
      </c>
      <c r="B310">
        <v>28853</v>
      </c>
      <c r="C310">
        <f>_xlfn.XLOOKUP(A310, USD!A:A, USD!B:B, "")</f>
        <v>65.344999999999999</v>
      </c>
      <c r="D310">
        <f>_xlfn.XLOOKUP(A310, Brent!A:A, Brent!B:B, "")</f>
        <v>50.14</v>
      </c>
      <c r="E310">
        <f>_xlfn.XLOOKUP(
  A310,
  Repo!A:A,
  Repo!B:B,
  "",
  -1
)</f>
        <v>6.25</v>
      </c>
      <c r="F310" s="10">
        <f>_xlfn.XLOOKUP(
  A310,
  CPI!D:D,
  CPI!C:C,
  "",
  -1
)</f>
        <v>3.89</v>
      </c>
      <c r="G310">
        <v>28518</v>
      </c>
    </row>
    <row r="311" spans="1:7">
      <c r="A311" s="1">
        <v>42816</v>
      </c>
      <c r="B311">
        <v>28886</v>
      </c>
      <c r="C311">
        <f>_xlfn.XLOOKUP(A311, USD!A:A, USD!B:B, "")</f>
        <v>65.454999999999998</v>
      </c>
      <c r="D311">
        <f>_xlfn.XLOOKUP(A311, Brent!A:A, Brent!B:B, "")</f>
        <v>49.56</v>
      </c>
      <c r="E311">
        <f>_xlfn.XLOOKUP(
  A311,
  Repo!A:A,
  Repo!B:B,
  "",
  -1
)</f>
        <v>6.25</v>
      </c>
      <c r="F311" s="10">
        <f>_xlfn.XLOOKUP(
  A311,
  CPI!D:D,
  CPI!C:C,
  "",
  -1
)</f>
        <v>3.89</v>
      </c>
      <c r="G311">
        <v>28853</v>
      </c>
    </row>
    <row r="312" spans="1:7">
      <c r="A312" s="1">
        <v>42817</v>
      </c>
      <c r="B312">
        <v>28816</v>
      </c>
      <c r="C312">
        <f>_xlfn.XLOOKUP(A312, USD!A:A, USD!B:B, "")</f>
        <v>65.454999999999998</v>
      </c>
      <c r="D312">
        <f>_xlfn.XLOOKUP(A312, Brent!A:A, Brent!B:B, "")</f>
        <v>50.17</v>
      </c>
      <c r="E312">
        <f>_xlfn.XLOOKUP(
  A312,
  Repo!A:A,
  Repo!B:B,
  "",
  -1
)</f>
        <v>6.25</v>
      </c>
      <c r="F312" s="10">
        <f>_xlfn.XLOOKUP(
  A312,
  CPI!D:D,
  CPI!C:C,
  "",
  -1
)</f>
        <v>3.89</v>
      </c>
      <c r="G312">
        <v>28886</v>
      </c>
    </row>
    <row r="313" spans="1:7">
      <c r="A313" s="1">
        <v>42818</v>
      </c>
      <c r="B313">
        <v>28809</v>
      </c>
      <c r="C313">
        <f>_xlfn.XLOOKUP(A313, USD!A:A, USD!B:B, "")</f>
        <v>65.424999999999997</v>
      </c>
      <c r="D313">
        <f>_xlfn.XLOOKUP(A313, Brent!A:A, Brent!B:B, "")</f>
        <v>49.97</v>
      </c>
      <c r="E313">
        <f>_xlfn.XLOOKUP(
  A313,
  Repo!A:A,
  Repo!B:B,
  "",
  -1
)</f>
        <v>6.25</v>
      </c>
      <c r="F313" s="10">
        <f>_xlfn.XLOOKUP(
  A313,
  CPI!D:D,
  CPI!C:C,
  "",
  -1
)</f>
        <v>3.89</v>
      </c>
      <c r="G313">
        <v>28816</v>
      </c>
    </row>
    <row r="314" spans="1:7">
      <c r="A314" s="1">
        <v>42821</v>
      </c>
      <c r="B314">
        <v>28839</v>
      </c>
      <c r="C314">
        <f>_xlfn.XLOOKUP(A314, USD!A:A, USD!B:B, "")</f>
        <v>64.995000000000005</v>
      </c>
      <c r="D314">
        <f>_xlfn.XLOOKUP(A314, Brent!A:A, Brent!B:B, "")</f>
        <v>50.12</v>
      </c>
      <c r="E314">
        <f>_xlfn.XLOOKUP(
  A314,
  Repo!A:A,
  Repo!B:B,
  "",
  -1
)</f>
        <v>6.25</v>
      </c>
      <c r="F314" s="10">
        <f>_xlfn.XLOOKUP(
  A314,
  CPI!D:D,
  CPI!C:C,
  "",
  -1
)</f>
        <v>3.89</v>
      </c>
      <c r="G314">
        <v>28809</v>
      </c>
    </row>
    <row r="315" spans="1:7" ht="17.25" customHeight="1">
      <c r="A315" s="1">
        <v>42822</v>
      </c>
      <c r="B315">
        <v>28872</v>
      </c>
      <c r="C315">
        <f>_xlfn.XLOOKUP(A315, USD!A:A, USD!B:B, "")</f>
        <v>65.045000000000002</v>
      </c>
      <c r="D315">
        <f>_xlfn.XLOOKUP(A315, Brent!A:A, Brent!B:B, "")</f>
        <v>50.72</v>
      </c>
      <c r="E315">
        <f>_xlfn.XLOOKUP(
  A315,
  Repo!A:A,
  Repo!B:B,
  "",
  -1
)</f>
        <v>6.25</v>
      </c>
      <c r="F315" s="10">
        <f>_xlfn.XLOOKUP(
  A315,
  CPI!D:D,
  CPI!C:C,
  "",
  -1
)</f>
        <v>3.89</v>
      </c>
      <c r="G315">
        <v>28839</v>
      </c>
    </row>
    <row r="316" spans="1:7">
      <c r="A316" s="1">
        <v>42823</v>
      </c>
      <c r="B316">
        <v>28762</v>
      </c>
      <c r="C316">
        <f>_xlfn.XLOOKUP(A316, USD!A:A, USD!B:B, "")</f>
        <v>64.875</v>
      </c>
      <c r="D316">
        <f>_xlfn.XLOOKUP(A316, Brent!A:A, Brent!B:B, "")</f>
        <v>51.36</v>
      </c>
      <c r="E316">
        <f>_xlfn.XLOOKUP(
  A316,
  Repo!A:A,
  Repo!B:B,
  "",
  -1
)</f>
        <v>6.25</v>
      </c>
      <c r="F316" s="10">
        <f>_xlfn.XLOOKUP(
  A316,
  CPI!D:D,
  CPI!C:C,
  "",
  -1
)</f>
        <v>3.89</v>
      </c>
      <c r="G316">
        <v>28872</v>
      </c>
    </row>
    <row r="317" spans="1:7">
      <c r="A317" s="1">
        <v>42824</v>
      </c>
      <c r="B317">
        <v>28559</v>
      </c>
      <c r="C317">
        <f>_xlfn.XLOOKUP(A317, USD!A:A, USD!B:B, "")</f>
        <v>64.86</v>
      </c>
      <c r="D317">
        <f>_xlfn.XLOOKUP(A317, Brent!A:A, Brent!B:B, "")</f>
        <v>52.25</v>
      </c>
      <c r="E317">
        <f>_xlfn.XLOOKUP(
  A317,
  Repo!A:A,
  Repo!B:B,
  "",
  -1
)</f>
        <v>6.25</v>
      </c>
      <c r="F317" s="10">
        <f>_xlfn.XLOOKUP(
  A317,
  CPI!D:D,
  CPI!C:C,
  "",
  -1
)</f>
        <v>3.89</v>
      </c>
      <c r="G317">
        <v>28762</v>
      </c>
    </row>
    <row r="318" spans="1:7">
      <c r="A318" s="1">
        <v>42825</v>
      </c>
      <c r="B318">
        <v>28612</v>
      </c>
      <c r="C318">
        <f>_xlfn.XLOOKUP(A318, USD!A:A, USD!B:B, "")</f>
        <v>64.86</v>
      </c>
      <c r="D318">
        <f>_xlfn.XLOOKUP(A318, Brent!A:A, Brent!B:B, "")</f>
        <v>52.2</v>
      </c>
      <c r="E318">
        <f>_xlfn.XLOOKUP(
  A318,
  Repo!A:A,
  Repo!B:B,
  "",
  -1
)</f>
        <v>6.25</v>
      </c>
      <c r="F318" s="10">
        <f>_xlfn.XLOOKUP(
  A318,
  CPI!D:D,
  CPI!C:C,
  "",
  -1
)</f>
        <v>3.89</v>
      </c>
      <c r="G318">
        <v>28559</v>
      </c>
    </row>
    <row r="319" spans="1:7">
      <c r="A319" s="1">
        <v>42828</v>
      </c>
      <c r="B319">
        <v>28720</v>
      </c>
      <c r="C319">
        <f>_xlfn.XLOOKUP(A319, USD!A:A, USD!B:B, "")</f>
        <v>64.984999999999999</v>
      </c>
      <c r="D319">
        <f>_xlfn.XLOOKUP(A319, Brent!A:A, Brent!B:B, "")</f>
        <v>52.04</v>
      </c>
      <c r="E319">
        <f>_xlfn.XLOOKUP(
  A319,
  Repo!A:A,
  Repo!B:B,
  "",
  -1
)</f>
        <v>6.25</v>
      </c>
      <c r="F319" s="10">
        <f>_xlfn.XLOOKUP(
  A319,
  CPI!D:D,
  CPI!C:C,
  "",
  -1
)</f>
        <v>2.99</v>
      </c>
      <c r="G319">
        <v>28612</v>
      </c>
    </row>
    <row r="320" spans="1:7">
      <c r="A320" s="1">
        <v>42829</v>
      </c>
      <c r="B320">
        <v>28960</v>
      </c>
      <c r="C320">
        <f>_xlfn.XLOOKUP(A320, USD!A:A, USD!B:B, "")</f>
        <v>65.08</v>
      </c>
      <c r="D320">
        <f>_xlfn.XLOOKUP(A320, Brent!A:A, Brent!B:B, "")</f>
        <v>53.08</v>
      </c>
      <c r="E320">
        <f>_xlfn.XLOOKUP(
  A320,
  Repo!A:A,
  Repo!B:B,
  "",
  -1
)</f>
        <v>6.25</v>
      </c>
      <c r="F320" s="10">
        <f>_xlfn.XLOOKUP(
  A320,
  CPI!D:D,
  CPI!C:C,
  "",
  -1
)</f>
        <v>2.99</v>
      </c>
      <c r="G320">
        <v>28720</v>
      </c>
    </row>
    <row r="321" spans="1:7">
      <c r="A321" s="1">
        <v>42830</v>
      </c>
      <c r="B321">
        <v>28617</v>
      </c>
      <c r="C321">
        <f>_xlfn.XLOOKUP(A321, USD!A:A, USD!B:B, "")</f>
        <v>64.875</v>
      </c>
      <c r="D321">
        <f>_xlfn.XLOOKUP(A321, Brent!A:A, Brent!B:B, "")</f>
        <v>53.41</v>
      </c>
      <c r="E321">
        <f>_xlfn.XLOOKUP(
  A321,
  Repo!A:A,
  Repo!B:B,
  "",
  -1
)</f>
        <v>6.25</v>
      </c>
      <c r="F321" s="10">
        <f>_xlfn.XLOOKUP(
  A321,
  CPI!D:D,
  CPI!C:C,
  "",
  -1
)</f>
        <v>2.99</v>
      </c>
      <c r="G321">
        <v>28960</v>
      </c>
    </row>
    <row r="322" spans="1:7">
      <c r="A322" s="1">
        <v>42831</v>
      </c>
      <c r="B322">
        <v>28697</v>
      </c>
      <c r="C322">
        <f>_xlfn.XLOOKUP(A322, USD!A:A, USD!B:B, "")</f>
        <v>64.605999999999995</v>
      </c>
      <c r="D322">
        <f>_xlfn.XLOOKUP(A322, Brent!A:A, Brent!B:B, "")</f>
        <v>53.62</v>
      </c>
      <c r="E322">
        <f>_xlfn.XLOOKUP(
  A322,
  Repo!A:A,
  Repo!B:B,
  "",
  -1
)</f>
        <v>6.25</v>
      </c>
      <c r="F322" s="10">
        <f>_xlfn.XLOOKUP(
  A322,
  CPI!D:D,
  CPI!C:C,
  "",
  -1
)</f>
        <v>2.99</v>
      </c>
      <c r="G322">
        <v>28617</v>
      </c>
    </row>
    <row r="323" spans="1:7">
      <c r="A323" s="1">
        <v>42832</v>
      </c>
      <c r="B323">
        <v>28650</v>
      </c>
      <c r="C323">
        <f>_xlfn.XLOOKUP(A323, USD!A:A, USD!B:B, "")</f>
        <v>64.27</v>
      </c>
      <c r="D323">
        <f>_xlfn.XLOOKUP(A323, Brent!A:A, Brent!B:B, "")</f>
        <v>54.24</v>
      </c>
      <c r="E323">
        <f>_xlfn.XLOOKUP(
  A323,
  Repo!A:A,
  Repo!B:B,
  "",
  -1
)</f>
        <v>6.25</v>
      </c>
      <c r="F323" s="10">
        <f>_xlfn.XLOOKUP(
  A323,
  CPI!D:D,
  CPI!C:C,
  "",
  -1
)</f>
        <v>2.99</v>
      </c>
      <c r="G323">
        <v>28697</v>
      </c>
    </row>
    <row r="324" spans="1:7">
      <c r="A324" s="1">
        <v>42835</v>
      </c>
      <c r="B324">
        <v>28699</v>
      </c>
      <c r="C324">
        <f>_xlfn.XLOOKUP(A324, USD!A:A, USD!B:B, "")</f>
        <v>64.605000000000004</v>
      </c>
      <c r="D324">
        <f>_xlfn.XLOOKUP(A324, Brent!A:A, Brent!B:B, "")</f>
        <v>54.79</v>
      </c>
      <c r="E324">
        <f>_xlfn.XLOOKUP(
  A324,
  Repo!A:A,
  Repo!B:B,
  "",
  -1
)</f>
        <v>6.25</v>
      </c>
      <c r="F324" s="10">
        <f>_xlfn.XLOOKUP(
  A324,
  CPI!D:D,
  CPI!C:C,
  "",
  -1
)</f>
        <v>2.99</v>
      </c>
      <c r="G324">
        <v>28650</v>
      </c>
    </row>
    <row r="325" spans="1:7">
      <c r="A325" s="1">
        <v>42836</v>
      </c>
      <c r="B325">
        <v>29149</v>
      </c>
      <c r="C325">
        <f>_xlfn.XLOOKUP(A325, USD!A:A, USD!B:B, "")</f>
        <v>64.555000000000007</v>
      </c>
      <c r="D325">
        <f>_xlfn.XLOOKUP(A325, Brent!A:A, Brent!B:B, "")</f>
        <v>54.73</v>
      </c>
      <c r="E325">
        <f>_xlfn.XLOOKUP(
  A325,
  Repo!A:A,
  Repo!B:B,
  "",
  -1
)</f>
        <v>6.25</v>
      </c>
      <c r="F325" s="10">
        <f>_xlfn.XLOOKUP(
  A325,
  CPI!D:D,
  CPI!C:C,
  "",
  -1
)</f>
        <v>2.99</v>
      </c>
      <c r="G325">
        <v>28699</v>
      </c>
    </row>
    <row r="326" spans="1:7">
      <c r="A326" s="1">
        <v>42837</v>
      </c>
      <c r="B326">
        <v>29189</v>
      </c>
      <c r="C326">
        <f>_xlfn.XLOOKUP(A326, USD!A:A, USD!B:B, "")</f>
        <v>64.69</v>
      </c>
      <c r="D326">
        <f>_xlfn.XLOOKUP(A326, Brent!A:A, Brent!B:B, "")</f>
        <v>54.75</v>
      </c>
      <c r="E326">
        <f>_xlfn.XLOOKUP(
  A326,
  Repo!A:A,
  Repo!B:B,
  "",
  -1
)</f>
        <v>6.25</v>
      </c>
      <c r="F326" s="10">
        <f>_xlfn.XLOOKUP(
  A326,
  CPI!D:D,
  CPI!C:C,
  "",
  -1
)</f>
        <v>2.99</v>
      </c>
      <c r="G326">
        <v>29149</v>
      </c>
    </row>
    <row r="327" spans="1:7">
      <c r="A327" s="1">
        <v>42838</v>
      </c>
      <c r="B327">
        <v>29358</v>
      </c>
      <c r="C327">
        <f>_xlfn.XLOOKUP(A327, USD!A:A, USD!B:B, "")</f>
        <v>64.444999999999993</v>
      </c>
      <c r="D327">
        <f>_xlfn.XLOOKUP(A327, Brent!A:A, Brent!B:B, "")</f>
        <v>55.05</v>
      </c>
      <c r="E327">
        <f>_xlfn.XLOOKUP(
  A327,
  Repo!A:A,
  Repo!B:B,
  "",
  -1
)</f>
        <v>6.25</v>
      </c>
      <c r="F327" s="10">
        <f>_xlfn.XLOOKUP(
  A327,
  CPI!D:D,
  CPI!C:C,
  "",
  -1
)</f>
        <v>2.99</v>
      </c>
      <c r="G327">
        <v>29189</v>
      </c>
    </row>
    <row r="328" spans="1:7">
      <c r="A328" s="1">
        <v>42842</v>
      </c>
      <c r="B328">
        <v>29392</v>
      </c>
      <c r="C328">
        <f>_xlfn.XLOOKUP(A328, USD!A:A, USD!B:B, "")</f>
        <v>64.48</v>
      </c>
      <c r="D328">
        <f>_xlfn.XLOOKUP(A328, Brent!A:A, Brent!B:B, "")</f>
        <v>54.79</v>
      </c>
      <c r="E328">
        <f>_xlfn.XLOOKUP(
  A328,
  Repo!A:A,
  Repo!B:B,
  "",
  -1
)</f>
        <v>6.25</v>
      </c>
      <c r="F328" s="10">
        <f>_xlfn.XLOOKUP(
  A328,
  CPI!D:D,
  CPI!C:C,
  "",
  -1
)</f>
        <v>2.99</v>
      </c>
      <c r="G328">
        <v>29358</v>
      </c>
    </row>
    <row r="329" spans="1:7">
      <c r="A329" s="1">
        <v>42843</v>
      </c>
      <c r="B329">
        <v>29518</v>
      </c>
      <c r="C329">
        <f>_xlfn.XLOOKUP(A329, USD!A:A, USD!B:B, "")</f>
        <v>64.605000000000004</v>
      </c>
      <c r="D329">
        <f>_xlfn.XLOOKUP(A329, Brent!A:A, Brent!B:B, "")</f>
        <v>52.6</v>
      </c>
      <c r="E329">
        <f>_xlfn.XLOOKUP(
  A329,
  Repo!A:A,
  Repo!B:B,
  "",
  -1
)</f>
        <v>6.25</v>
      </c>
      <c r="F329" s="10">
        <f>_xlfn.XLOOKUP(
  A329,
  CPI!D:D,
  CPI!C:C,
  "",
  -1
)</f>
        <v>2.99</v>
      </c>
      <c r="G329">
        <v>29392</v>
      </c>
    </row>
    <row r="330" spans="1:7">
      <c r="A330" s="1">
        <v>42844</v>
      </c>
      <c r="B330">
        <v>29313</v>
      </c>
      <c r="C330">
        <f>_xlfn.XLOOKUP(A330, USD!A:A, USD!B:B, "")</f>
        <v>64.665000000000006</v>
      </c>
      <c r="D330">
        <f>_xlfn.XLOOKUP(A330, Brent!A:A, Brent!B:B, "")</f>
        <v>52.43</v>
      </c>
      <c r="E330">
        <f>_xlfn.XLOOKUP(
  A330,
  Repo!A:A,
  Repo!B:B,
  "",
  -1
)</f>
        <v>6.25</v>
      </c>
      <c r="F330" s="10">
        <f>_xlfn.XLOOKUP(
  A330,
  CPI!D:D,
  CPI!C:C,
  "",
  -1
)</f>
        <v>2.99</v>
      </c>
      <c r="G330">
        <v>29518</v>
      </c>
    </row>
    <row r="331" spans="1:7">
      <c r="A331" s="1">
        <v>42845</v>
      </c>
      <c r="B331">
        <v>29308</v>
      </c>
      <c r="C331">
        <f>_xlfn.XLOOKUP(A331, USD!A:A, USD!B:B, "")</f>
        <v>64.62</v>
      </c>
      <c r="D331">
        <f>_xlfn.XLOOKUP(A331, Brent!A:A, Brent!B:B, "")</f>
        <v>50.66</v>
      </c>
      <c r="E331">
        <f>_xlfn.XLOOKUP(
  A331,
  Repo!A:A,
  Repo!B:B,
  "",
  -1
)</f>
        <v>6.25</v>
      </c>
      <c r="F331" s="10">
        <f>_xlfn.XLOOKUP(
  A331,
  CPI!D:D,
  CPI!C:C,
  "",
  -1
)</f>
        <v>2.99</v>
      </c>
      <c r="G331">
        <v>29313</v>
      </c>
    </row>
    <row r="332" spans="1:7">
      <c r="A332" s="1">
        <v>42846</v>
      </c>
      <c r="B332">
        <v>29432</v>
      </c>
      <c r="C332">
        <f>_xlfn.XLOOKUP(A332, USD!A:A, USD!B:B, "")</f>
        <v>64.650000000000006</v>
      </c>
      <c r="D332">
        <f>_xlfn.XLOOKUP(A332, Brent!A:A, Brent!B:B, "")</f>
        <v>49.93</v>
      </c>
      <c r="E332">
        <f>_xlfn.XLOOKUP(
  A332,
  Repo!A:A,
  Repo!B:B,
  "",
  -1
)</f>
        <v>6.25</v>
      </c>
      <c r="F332" s="10">
        <f>_xlfn.XLOOKUP(
  A332,
  CPI!D:D,
  CPI!C:C,
  "",
  -1
)</f>
        <v>2.99</v>
      </c>
      <c r="G332">
        <v>29308</v>
      </c>
    </row>
    <row r="333" spans="1:7">
      <c r="A333" s="1">
        <v>42849</v>
      </c>
      <c r="B333">
        <v>29128</v>
      </c>
      <c r="C333">
        <f>_xlfn.XLOOKUP(A333, USD!A:A, USD!B:B, "")</f>
        <v>64.489999999999995</v>
      </c>
      <c r="D333">
        <f>_xlfn.XLOOKUP(A333, Brent!A:A, Brent!B:B, "")</f>
        <v>49.45</v>
      </c>
      <c r="E333">
        <f>_xlfn.XLOOKUP(
  A333,
  Repo!A:A,
  Repo!B:B,
  "",
  -1
)</f>
        <v>6.25</v>
      </c>
      <c r="F333" s="10">
        <f>_xlfn.XLOOKUP(
  A333,
  CPI!D:D,
  CPI!C:C,
  "",
  -1
)</f>
        <v>2.99</v>
      </c>
      <c r="G333">
        <v>29432</v>
      </c>
    </row>
    <row r="334" spans="1:7">
      <c r="A334" s="1">
        <v>42850</v>
      </c>
      <c r="B334">
        <v>28827</v>
      </c>
      <c r="C334">
        <f>_xlfn.XLOOKUP(A334, USD!A:A, USD!B:B, "")</f>
        <v>64.33</v>
      </c>
      <c r="D334">
        <f>_xlfn.XLOOKUP(A334, Brent!A:A, Brent!B:B, "")</f>
        <v>49.37</v>
      </c>
      <c r="E334">
        <f>_xlfn.XLOOKUP(
  A334,
  Repo!A:A,
  Repo!B:B,
  "",
  -1
)</f>
        <v>6.25</v>
      </c>
      <c r="F334" s="10">
        <f>_xlfn.XLOOKUP(
  A334,
  CPI!D:D,
  CPI!C:C,
  "",
  -1
)</f>
        <v>2.99</v>
      </c>
      <c r="G334">
        <v>29128</v>
      </c>
    </row>
    <row r="335" spans="1:7">
      <c r="A335" s="1">
        <v>42851</v>
      </c>
      <c r="B335">
        <v>28757</v>
      </c>
      <c r="C335">
        <f>_xlfn.XLOOKUP(A335, USD!A:A, USD!B:B, "")</f>
        <v>64.13</v>
      </c>
      <c r="D335">
        <f>_xlfn.XLOOKUP(A335, Brent!A:A, Brent!B:B, "")</f>
        <v>49.99</v>
      </c>
      <c r="E335">
        <f>_xlfn.XLOOKUP(
  A335,
  Repo!A:A,
  Repo!B:B,
  "",
  -1
)</f>
        <v>6.25</v>
      </c>
      <c r="F335" s="10">
        <f>_xlfn.XLOOKUP(
  A335,
  CPI!D:D,
  CPI!C:C,
  "",
  -1
)</f>
        <v>2.99</v>
      </c>
      <c r="G335">
        <v>28827</v>
      </c>
    </row>
    <row r="336" spans="1:7">
      <c r="A336" s="1">
        <v>42852</v>
      </c>
      <c r="B336">
        <v>28784</v>
      </c>
      <c r="C336">
        <f>_xlfn.XLOOKUP(A336, USD!A:A, USD!B:B, "")</f>
        <v>64.114999999999995</v>
      </c>
      <c r="D336">
        <f>_xlfn.XLOOKUP(A336, Brent!A:A, Brent!B:B, "")</f>
        <v>49.46</v>
      </c>
      <c r="E336">
        <f>_xlfn.XLOOKUP(
  A336,
  Repo!A:A,
  Repo!B:B,
  "",
  -1
)</f>
        <v>6.25</v>
      </c>
      <c r="F336" s="10">
        <f>_xlfn.XLOOKUP(
  A336,
  CPI!D:D,
  CPI!C:C,
  "",
  -1
)</f>
        <v>2.99</v>
      </c>
      <c r="G336">
        <v>28757</v>
      </c>
    </row>
    <row r="337" spans="1:7">
      <c r="A337" s="1">
        <v>42853</v>
      </c>
      <c r="B337">
        <v>28872</v>
      </c>
      <c r="C337">
        <f>_xlfn.XLOOKUP(A337, USD!A:A, USD!B:B, "")</f>
        <v>64.290000000000006</v>
      </c>
      <c r="D337">
        <f>_xlfn.XLOOKUP(A337, Brent!A:A, Brent!B:B, "")</f>
        <v>49.46</v>
      </c>
      <c r="E337">
        <f>_xlfn.XLOOKUP(
  A337,
  Repo!A:A,
  Repo!B:B,
  "",
  -1
)</f>
        <v>6.25</v>
      </c>
      <c r="F337" s="10">
        <f>_xlfn.XLOOKUP(
  A337,
  CPI!D:D,
  CPI!C:C,
  "",
  -1
)</f>
        <v>2.99</v>
      </c>
      <c r="G337">
        <v>28784</v>
      </c>
    </row>
    <row r="338" spans="1:7">
      <c r="A338" s="1">
        <v>42856</v>
      </c>
      <c r="B338">
        <v>28654</v>
      </c>
      <c r="C338">
        <f>_xlfn.XLOOKUP(A338, USD!A:A, USD!B:B, "")</f>
        <v>64.254999999999995</v>
      </c>
      <c r="D338">
        <f>_xlfn.XLOOKUP(A338, Brent!A:A, Brent!B:B, "")</f>
        <v>50.41</v>
      </c>
      <c r="E338">
        <f>_xlfn.XLOOKUP(
  A338,
  Repo!A:A,
  Repo!B:B,
  "",
  -1
)</f>
        <v>6.25</v>
      </c>
      <c r="F338" s="10">
        <f>_xlfn.XLOOKUP(
  A338,
  CPI!D:D,
  CPI!C:C,
  "",
  -1
)</f>
        <v>2.1800000000000002</v>
      </c>
      <c r="G338">
        <v>28872</v>
      </c>
    </row>
    <row r="339" spans="1:7">
      <c r="A339" s="1">
        <v>42857</v>
      </c>
      <c r="B339">
        <v>28571</v>
      </c>
      <c r="C339">
        <f>_xlfn.XLOOKUP(A339, USD!A:A, USD!B:B, "")</f>
        <v>64.165000000000006</v>
      </c>
      <c r="D339">
        <f>_xlfn.XLOOKUP(A339, Brent!A:A, Brent!B:B, "")</f>
        <v>49.31</v>
      </c>
      <c r="E339">
        <f>_xlfn.XLOOKUP(
  A339,
  Repo!A:A,
  Repo!B:B,
  "",
  -1
)</f>
        <v>6.25</v>
      </c>
      <c r="F339" s="10">
        <f>_xlfn.XLOOKUP(
  A339,
  CPI!D:D,
  CPI!C:C,
  "",
  -1
)</f>
        <v>2.1800000000000002</v>
      </c>
      <c r="G339">
        <v>28654</v>
      </c>
    </row>
    <row r="340" spans="1:7">
      <c r="A340" s="1">
        <v>42858</v>
      </c>
      <c r="B340">
        <v>28571</v>
      </c>
      <c r="C340">
        <f>_xlfn.XLOOKUP(A340, USD!A:A, USD!B:B, "")</f>
        <v>64.165000000000006</v>
      </c>
      <c r="D340">
        <f>_xlfn.XLOOKUP(A340, Brent!A:A, Brent!B:B, "")</f>
        <v>48.82</v>
      </c>
      <c r="E340">
        <f>_xlfn.XLOOKUP(
  A340,
  Repo!A:A,
  Repo!B:B,
  "",
  -1
)</f>
        <v>6.25</v>
      </c>
      <c r="F340" s="10">
        <f>_xlfn.XLOOKUP(
  A340,
  CPI!D:D,
  CPI!C:C,
  "",
  -1
)</f>
        <v>2.1800000000000002</v>
      </c>
      <c r="G340">
        <v>28571</v>
      </c>
    </row>
    <row r="341" spans="1:7">
      <c r="A341" s="1">
        <v>42859</v>
      </c>
      <c r="B341">
        <v>28060</v>
      </c>
      <c r="C341">
        <f>_xlfn.XLOOKUP(A341, USD!A:A, USD!B:B, "")</f>
        <v>64.215000000000003</v>
      </c>
      <c r="D341">
        <f>_xlfn.XLOOKUP(A341, Brent!A:A, Brent!B:B, "")</f>
        <v>47.53</v>
      </c>
      <c r="E341">
        <f>_xlfn.XLOOKUP(
  A341,
  Repo!A:A,
  Repo!B:B,
  "",
  -1
)</f>
        <v>6.25</v>
      </c>
      <c r="F341" s="10">
        <f>_xlfn.XLOOKUP(
  A341,
  CPI!D:D,
  CPI!C:C,
  "",
  -1
)</f>
        <v>2.1800000000000002</v>
      </c>
      <c r="G341">
        <v>28571</v>
      </c>
    </row>
    <row r="342" spans="1:7">
      <c r="A342" s="1">
        <v>42860</v>
      </c>
      <c r="B342">
        <v>28184</v>
      </c>
      <c r="C342">
        <f>_xlfn.XLOOKUP(A342, USD!A:A, USD!B:B, "")</f>
        <v>64.314999999999998</v>
      </c>
      <c r="D342">
        <f>_xlfn.XLOOKUP(A342, Brent!A:A, Brent!B:B, "")</f>
        <v>47.45</v>
      </c>
      <c r="E342">
        <f>_xlfn.XLOOKUP(
  A342,
  Repo!A:A,
  Repo!B:B,
  "",
  -1
)</f>
        <v>6.25</v>
      </c>
      <c r="F342" s="10">
        <f>_xlfn.XLOOKUP(
  A342,
  CPI!D:D,
  CPI!C:C,
  "",
  -1
)</f>
        <v>2.1800000000000002</v>
      </c>
      <c r="G342">
        <v>28060</v>
      </c>
    </row>
    <row r="343" spans="1:7">
      <c r="A343" s="1">
        <v>42863</v>
      </c>
      <c r="B343">
        <v>28119</v>
      </c>
      <c r="C343">
        <f>_xlfn.XLOOKUP(A343, USD!A:A, USD!B:B, "")</f>
        <v>64.36</v>
      </c>
      <c r="D343">
        <f>_xlfn.XLOOKUP(A343, Brent!A:A, Brent!B:B, "")</f>
        <v>46.61</v>
      </c>
      <c r="E343">
        <f>_xlfn.XLOOKUP(
  A343,
  Repo!A:A,
  Repo!B:B,
  "",
  -1
)</f>
        <v>6.25</v>
      </c>
      <c r="F343" s="10">
        <f>_xlfn.XLOOKUP(
  A343,
  CPI!D:D,
  CPI!C:C,
  "",
  -1
)</f>
        <v>2.1800000000000002</v>
      </c>
      <c r="G343">
        <v>28184</v>
      </c>
    </row>
    <row r="344" spans="1:7">
      <c r="A344" s="1">
        <v>42864</v>
      </c>
      <c r="B344">
        <v>27981</v>
      </c>
      <c r="C344">
        <f>_xlfn.XLOOKUP(A344, USD!A:A, USD!B:B, "")</f>
        <v>64.680000000000007</v>
      </c>
      <c r="D344">
        <f>_xlfn.XLOOKUP(A344, Brent!A:A, Brent!B:B, "")</f>
        <v>47.06</v>
      </c>
      <c r="E344">
        <f>_xlfn.XLOOKUP(
  A344,
  Repo!A:A,
  Repo!B:B,
  "",
  -1
)</f>
        <v>6.25</v>
      </c>
      <c r="F344" s="10">
        <f>_xlfn.XLOOKUP(
  A344,
  CPI!D:D,
  CPI!C:C,
  "",
  -1
)</f>
        <v>2.1800000000000002</v>
      </c>
      <c r="G344">
        <v>28119</v>
      </c>
    </row>
    <row r="345" spans="1:7">
      <c r="A345" s="1">
        <v>42865</v>
      </c>
      <c r="B345">
        <v>28007</v>
      </c>
      <c r="C345">
        <f>_xlfn.XLOOKUP(A345, USD!A:A, USD!B:B, "")</f>
        <v>64.614999999999995</v>
      </c>
      <c r="D345">
        <f>_xlfn.XLOOKUP(A345, Brent!A:A, Brent!B:B, "")</f>
        <v>48.09</v>
      </c>
      <c r="E345">
        <f>_xlfn.XLOOKUP(
  A345,
  Repo!A:A,
  Repo!B:B,
  "",
  -1
)</f>
        <v>6.25</v>
      </c>
      <c r="F345" s="10">
        <f>_xlfn.XLOOKUP(
  A345,
  CPI!D:D,
  CPI!C:C,
  "",
  -1
)</f>
        <v>2.1800000000000002</v>
      </c>
      <c r="G345">
        <v>27981</v>
      </c>
    </row>
    <row r="346" spans="1:7">
      <c r="A346" s="1">
        <v>42866</v>
      </c>
      <c r="B346">
        <v>28022</v>
      </c>
      <c r="C346">
        <f>_xlfn.XLOOKUP(A346, USD!A:A, USD!B:B, "")</f>
        <v>64.405000000000001</v>
      </c>
      <c r="D346">
        <f>_xlfn.XLOOKUP(A346, Brent!A:A, Brent!B:B, "")</f>
        <v>49.18</v>
      </c>
      <c r="E346">
        <f>_xlfn.XLOOKUP(
  A346,
  Repo!A:A,
  Repo!B:B,
  "",
  -1
)</f>
        <v>6.25</v>
      </c>
      <c r="F346" s="10">
        <f>_xlfn.XLOOKUP(
  A346,
  CPI!D:D,
  CPI!C:C,
  "",
  -1
)</f>
        <v>2.1800000000000002</v>
      </c>
      <c r="G346">
        <v>28007</v>
      </c>
    </row>
    <row r="347" spans="1:7">
      <c r="A347" s="1">
        <v>42867</v>
      </c>
      <c r="B347">
        <v>28019</v>
      </c>
      <c r="C347">
        <f>_xlfn.XLOOKUP(A347, USD!A:A, USD!B:B, "")</f>
        <v>64.242999999999995</v>
      </c>
      <c r="D347">
        <f>_xlfn.XLOOKUP(A347, Brent!A:A, Brent!B:B, "")</f>
        <v>49.08</v>
      </c>
      <c r="E347">
        <f>_xlfn.XLOOKUP(
  A347,
  Repo!A:A,
  Repo!B:B,
  "",
  -1
)</f>
        <v>6.25</v>
      </c>
      <c r="F347" s="10">
        <f>_xlfn.XLOOKUP(
  A347,
  CPI!D:D,
  CPI!C:C,
  "",
  -1
)</f>
        <v>2.1800000000000002</v>
      </c>
      <c r="G347">
        <v>28022</v>
      </c>
    </row>
    <row r="348" spans="1:7">
      <c r="A348" s="1">
        <v>42870</v>
      </c>
      <c r="B348">
        <v>28008</v>
      </c>
      <c r="C348">
        <f>_xlfn.XLOOKUP(A348, USD!A:A, USD!B:B, "")</f>
        <v>64.064999999999998</v>
      </c>
      <c r="D348">
        <f>_xlfn.XLOOKUP(A348, Brent!A:A, Brent!B:B, "")</f>
        <v>51.29</v>
      </c>
      <c r="E348">
        <f>_xlfn.XLOOKUP(
  A348,
  Repo!A:A,
  Repo!B:B,
  "",
  -1
)</f>
        <v>6.25</v>
      </c>
      <c r="F348" s="10">
        <f>_xlfn.XLOOKUP(
  A348,
  CPI!D:D,
  CPI!C:C,
  "",
  -1
)</f>
        <v>2.1800000000000002</v>
      </c>
      <c r="G348">
        <v>28019</v>
      </c>
    </row>
    <row r="349" spans="1:7">
      <c r="A349" s="1">
        <v>42871</v>
      </c>
      <c r="B349">
        <v>28109</v>
      </c>
      <c r="C349">
        <f>_xlfn.XLOOKUP(A349, USD!A:A, USD!B:B, "")</f>
        <v>64.045000000000002</v>
      </c>
      <c r="D349">
        <f>_xlfn.XLOOKUP(A349, Brent!A:A, Brent!B:B, "")</f>
        <v>51.21</v>
      </c>
      <c r="E349">
        <f>_xlfn.XLOOKUP(
  A349,
  Repo!A:A,
  Repo!B:B,
  "",
  -1
)</f>
        <v>6.25</v>
      </c>
      <c r="F349" s="10">
        <f>_xlfn.XLOOKUP(
  A349,
  CPI!D:D,
  CPI!C:C,
  "",
  -1
)</f>
        <v>2.1800000000000002</v>
      </c>
      <c r="G349">
        <v>28008</v>
      </c>
    </row>
    <row r="350" spans="1:7">
      <c r="A350" s="1">
        <v>42872</v>
      </c>
      <c r="B350">
        <v>28614</v>
      </c>
      <c r="C350">
        <f>_xlfn.XLOOKUP(A350, USD!A:A, USD!B:B, "")</f>
        <v>64.13</v>
      </c>
      <c r="D350">
        <f>_xlfn.XLOOKUP(A350, Brent!A:A, Brent!B:B, "")</f>
        <v>51.76</v>
      </c>
      <c r="E350">
        <f>_xlfn.XLOOKUP(
  A350,
  Repo!A:A,
  Repo!B:B,
  "",
  -1
)</f>
        <v>6.25</v>
      </c>
      <c r="F350" s="10">
        <f>_xlfn.XLOOKUP(
  A350,
  CPI!D:D,
  CPI!C:C,
  "",
  -1
)</f>
        <v>2.1800000000000002</v>
      </c>
      <c r="G350">
        <v>28109</v>
      </c>
    </row>
    <row r="351" spans="1:7">
      <c r="A351" s="1">
        <v>42873</v>
      </c>
      <c r="B351">
        <v>28710</v>
      </c>
      <c r="C351">
        <f>_xlfn.XLOOKUP(A351, USD!A:A, USD!B:B, "")</f>
        <v>64.88</v>
      </c>
      <c r="D351">
        <f>_xlfn.XLOOKUP(A351, Brent!A:A, Brent!B:B, "")</f>
        <v>51.71</v>
      </c>
      <c r="E351">
        <f>_xlfn.XLOOKUP(
  A351,
  Repo!A:A,
  Repo!B:B,
  "",
  -1
)</f>
        <v>6.25</v>
      </c>
      <c r="F351" s="10">
        <f>_xlfn.XLOOKUP(
  A351,
  CPI!D:D,
  CPI!C:C,
  "",
  -1
)</f>
        <v>2.1800000000000002</v>
      </c>
      <c r="G351">
        <v>28614</v>
      </c>
    </row>
    <row r="352" spans="1:7">
      <c r="A352" s="1">
        <v>42874</v>
      </c>
      <c r="B352">
        <v>28634</v>
      </c>
      <c r="C352">
        <f>_xlfn.XLOOKUP(A352, USD!A:A, USD!B:B, "")</f>
        <v>64.564999999999998</v>
      </c>
      <c r="D352">
        <f>_xlfn.XLOOKUP(A352, Brent!A:A, Brent!B:B, "")</f>
        <v>52.78</v>
      </c>
      <c r="E352">
        <f>_xlfn.XLOOKUP(
  A352,
  Repo!A:A,
  Repo!B:B,
  "",
  -1
)</f>
        <v>6.25</v>
      </c>
      <c r="F352" s="10">
        <f>_xlfn.XLOOKUP(
  A352,
  CPI!D:D,
  CPI!C:C,
  "",
  -1
)</f>
        <v>2.1800000000000002</v>
      </c>
      <c r="G352">
        <v>28710</v>
      </c>
    </row>
    <row r="353" spans="1:7">
      <c r="A353" s="1">
        <v>42877</v>
      </c>
      <c r="B353">
        <v>28783</v>
      </c>
      <c r="C353">
        <f>_xlfn.XLOOKUP(A353, USD!A:A, USD!B:B, "")</f>
        <v>64.510000000000005</v>
      </c>
      <c r="D353">
        <f>_xlfn.XLOOKUP(A353, Brent!A:A, Brent!B:B, "")</f>
        <v>53.35</v>
      </c>
      <c r="E353">
        <f>_xlfn.XLOOKUP(
  A353,
  Repo!A:A,
  Repo!B:B,
  "",
  -1
)</f>
        <v>6.25</v>
      </c>
      <c r="F353" s="10">
        <f>_xlfn.XLOOKUP(
  A353,
  CPI!D:D,
  CPI!C:C,
  "",
  -1
)</f>
        <v>2.1800000000000002</v>
      </c>
      <c r="G353">
        <v>28634</v>
      </c>
    </row>
    <row r="354" spans="1:7">
      <c r="A354" s="1">
        <v>42878</v>
      </c>
      <c r="B354">
        <v>28808</v>
      </c>
      <c r="C354">
        <f>_xlfn.XLOOKUP(A354, USD!A:A, USD!B:B, "")</f>
        <v>64.894999999999996</v>
      </c>
      <c r="D354">
        <f>_xlfn.XLOOKUP(A354, Brent!A:A, Brent!B:B, "")</f>
        <v>53.19</v>
      </c>
      <c r="E354">
        <f>_xlfn.XLOOKUP(
  A354,
  Repo!A:A,
  Repo!B:B,
  "",
  -1
)</f>
        <v>6.25</v>
      </c>
      <c r="F354" s="10">
        <f>_xlfn.XLOOKUP(
  A354,
  CPI!D:D,
  CPI!C:C,
  "",
  -1
)</f>
        <v>2.1800000000000002</v>
      </c>
      <c r="G354">
        <v>28783</v>
      </c>
    </row>
    <row r="355" spans="1:7">
      <c r="A355" s="1">
        <v>42879</v>
      </c>
      <c r="B355">
        <v>28719</v>
      </c>
      <c r="C355">
        <f>_xlfn.XLOOKUP(A355, USD!A:A, USD!B:B, "")</f>
        <v>64.77</v>
      </c>
      <c r="D355">
        <f>_xlfn.XLOOKUP(A355, Brent!A:A, Brent!B:B, "")</f>
        <v>53.29</v>
      </c>
      <c r="E355">
        <f>_xlfn.XLOOKUP(
  A355,
  Repo!A:A,
  Repo!B:B,
  "",
  -1
)</f>
        <v>6.25</v>
      </c>
      <c r="F355" s="10">
        <f>_xlfn.XLOOKUP(
  A355,
  CPI!D:D,
  CPI!C:C,
  "",
  -1
)</f>
        <v>2.1800000000000002</v>
      </c>
      <c r="G355">
        <v>28808</v>
      </c>
    </row>
    <row r="356" spans="1:7">
      <c r="A356" s="1">
        <v>42880</v>
      </c>
      <c r="B356">
        <v>28638</v>
      </c>
      <c r="C356">
        <f>_xlfn.XLOOKUP(A356, USD!A:A, USD!B:B, "")</f>
        <v>64.555000000000007</v>
      </c>
      <c r="D356">
        <f>_xlfn.XLOOKUP(A356, Brent!A:A, Brent!B:B, "")</f>
        <v>52.25</v>
      </c>
      <c r="E356">
        <f>_xlfn.XLOOKUP(
  A356,
  Repo!A:A,
  Repo!B:B,
  "",
  -1
)</f>
        <v>6.25</v>
      </c>
      <c r="F356" s="10">
        <f>_xlfn.XLOOKUP(
  A356,
  CPI!D:D,
  CPI!C:C,
  "",
  -1
)</f>
        <v>2.1800000000000002</v>
      </c>
      <c r="G356">
        <v>28719</v>
      </c>
    </row>
    <row r="357" spans="1:7">
      <c r="A357" s="1">
        <v>42881</v>
      </c>
      <c r="B357">
        <v>28847</v>
      </c>
      <c r="C357">
        <f>_xlfn.XLOOKUP(A357, USD!A:A, USD!B:B, "")</f>
        <v>64.510000000000005</v>
      </c>
      <c r="D357">
        <f>_xlfn.XLOOKUP(A357, Brent!A:A, Brent!B:B, "")</f>
        <v>50.84</v>
      </c>
      <c r="E357">
        <f>_xlfn.XLOOKUP(
  A357,
  Repo!A:A,
  Repo!B:B,
  "",
  -1
)</f>
        <v>6.25</v>
      </c>
      <c r="F357" s="10">
        <f>_xlfn.XLOOKUP(
  A357,
  CPI!D:D,
  CPI!C:C,
  "",
  -1
)</f>
        <v>2.1800000000000002</v>
      </c>
      <c r="G357">
        <v>28638</v>
      </c>
    </row>
    <row r="358" spans="1:7">
      <c r="A358" s="1">
        <v>42884</v>
      </c>
      <c r="B358">
        <v>28874</v>
      </c>
      <c r="C358">
        <f>_xlfn.XLOOKUP(A358, USD!A:A, USD!B:B, "")</f>
        <v>64.540000000000006</v>
      </c>
      <c r="D358">
        <f>_xlfn.XLOOKUP(A358, Brent!A:A, Brent!B:B, "")</f>
        <v>52.25</v>
      </c>
      <c r="E358">
        <f>_xlfn.XLOOKUP(
  A358,
  Repo!A:A,
  Repo!B:B,
  "",
  -1
)</f>
        <v>6.25</v>
      </c>
      <c r="F358" s="10">
        <f>_xlfn.XLOOKUP(
  A358,
  CPI!D:D,
  CPI!C:C,
  "",
  -1
)</f>
        <v>2.1800000000000002</v>
      </c>
      <c r="G358">
        <v>28847</v>
      </c>
    </row>
    <row r="359" spans="1:7">
      <c r="A359" s="1">
        <v>42885</v>
      </c>
      <c r="B359">
        <v>28704</v>
      </c>
      <c r="C359">
        <f>_xlfn.XLOOKUP(A359, USD!A:A, USD!B:B, "")</f>
        <v>64.635000000000005</v>
      </c>
      <c r="D359">
        <f>_xlfn.XLOOKUP(A359, Brent!A:A, Brent!B:B, "")</f>
        <v>50.65</v>
      </c>
      <c r="E359">
        <f>_xlfn.XLOOKUP(
  A359,
  Repo!A:A,
  Repo!B:B,
  "",
  -1
)</f>
        <v>6.25</v>
      </c>
      <c r="F359" s="10">
        <f>_xlfn.XLOOKUP(
  A359,
  CPI!D:D,
  CPI!C:C,
  "",
  -1
)</f>
        <v>2.1800000000000002</v>
      </c>
      <c r="G359">
        <v>28874</v>
      </c>
    </row>
    <row r="360" spans="1:7">
      <c r="A360" s="1">
        <v>42886</v>
      </c>
      <c r="B360">
        <v>28905</v>
      </c>
      <c r="C360">
        <f>_xlfn.XLOOKUP(A360, USD!A:A, USD!B:B, "")</f>
        <v>64.510000000000005</v>
      </c>
      <c r="D360">
        <f>_xlfn.XLOOKUP(A360, Brent!A:A, Brent!B:B, "")</f>
        <v>49.4</v>
      </c>
      <c r="E360">
        <f>_xlfn.XLOOKUP(
  A360,
  Repo!A:A,
  Repo!B:B,
  "",
  -1
)</f>
        <v>6.25</v>
      </c>
      <c r="F360" s="10">
        <f>_xlfn.XLOOKUP(
  A360,
  CPI!D:D,
  CPI!C:C,
  "",
  -1
)</f>
        <v>2.1800000000000002</v>
      </c>
      <c r="G360">
        <v>28704</v>
      </c>
    </row>
    <row r="361" spans="1:7">
      <c r="A361" s="1">
        <v>42887</v>
      </c>
      <c r="B361">
        <v>28749</v>
      </c>
      <c r="C361">
        <f>_xlfn.XLOOKUP(A361, USD!A:A, USD!B:B, "")</f>
        <v>64.477999999999994</v>
      </c>
      <c r="D361">
        <f>_xlfn.XLOOKUP(A361, Brent!A:A, Brent!B:B, "")</f>
        <v>50.41</v>
      </c>
      <c r="E361">
        <f>_xlfn.XLOOKUP(
  A361,
  Repo!A:A,
  Repo!B:B,
  "",
  -1
)</f>
        <v>6.25</v>
      </c>
      <c r="F361" s="10">
        <f>_xlfn.XLOOKUP(
  A361,
  CPI!D:D,
  CPI!C:C,
  "",
  -1
)</f>
        <v>1.46</v>
      </c>
      <c r="G361">
        <v>28905</v>
      </c>
    </row>
    <row r="362" spans="1:7">
      <c r="A362" s="1">
        <v>42888</v>
      </c>
      <c r="B362">
        <v>28949</v>
      </c>
      <c r="C362">
        <f>_xlfn.XLOOKUP(A362, USD!A:A, USD!B:B, "")</f>
        <v>64.415000000000006</v>
      </c>
      <c r="D362">
        <f>_xlfn.XLOOKUP(A362, Brent!A:A, Brent!B:B, "")</f>
        <v>48.46</v>
      </c>
      <c r="E362">
        <f>_xlfn.XLOOKUP(
  A362,
  Repo!A:A,
  Repo!B:B,
  "",
  -1
)</f>
        <v>6.25</v>
      </c>
      <c r="F362" s="10">
        <f>_xlfn.XLOOKUP(
  A362,
  CPI!D:D,
  CPI!C:C,
  "",
  -1
)</f>
        <v>1.46</v>
      </c>
      <c r="G362">
        <v>28749</v>
      </c>
    </row>
    <row r="363" spans="1:7">
      <c r="A363" s="1">
        <v>42891</v>
      </c>
      <c r="B363">
        <v>29111</v>
      </c>
      <c r="C363">
        <f>_xlfn.XLOOKUP(A363, USD!A:A, USD!B:B, "")</f>
        <v>64.349999999999994</v>
      </c>
      <c r="D363">
        <f>_xlfn.XLOOKUP(A363, Brent!A:A, Brent!B:B, "")</f>
        <v>48.25</v>
      </c>
      <c r="E363">
        <f>_xlfn.XLOOKUP(
  A363,
  Repo!A:A,
  Repo!B:B,
  "",
  -1
)</f>
        <v>6.25</v>
      </c>
      <c r="F363" s="10">
        <f>_xlfn.XLOOKUP(
  A363,
  CPI!D:D,
  CPI!C:C,
  "",
  -1
)</f>
        <v>1.46</v>
      </c>
      <c r="G363">
        <v>28949</v>
      </c>
    </row>
    <row r="364" spans="1:7">
      <c r="A364" s="1">
        <v>42892</v>
      </c>
      <c r="B364">
        <v>29481</v>
      </c>
      <c r="C364">
        <f>_xlfn.XLOOKUP(A364, USD!A:A, USD!B:B, "")</f>
        <v>64.430000000000007</v>
      </c>
      <c r="D364">
        <f>_xlfn.XLOOKUP(A364, Brent!A:A, Brent!B:B, "")</f>
        <v>48.11</v>
      </c>
      <c r="E364">
        <f>_xlfn.XLOOKUP(
  A364,
  Repo!A:A,
  Repo!B:B,
  "",
  -1
)</f>
        <v>6.25</v>
      </c>
      <c r="F364" s="10">
        <f>_xlfn.XLOOKUP(
  A364,
  CPI!D:D,
  CPI!C:C,
  "",
  -1
)</f>
        <v>1.46</v>
      </c>
      <c r="G364">
        <v>29111</v>
      </c>
    </row>
    <row r="365" spans="1:7">
      <c r="A365" s="1">
        <v>42893</v>
      </c>
      <c r="B365">
        <v>29376</v>
      </c>
      <c r="C365">
        <f>_xlfn.XLOOKUP(A365, USD!A:A, USD!B:B, "")</f>
        <v>64.435000000000002</v>
      </c>
      <c r="D365">
        <f>_xlfn.XLOOKUP(A365, Brent!A:A, Brent!B:B, "")</f>
        <v>47.08</v>
      </c>
      <c r="E365">
        <f>_xlfn.XLOOKUP(
  A365,
  Repo!A:A,
  Repo!B:B,
  "",
  -1
)</f>
        <v>6.25</v>
      </c>
      <c r="F365" s="10">
        <f>_xlfn.XLOOKUP(
  A365,
  CPI!D:D,
  CPI!C:C,
  "",
  -1
)</f>
        <v>1.46</v>
      </c>
      <c r="G365">
        <v>29481</v>
      </c>
    </row>
    <row r="366" spans="1:7">
      <c r="A366" s="1">
        <v>42894</v>
      </c>
      <c r="B366">
        <v>29049</v>
      </c>
      <c r="C366">
        <f>_xlfn.XLOOKUP(A366, USD!A:A, USD!B:B, "")</f>
        <v>64.25</v>
      </c>
      <c r="D366">
        <f>_xlfn.XLOOKUP(A366, Brent!A:A, Brent!B:B, "")</f>
        <v>46.3</v>
      </c>
      <c r="E366">
        <f>_xlfn.XLOOKUP(
  A366,
  Repo!A:A,
  Repo!B:B,
  "",
  -1
)</f>
        <v>6.25</v>
      </c>
      <c r="F366" s="10">
        <f>_xlfn.XLOOKUP(
  A366,
  CPI!D:D,
  CPI!C:C,
  "",
  -1
)</f>
        <v>1.46</v>
      </c>
      <c r="G366">
        <v>29376</v>
      </c>
    </row>
    <row r="367" spans="1:7">
      <c r="A367" s="1">
        <v>42895</v>
      </c>
      <c r="B367">
        <v>28938</v>
      </c>
      <c r="C367">
        <f>_xlfn.XLOOKUP(A367, USD!A:A, USD!B:B, "")</f>
        <v>64.245000000000005</v>
      </c>
      <c r="D367">
        <f>_xlfn.XLOOKUP(A367, Brent!A:A, Brent!B:B, "")</f>
        <v>46.64</v>
      </c>
      <c r="E367">
        <f>_xlfn.XLOOKUP(
  A367,
  Repo!A:A,
  Repo!B:B,
  "",
  -1
)</f>
        <v>6.25</v>
      </c>
      <c r="F367" s="10">
        <f>_xlfn.XLOOKUP(
  A367,
  CPI!D:D,
  CPI!C:C,
  "",
  -1
)</f>
        <v>1.46</v>
      </c>
      <c r="G367">
        <v>29049</v>
      </c>
    </row>
    <row r="368" spans="1:7">
      <c r="A368" s="1">
        <v>42898</v>
      </c>
      <c r="B368">
        <v>28917</v>
      </c>
      <c r="C368">
        <f>_xlfn.XLOOKUP(A368, USD!A:A, USD!B:B, "")</f>
        <v>64.48</v>
      </c>
      <c r="D368">
        <f>_xlfn.XLOOKUP(A368, Brent!A:A, Brent!B:B, "")</f>
        <v>47.18</v>
      </c>
      <c r="E368">
        <f>_xlfn.XLOOKUP(
  A368,
  Repo!A:A,
  Repo!B:B,
  "",
  -1
)</f>
        <v>6.25</v>
      </c>
      <c r="F368" s="10">
        <f>_xlfn.XLOOKUP(
  A368,
  CPI!D:D,
  CPI!C:C,
  "",
  -1
)</f>
        <v>1.46</v>
      </c>
      <c r="G368">
        <v>28938</v>
      </c>
    </row>
    <row r="369" spans="1:7">
      <c r="A369" s="1">
        <v>42899</v>
      </c>
      <c r="B369">
        <v>28862</v>
      </c>
      <c r="C369">
        <f>_xlfn.XLOOKUP(A369, USD!A:A, USD!B:B, "")</f>
        <v>64.344999999999999</v>
      </c>
      <c r="D369">
        <f>_xlfn.XLOOKUP(A369, Brent!A:A, Brent!B:B, "")</f>
        <v>46.95</v>
      </c>
      <c r="E369">
        <f>_xlfn.XLOOKUP(
  A369,
  Repo!A:A,
  Repo!B:B,
  "",
  -1
)</f>
        <v>6.25</v>
      </c>
      <c r="F369" s="10">
        <f>_xlfn.XLOOKUP(
  A369,
  CPI!D:D,
  CPI!C:C,
  "",
  -1
)</f>
        <v>1.46</v>
      </c>
      <c r="G369">
        <v>28917</v>
      </c>
    </row>
    <row r="370" spans="1:7">
      <c r="A370" s="1">
        <v>42900</v>
      </c>
      <c r="B370">
        <v>28946</v>
      </c>
      <c r="C370">
        <f>_xlfn.XLOOKUP(A370, USD!A:A, USD!B:B, "")</f>
        <v>64.234999999999999</v>
      </c>
      <c r="D370">
        <f>_xlfn.XLOOKUP(A370, Brent!A:A, Brent!B:B, "")</f>
        <v>45.47</v>
      </c>
      <c r="E370">
        <f>_xlfn.XLOOKUP(
  A370,
  Repo!A:A,
  Repo!B:B,
  "",
  -1
)</f>
        <v>6.25</v>
      </c>
      <c r="F370" s="10">
        <f>_xlfn.XLOOKUP(
  A370,
  CPI!D:D,
  CPI!C:C,
  "",
  -1
)</f>
        <v>1.46</v>
      </c>
      <c r="G370">
        <v>28862</v>
      </c>
    </row>
    <row r="371" spans="1:7">
      <c r="A371" s="1">
        <v>42901</v>
      </c>
      <c r="B371">
        <v>28686</v>
      </c>
      <c r="C371">
        <f>_xlfn.XLOOKUP(A371, USD!A:A, USD!B:B, "")</f>
        <v>64.564999999999998</v>
      </c>
      <c r="D371">
        <f>_xlfn.XLOOKUP(A371, Brent!A:A, Brent!B:B, "")</f>
        <v>45.61</v>
      </c>
      <c r="E371">
        <f>_xlfn.XLOOKUP(
  A371,
  Repo!A:A,
  Repo!B:B,
  "",
  -1
)</f>
        <v>6.25</v>
      </c>
      <c r="F371" s="10">
        <f>_xlfn.XLOOKUP(
  A371,
  CPI!D:D,
  CPI!C:C,
  "",
  -1
)</f>
        <v>1.46</v>
      </c>
      <c r="G371">
        <v>28946</v>
      </c>
    </row>
    <row r="372" spans="1:7">
      <c r="A372" s="1">
        <v>42902</v>
      </c>
      <c r="B372">
        <v>28616</v>
      </c>
      <c r="C372">
        <f>_xlfn.XLOOKUP(A372, USD!A:A, USD!B:B, "")</f>
        <v>64.465000000000003</v>
      </c>
      <c r="D372">
        <f>_xlfn.XLOOKUP(A372, Brent!A:A, Brent!B:B, "")</f>
        <v>45.7</v>
      </c>
      <c r="E372">
        <f>_xlfn.XLOOKUP(
  A372,
  Repo!A:A,
  Repo!B:B,
  "",
  -1
)</f>
        <v>6.25</v>
      </c>
      <c r="F372" s="10">
        <f>_xlfn.XLOOKUP(
  A372,
  CPI!D:D,
  CPI!C:C,
  "",
  -1
)</f>
        <v>1.46</v>
      </c>
      <c r="G372">
        <v>28686</v>
      </c>
    </row>
    <row r="373" spans="1:7">
      <c r="A373" s="1">
        <v>42905</v>
      </c>
      <c r="B373">
        <v>28473</v>
      </c>
      <c r="C373">
        <f>_xlfn.XLOOKUP(A373, USD!A:A, USD!B:B, "")</f>
        <v>64.495000000000005</v>
      </c>
      <c r="D373">
        <f>_xlfn.XLOOKUP(A373, Brent!A:A, Brent!B:B, "")</f>
        <v>45.93</v>
      </c>
      <c r="E373">
        <f>_xlfn.XLOOKUP(
  A373,
  Repo!A:A,
  Repo!B:B,
  "",
  -1
)</f>
        <v>6.25</v>
      </c>
      <c r="F373" s="10">
        <f>_xlfn.XLOOKUP(
  A373,
  CPI!D:D,
  CPI!C:C,
  "",
  -1
)</f>
        <v>1.46</v>
      </c>
      <c r="G373">
        <v>28616</v>
      </c>
    </row>
    <row r="374" spans="1:7">
      <c r="A374" s="1">
        <v>42906</v>
      </c>
      <c r="B374">
        <v>28475</v>
      </c>
      <c r="C374">
        <f>_xlfn.XLOOKUP(A374, USD!A:A, USD!B:B, "")</f>
        <v>64.540000000000006</v>
      </c>
      <c r="D374">
        <f>_xlfn.XLOOKUP(A374, Brent!A:A, Brent!B:B, "")</f>
        <v>43.98</v>
      </c>
      <c r="E374">
        <f>_xlfn.XLOOKUP(
  A374,
  Repo!A:A,
  Repo!B:B,
  "",
  -1
)</f>
        <v>6.25</v>
      </c>
      <c r="F374" s="10">
        <f>_xlfn.XLOOKUP(
  A374,
  CPI!D:D,
  CPI!C:C,
  "",
  -1
)</f>
        <v>1.46</v>
      </c>
      <c r="G374">
        <v>28473</v>
      </c>
    </row>
    <row r="375" spans="1:7">
      <c r="A375" s="1">
        <v>42907</v>
      </c>
      <c r="B375">
        <v>28495</v>
      </c>
      <c r="C375">
        <f>_xlfn.XLOOKUP(A375, USD!A:A, USD!B:B, "")</f>
        <v>64.53</v>
      </c>
      <c r="D375">
        <f>_xlfn.XLOOKUP(A375, Brent!A:A, Brent!B:B, "")</f>
        <v>44.62</v>
      </c>
      <c r="E375">
        <f>_xlfn.XLOOKUP(
  A375,
  Repo!A:A,
  Repo!B:B,
  "",
  -1
)</f>
        <v>6.25</v>
      </c>
      <c r="F375" s="10">
        <f>_xlfn.XLOOKUP(
  A375,
  CPI!D:D,
  CPI!C:C,
  "",
  -1
)</f>
        <v>1.46</v>
      </c>
      <c r="G375">
        <v>28475</v>
      </c>
    </row>
    <row r="376" spans="1:7">
      <c r="A376" s="1">
        <v>42908</v>
      </c>
      <c r="B376">
        <v>28557</v>
      </c>
      <c r="C376">
        <f>_xlfn.XLOOKUP(A376, USD!A:A, USD!B:B, "")</f>
        <v>64.605000000000004</v>
      </c>
      <c r="D376">
        <f>_xlfn.XLOOKUP(A376, Brent!A:A, Brent!B:B, "")</f>
        <v>44.46</v>
      </c>
      <c r="E376">
        <f>_xlfn.XLOOKUP(
  A376,
  Repo!A:A,
  Repo!B:B,
  "",
  -1
)</f>
        <v>6.25</v>
      </c>
      <c r="F376" s="10">
        <f>_xlfn.XLOOKUP(
  A376,
  CPI!D:D,
  CPI!C:C,
  "",
  -1
)</f>
        <v>1.46</v>
      </c>
      <c r="G376">
        <v>28495</v>
      </c>
    </row>
    <row r="377" spans="1:7">
      <c r="A377" s="1">
        <v>42909</v>
      </c>
      <c r="B377">
        <v>28648</v>
      </c>
      <c r="C377">
        <f>_xlfn.XLOOKUP(A377, USD!A:A, USD!B:B, "")</f>
        <v>64.504999999999995</v>
      </c>
      <c r="D377">
        <f>_xlfn.XLOOKUP(A377, Brent!A:A, Brent!B:B, "")</f>
        <v>44.14</v>
      </c>
      <c r="E377">
        <f>_xlfn.XLOOKUP(
  A377,
  Repo!A:A,
  Repo!B:B,
  "",
  -1
)</f>
        <v>6.25</v>
      </c>
      <c r="F377" s="10">
        <f>_xlfn.XLOOKUP(
  A377,
  CPI!D:D,
  CPI!C:C,
  "",
  -1
)</f>
        <v>1.46</v>
      </c>
      <c r="G377">
        <v>28557</v>
      </c>
    </row>
    <row r="378" spans="1:7">
      <c r="A378" s="1">
        <v>42912</v>
      </c>
      <c r="B378">
        <v>28426</v>
      </c>
      <c r="C378">
        <f>_xlfn.XLOOKUP(A378, USD!A:A, USD!B:B, "")</f>
        <v>64.435000000000002</v>
      </c>
      <c r="D378">
        <f>_xlfn.XLOOKUP(A378, Brent!A:A, Brent!B:B, "")</f>
        <v>44.09</v>
      </c>
      <c r="E378">
        <f>_xlfn.XLOOKUP(
  A378,
  Repo!A:A,
  Repo!B:B,
  "",
  -1
)</f>
        <v>6.25</v>
      </c>
      <c r="F378" s="10">
        <f>_xlfn.XLOOKUP(
  A378,
  CPI!D:D,
  CPI!C:C,
  "",
  -1
)</f>
        <v>1.46</v>
      </c>
      <c r="G378">
        <v>28648</v>
      </c>
    </row>
    <row r="379" spans="1:7">
      <c r="A379" s="1">
        <v>42913</v>
      </c>
      <c r="B379">
        <v>28483</v>
      </c>
      <c r="C379">
        <f>_xlfn.XLOOKUP(A379, USD!A:A, USD!B:B, "")</f>
        <v>64.474999999999994</v>
      </c>
      <c r="D379">
        <f>_xlfn.XLOOKUP(A379, Brent!A:A, Brent!B:B, "")</f>
        <v>46.17</v>
      </c>
      <c r="E379">
        <f>_xlfn.XLOOKUP(
  A379,
  Repo!A:A,
  Repo!B:B,
  "",
  -1
)</f>
        <v>6.25</v>
      </c>
      <c r="F379" s="10">
        <f>_xlfn.XLOOKUP(
  A379,
  CPI!D:D,
  CPI!C:C,
  "",
  -1
)</f>
        <v>1.46</v>
      </c>
      <c r="G379">
        <v>28426</v>
      </c>
    </row>
    <row r="380" spans="1:7">
      <c r="A380" s="1">
        <v>42914</v>
      </c>
      <c r="B380">
        <v>28485</v>
      </c>
      <c r="C380">
        <f>_xlfn.XLOOKUP(A380, USD!A:A, USD!B:B, "")</f>
        <v>64.525000000000006</v>
      </c>
      <c r="D380">
        <f>_xlfn.XLOOKUP(A380, Brent!A:A, Brent!B:B, "")</f>
        <v>46.45</v>
      </c>
      <c r="E380">
        <f>_xlfn.XLOOKUP(
  A380,
  Repo!A:A,
  Repo!B:B,
  "",
  -1
)</f>
        <v>6.25</v>
      </c>
      <c r="F380" s="10">
        <f>_xlfn.XLOOKUP(
  A380,
  CPI!D:D,
  CPI!C:C,
  "",
  -1
)</f>
        <v>1.46</v>
      </c>
      <c r="G380">
        <v>28483</v>
      </c>
    </row>
    <row r="381" spans="1:7">
      <c r="A381" s="1">
        <v>42915</v>
      </c>
      <c r="B381">
        <v>28527</v>
      </c>
      <c r="C381">
        <f>_xlfn.XLOOKUP(A381, USD!A:A, USD!B:B, "")</f>
        <v>64.66</v>
      </c>
      <c r="D381">
        <f>_xlfn.XLOOKUP(A381, Brent!A:A, Brent!B:B, "")</f>
        <v>47.02</v>
      </c>
      <c r="E381">
        <f>_xlfn.XLOOKUP(
  A381,
  Repo!A:A,
  Repo!B:B,
  "",
  -1
)</f>
        <v>6.25</v>
      </c>
      <c r="F381" s="10">
        <f>_xlfn.XLOOKUP(
  A381,
  CPI!D:D,
  CPI!C:C,
  "",
  -1
)</f>
        <v>1.46</v>
      </c>
      <c r="G381">
        <v>28485</v>
      </c>
    </row>
    <row r="382" spans="1:7">
      <c r="A382" s="1">
        <v>42916</v>
      </c>
      <c r="B382">
        <v>28295</v>
      </c>
      <c r="C382">
        <f>_xlfn.XLOOKUP(A382, USD!A:A, USD!B:B, "")</f>
        <v>64.62</v>
      </c>
      <c r="D382">
        <f>_xlfn.XLOOKUP(A382, Brent!A:A, Brent!B:B, "")</f>
        <v>47.08</v>
      </c>
      <c r="E382">
        <f>_xlfn.XLOOKUP(
  A382,
  Repo!A:A,
  Repo!B:B,
  "",
  -1
)</f>
        <v>6.25</v>
      </c>
      <c r="F382" s="10">
        <f>_xlfn.XLOOKUP(
  A382,
  CPI!D:D,
  CPI!C:C,
  "",
  -1
)</f>
        <v>1.46</v>
      </c>
      <c r="G382">
        <v>28527</v>
      </c>
    </row>
    <row r="383" spans="1:7">
      <c r="A383" s="1">
        <v>42919</v>
      </c>
      <c r="B383">
        <v>27952</v>
      </c>
      <c r="C383">
        <f>_xlfn.XLOOKUP(A383, USD!A:A, USD!B:B, "")</f>
        <v>64.844999999999999</v>
      </c>
      <c r="D383">
        <f>_xlfn.XLOOKUP(A383, Brent!A:A, Brent!B:B, "")</f>
        <v>49.13</v>
      </c>
      <c r="E383">
        <f>_xlfn.XLOOKUP(
  A383,
  Repo!A:A,
  Repo!B:B,
  "",
  -1
)</f>
        <v>6.25</v>
      </c>
      <c r="F383" s="10">
        <f>_xlfn.XLOOKUP(
  A383,
  CPI!D:D,
  CPI!C:C,
  "",
  -1
)</f>
        <v>2.36</v>
      </c>
      <c r="G383">
        <v>28295</v>
      </c>
    </row>
    <row r="384" spans="1:7">
      <c r="A384" s="1">
        <v>42920</v>
      </c>
      <c r="B384">
        <v>28043</v>
      </c>
      <c r="C384">
        <f>_xlfn.XLOOKUP(A384, USD!A:A, USD!B:B, "")</f>
        <v>64.790000000000006</v>
      </c>
      <c r="D384">
        <f>_xlfn.XLOOKUP(A384, Brent!A:A, Brent!B:B, "")</f>
        <v>49.15</v>
      </c>
      <c r="E384">
        <f>_xlfn.XLOOKUP(
  A384,
  Repo!A:A,
  Repo!B:B,
  "",
  -1
)</f>
        <v>6.25</v>
      </c>
      <c r="F384" s="10">
        <f>_xlfn.XLOOKUP(
  A384,
  CPI!D:D,
  CPI!C:C,
  "",
  -1
)</f>
        <v>2.36</v>
      </c>
      <c r="G384">
        <v>27952</v>
      </c>
    </row>
    <row r="385" spans="1:7">
      <c r="A385" s="1">
        <v>42921</v>
      </c>
      <c r="B385">
        <v>28051</v>
      </c>
      <c r="C385">
        <f>_xlfn.XLOOKUP(A385, USD!A:A, USD!B:B, "")</f>
        <v>64.8</v>
      </c>
      <c r="D385">
        <f>_xlfn.XLOOKUP(A385, Brent!A:A, Brent!B:B, "")</f>
        <v>47.58</v>
      </c>
      <c r="E385">
        <f>_xlfn.XLOOKUP(
  A385,
  Repo!A:A,
  Repo!B:B,
  "",
  -1
)</f>
        <v>6.25</v>
      </c>
      <c r="F385" s="10">
        <f>_xlfn.XLOOKUP(
  A385,
  CPI!D:D,
  CPI!C:C,
  "",
  -1
)</f>
        <v>2.36</v>
      </c>
      <c r="G385">
        <v>28043</v>
      </c>
    </row>
    <row r="386" spans="1:7">
      <c r="A386" s="1">
        <v>42922</v>
      </c>
      <c r="B386">
        <v>28143</v>
      </c>
      <c r="C386">
        <f>_xlfn.XLOOKUP(A386, USD!A:A, USD!B:B, "")</f>
        <v>64.724999999999994</v>
      </c>
      <c r="D386">
        <f>_xlfn.XLOOKUP(A386, Brent!A:A, Brent!B:B, "")</f>
        <v>48.53</v>
      </c>
      <c r="E386">
        <f>_xlfn.XLOOKUP(
  A386,
  Repo!A:A,
  Repo!B:B,
  "",
  -1
)</f>
        <v>6.25</v>
      </c>
      <c r="F386" s="10">
        <f>_xlfn.XLOOKUP(
  A386,
  CPI!D:D,
  CPI!C:C,
  "",
  -1
)</f>
        <v>2.36</v>
      </c>
      <c r="G386">
        <v>28051</v>
      </c>
    </row>
    <row r="387" spans="1:7">
      <c r="A387" s="1">
        <v>42923</v>
      </c>
      <c r="B387">
        <v>27812</v>
      </c>
      <c r="C387">
        <f>_xlfn.XLOOKUP(A387, USD!A:A, USD!B:B, "")</f>
        <v>64.625</v>
      </c>
      <c r="D387">
        <f>_xlfn.XLOOKUP(A387, Brent!A:A, Brent!B:B, "")</f>
        <v>46.47</v>
      </c>
      <c r="E387">
        <f>_xlfn.XLOOKUP(
  A387,
  Repo!A:A,
  Repo!B:B,
  "",
  -1
)</f>
        <v>6.25</v>
      </c>
      <c r="F387" s="10">
        <f>_xlfn.XLOOKUP(
  A387,
  CPI!D:D,
  CPI!C:C,
  "",
  -1
)</f>
        <v>2.36</v>
      </c>
      <c r="G387">
        <v>28143</v>
      </c>
    </row>
    <row r="388" spans="1:7">
      <c r="A388" s="1">
        <v>42926</v>
      </c>
      <c r="B388">
        <v>27840</v>
      </c>
      <c r="C388">
        <f>_xlfn.XLOOKUP(A388, USD!A:A, USD!B:B, "")</f>
        <v>64.474999999999994</v>
      </c>
      <c r="D388">
        <f>_xlfn.XLOOKUP(A388, Brent!A:A, Brent!B:B, "")</f>
        <v>46.57</v>
      </c>
      <c r="E388">
        <f>_xlfn.XLOOKUP(
  A388,
  Repo!A:A,
  Repo!B:B,
  "",
  -1
)</f>
        <v>6.25</v>
      </c>
      <c r="F388" s="10">
        <f>_xlfn.XLOOKUP(
  A388,
  CPI!D:D,
  CPI!C:C,
  "",
  -1
)</f>
        <v>2.36</v>
      </c>
      <c r="G388">
        <v>27812</v>
      </c>
    </row>
    <row r="389" spans="1:7">
      <c r="A389" s="1">
        <v>42927</v>
      </c>
      <c r="B389">
        <v>27871</v>
      </c>
      <c r="C389">
        <f>_xlfn.XLOOKUP(A389, USD!A:A, USD!B:B, "")</f>
        <v>64.564999999999998</v>
      </c>
      <c r="D389">
        <f>_xlfn.XLOOKUP(A389, Brent!A:A, Brent!B:B, "")</f>
        <v>46.68</v>
      </c>
      <c r="E389">
        <f>_xlfn.XLOOKUP(
  A389,
  Repo!A:A,
  Repo!B:B,
  "",
  -1
)</f>
        <v>6.25</v>
      </c>
      <c r="F389" s="10">
        <f>_xlfn.XLOOKUP(
  A389,
  CPI!D:D,
  CPI!C:C,
  "",
  -1
)</f>
        <v>2.36</v>
      </c>
      <c r="G389">
        <v>27840</v>
      </c>
    </row>
    <row r="390" spans="1:7">
      <c r="A390" s="1">
        <v>42928</v>
      </c>
      <c r="B390">
        <v>27889</v>
      </c>
      <c r="C390">
        <f>_xlfn.XLOOKUP(A390, USD!A:A, USD!B:B, "")</f>
        <v>64.474999999999994</v>
      </c>
      <c r="D390">
        <f>_xlfn.XLOOKUP(A390, Brent!A:A, Brent!B:B, "")</f>
        <v>46.73</v>
      </c>
      <c r="E390">
        <f>_xlfn.XLOOKUP(
  A390,
  Repo!A:A,
  Repo!B:B,
  "",
  -1
)</f>
        <v>6.25</v>
      </c>
      <c r="F390" s="10">
        <f>_xlfn.XLOOKUP(
  A390,
  CPI!D:D,
  CPI!C:C,
  "",
  -1
)</f>
        <v>2.36</v>
      </c>
      <c r="G390">
        <v>27871</v>
      </c>
    </row>
    <row r="391" spans="1:7">
      <c r="A391" s="1">
        <v>42929</v>
      </c>
      <c r="B391">
        <v>27868</v>
      </c>
      <c r="C391">
        <f>_xlfn.XLOOKUP(A391, USD!A:A, USD!B:B, "")</f>
        <v>64.459999999999994</v>
      </c>
      <c r="D391">
        <f>_xlfn.XLOOKUP(A391, Brent!A:A, Brent!B:B, "")</f>
        <v>47.65</v>
      </c>
      <c r="E391">
        <f>_xlfn.XLOOKUP(
  A391,
  Repo!A:A,
  Repo!B:B,
  "",
  -1
)</f>
        <v>6.25</v>
      </c>
      <c r="F391" s="10">
        <f>_xlfn.XLOOKUP(
  A391,
  CPI!D:D,
  CPI!C:C,
  "",
  -1
)</f>
        <v>2.36</v>
      </c>
      <c r="G391">
        <v>27889</v>
      </c>
    </row>
    <row r="392" spans="1:7">
      <c r="A392" s="1">
        <v>42930</v>
      </c>
      <c r="B392">
        <v>28022</v>
      </c>
      <c r="C392">
        <f>_xlfn.XLOOKUP(A392, USD!A:A, USD!B:B, "")</f>
        <v>64.424000000000007</v>
      </c>
      <c r="D392">
        <f>_xlfn.XLOOKUP(A392, Brent!A:A, Brent!B:B, "")</f>
        <v>47.89</v>
      </c>
      <c r="E392">
        <f>_xlfn.XLOOKUP(
  A392,
  Repo!A:A,
  Repo!B:B,
  "",
  -1
)</f>
        <v>6.25</v>
      </c>
      <c r="F392" s="10">
        <f>_xlfn.XLOOKUP(
  A392,
  CPI!D:D,
  CPI!C:C,
  "",
  -1
)</f>
        <v>2.36</v>
      </c>
      <c r="G392">
        <v>27868</v>
      </c>
    </row>
    <row r="393" spans="1:7">
      <c r="A393" s="1">
        <v>42933</v>
      </c>
      <c r="B393">
        <v>28147</v>
      </c>
      <c r="C393">
        <f>_xlfn.XLOOKUP(A393, USD!A:A, USD!B:B, "")</f>
        <v>64.344999999999999</v>
      </c>
      <c r="D393">
        <f>_xlfn.XLOOKUP(A393, Brent!A:A, Brent!B:B, "")</f>
        <v>47.66</v>
      </c>
      <c r="E393">
        <f>_xlfn.XLOOKUP(
  A393,
  Repo!A:A,
  Repo!B:B,
  "",
  -1
)</f>
        <v>6.25</v>
      </c>
      <c r="F393" s="10">
        <f>_xlfn.XLOOKUP(
  A393,
  CPI!D:D,
  CPI!C:C,
  "",
  -1
)</f>
        <v>2.36</v>
      </c>
      <c r="G393">
        <v>28022</v>
      </c>
    </row>
    <row r="394" spans="1:7">
      <c r="A394" s="1">
        <v>42934</v>
      </c>
      <c r="B394">
        <v>28280</v>
      </c>
      <c r="C394">
        <f>_xlfn.XLOOKUP(A394, USD!A:A, USD!B:B, "")</f>
        <v>64.316000000000003</v>
      </c>
      <c r="D394">
        <f>_xlfn.XLOOKUP(A394, Brent!A:A, Brent!B:B, "")</f>
        <v>47.92</v>
      </c>
      <c r="E394">
        <f>_xlfn.XLOOKUP(
  A394,
  Repo!A:A,
  Repo!B:B,
  "",
  -1
)</f>
        <v>6.25</v>
      </c>
      <c r="F394" s="10">
        <f>_xlfn.XLOOKUP(
  A394,
  CPI!D:D,
  CPI!C:C,
  "",
  -1
)</f>
        <v>2.36</v>
      </c>
      <c r="G394">
        <v>28147</v>
      </c>
    </row>
    <row r="395" spans="1:7">
      <c r="A395" s="1">
        <v>42935</v>
      </c>
      <c r="B395">
        <v>28270</v>
      </c>
      <c r="C395">
        <f>_xlfn.XLOOKUP(A395, USD!A:A, USD!B:B, "")</f>
        <v>64.27</v>
      </c>
      <c r="D395">
        <f>_xlfn.XLOOKUP(A395, Brent!A:A, Brent!B:B, "")</f>
        <v>48.34</v>
      </c>
      <c r="E395">
        <f>_xlfn.XLOOKUP(
  A395,
  Repo!A:A,
  Repo!B:B,
  "",
  -1
)</f>
        <v>6.25</v>
      </c>
      <c r="F395" s="10">
        <f>_xlfn.XLOOKUP(
  A395,
  CPI!D:D,
  CPI!C:C,
  "",
  -1
)</f>
        <v>2.36</v>
      </c>
      <c r="G395">
        <v>28280</v>
      </c>
    </row>
    <row r="396" spans="1:7">
      <c r="A396" s="1">
        <v>42936</v>
      </c>
      <c r="B396">
        <v>28345</v>
      </c>
      <c r="C396">
        <f>_xlfn.XLOOKUP(A396, USD!A:A, USD!B:B, "")</f>
        <v>64.375</v>
      </c>
      <c r="D396">
        <f>_xlfn.XLOOKUP(A396, Brent!A:A, Brent!B:B, "")</f>
        <v>48.54</v>
      </c>
      <c r="E396">
        <f>_xlfn.XLOOKUP(
  A396,
  Repo!A:A,
  Repo!B:B,
  "",
  -1
)</f>
        <v>6.25</v>
      </c>
      <c r="F396" s="10">
        <f>_xlfn.XLOOKUP(
  A396,
  CPI!D:D,
  CPI!C:C,
  "",
  -1
)</f>
        <v>2.36</v>
      </c>
      <c r="G396">
        <v>28270</v>
      </c>
    </row>
    <row r="397" spans="1:7">
      <c r="A397" s="1">
        <v>42937</v>
      </c>
      <c r="B397">
        <v>28541</v>
      </c>
      <c r="C397">
        <f>_xlfn.XLOOKUP(A397, USD!A:A, USD!B:B, "")</f>
        <v>64.385000000000005</v>
      </c>
      <c r="D397">
        <f>_xlfn.XLOOKUP(A397, Brent!A:A, Brent!B:B, "")</f>
        <v>47.47</v>
      </c>
      <c r="E397">
        <f>_xlfn.XLOOKUP(
  A397,
  Repo!A:A,
  Repo!B:B,
  "",
  -1
)</f>
        <v>6.25</v>
      </c>
      <c r="F397" s="10">
        <f>_xlfn.XLOOKUP(
  A397,
  CPI!D:D,
  CPI!C:C,
  "",
  -1
)</f>
        <v>2.36</v>
      </c>
      <c r="G397">
        <v>28345</v>
      </c>
    </row>
    <row r="398" spans="1:7">
      <c r="A398" s="1">
        <v>42940</v>
      </c>
      <c r="B398">
        <v>28530</v>
      </c>
      <c r="C398">
        <f>_xlfn.XLOOKUP(A398, USD!A:A, USD!B:B, "")</f>
        <v>64.394999999999996</v>
      </c>
      <c r="D398">
        <f>_xlfn.XLOOKUP(A398, Brent!A:A, Brent!B:B, "")</f>
        <v>47.81</v>
      </c>
      <c r="E398">
        <f>_xlfn.XLOOKUP(
  A398,
  Repo!A:A,
  Repo!B:B,
  "",
  -1
)</f>
        <v>6.25</v>
      </c>
      <c r="F398" s="10">
        <f>_xlfn.XLOOKUP(
  A398,
  CPI!D:D,
  CPI!C:C,
  "",
  -1
)</f>
        <v>2.36</v>
      </c>
      <c r="G398">
        <v>28541</v>
      </c>
    </row>
    <row r="399" spans="1:7">
      <c r="A399" s="1">
        <v>42941</v>
      </c>
      <c r="B399">
        <v>28490</v>
      </c>
      <c r="C399">
        <f>_xlfn.XLOOKUP(A399, USD!A:A, USD!B:B, "")</f>
        <v>64.385000000000005</v>
      </c>
      <c r="D399">
        <f>_xlfn.XLOOKUP(A399, Brent!A:A, Brent!B:B, "")</f>
        <v>49.19</v>
      </c>
      <c r="E399">
        <f>_xlfn.XLOOKUP(
  A399,
  Repo!A:A,
  Repo!B:B,
  "",
  -1
)</f>
        <v>6.25</v>
      </c>
      <c r="F399" s="10">
        <f>_xlfn.XLOOKUP(
  A399,
  CPI!D:D,
  CPI!C:C,
  "",
  -1
)</f>
        <v>2.36</v>
      </c>
      <c r="G399">
        <v>28530</v>
      </c>
    </row>
    <row r="400" spans="1:7">
      <c r="A400" s="1">
        <v>42942</v>
      </c>
      <c r="B400">
        <v>28396</v>
      </c>
      <c r="C400">
        <f>_xlfn.XLOOKUP(A400, USD!A:A, USD!B:B, "")</f>
        <v>64.355000000000004</v>
      </c>
      <c r="D400">
        <f>_xlfn.XLOOKUP(A400, Brent!A:A, Brent!B:B, "")</f>
        <v>50.08</v>
      </c>
      <c r="E400">
        <f>_xlfn.XLOOKUP(
  A400,
  Repo!A:A,
  Repo!B:B,
  "",
  -1
)</f>
        <v>6.25</v>
      </c>
      <c r="F400" s="10">
        <f>_xlfn.XLOOKUP(
  A400,
  CPI!D:D,
  CPI!C:C,
  "",
  -1
)</f>
        <v>2.36</v>
      </c>
      <c r="G400">
        <v>28490</v>
      </c>
    </row>
    <row r="401" spans="1:7">
      <c r="A401" s="1">
        <v>42943</v>
      </c>
      <c r="B401">
        <v>28477</v>
      </c>
      <c r="C401">
        <f>_xlfn.XLOOKUP(A401, USD!A:A, USD!B:B, "")</f>
        <v>64.125</v>
      </c>
      <c r="D401">
        <f>_xlfn.XLOOKUP(A401, Brent!A:A, Brent!B:B, "")</f>
        <v>50.67</v>
      </c>
      <c r="E401">
        <f>_xlfn.XLOOKUP(
  A401,
  Repo!A:A,
  Repo!B:B,
  "",
  -1
)</f>
        <v>6.25</v>
      </c>
      <c r="F401" s="10">
        <f>_xlfn.XLOOKUP(
  A401,
  CPI!D:D,
  CPI!C:C,
  "",
  -1
)</f>
        <v>2.36</v>
      </c>
      <c r="G401">
        <v>28396</v>
      </c>
    </row>
    <row r="402" spans="1:7">
      <c r="A402" s="1">
        <v>42944</v>
      </c>
      <c r="B402">
        <v>28596</v>
      </c>
      <c r="C402">
        <f>_xlfn.XLOOKUP(A402, USD!A:A, USD!B:B, "")</f>
        <v>64.114999999999995</v>
      </c>
      <c r="D402">
        <f>_xlfn.XLOOKUP(A402, Brent!A:A, Brent!B:B, "")</f>
        <v>52</v>
      </c>
      <c r="E402">
        <f>_xlfn.XLOOKUP(
  A402,
  Repo!A:A,
  Repo!B:B,
  "",
  -1
)</f>
        <v>6.25</v>
      </c>
      <c r="F402" s="10">
        <f>_xlfn.XLOOKUP(
  A402,
  CPI!D:D,
  CPI!C:C,
  "",
  -1
)</f>
        <v>2.36</v>
      </c>
      <c r="G402">
        <v>28477</v>
      </c>
    </row>
    <row r="403" spans="1:7">
      <c r="A403" s="1">
        <v>42947</v>
      </c>
      <c r="B403">
        <v>28588</v>
      </c>
      <c r="C403">
        <f>_xlfn.XLOOKUP(A403, USD!A:A, USD!B:B, "")</f>
        <v>64.2</v>
      </c>
      <c r="D403">
        <f>_xlfn.XLOOKUP(A403, Brent!A:A, Brent!B:B, "")</f>
        <v>51.99</v>
      </c>
      <c r="E403">
        <f>_xlfn.XLOOKUP(
  A403,
  Repo!A:A,
  Repo!B:B,
  "",
  -1
)</f>
        <v>6.25</v>
      </c>
      <c r="F403" s="10">
        <f>_xlfn.XLOOKUP(
  A403,
  CPI!D:D,
  CPI!C:C,
  "",
  -1
)</f>
        <v>2.36</v>
      </c>
      <c r="G403">
        <v>28596</v>
      </c>
    </row>
    <row r="404" spans="1:7">
      <c r="A404" s="1">
        <v>42948</v>
      </c>
      <c r="B404">
        <v>28514</v>
      </c>
      <c r="C404">
        <f>_xlfn.XLOOKUP(A404, USD!A:A, USD!B:B, "")</f>
        <v>64.094999999999999</v>
      </c>
      <c r="D404">
        <f>_xlfn.XLOOKUP(A404, Brent!A:A, Brent!B:B, "")</f>
        <v>50.77</v>
      </c>
      <c r="E404">
        <f>_xlfn.XLOOKUP(
  A404,
  Repo!A:A,
  Repo!B:B,
  "",
  -1
)</f>
        <v>6.25</v>
      </c>
      <c r="F404" s="10">
        <f>_xlfn.XLOOKUP(
  A404,
  CPI!D:D,
  CPI!C:C,
  "",
  -1
)</f>
        <v>3.28</v>
      </c>
      <c r="G404">
        <v>28588</v>
      </c>
    </row>
    <row r="405" spans="1:7">
      <c r="A405" s="1">
        <v>42949</v>
      </c>
      <c r="B405">
        <v>28486</v>
      </c>
      <c r="C405">
        <f>_xlfn.XLOOKUP(A405, USD!A:A, USD!B:B, "")</f>
        <v>63.634999999999998</v>
      </c>
      <c r="D405">
        <f>_xlfn.XLOOKUP(A405, Brent!A:A, Brent!B:B, "")</f>
        <v>52.09</v>
      </c>
      <c r="E405">
        <f>_xlfn.XLOOKUP(
  A405,
  Repo!A:A,
  Repo!B:B,
  "",
  -1
)</f>
        <v>6.25</v>
      </c>
      <c r="F405" s="10">
        <f>_xlfn.XLOOKUP(
  A405,
  CPI!D:D,
  CPI!C:C,
  "",
  -1
)</f>
        <v>3.28</v>
      </c>
      <c r="G405">
        <v>28514</v>
      </c>
    </row>
    <row r="406" spans="1:7">
      <c r="A406" s="1">
        <v>42950</v>
      </c>
      <c r="B406">
        <v>28447</v>
      </c>
      <c r="C406">
        <f>_xlfn.XLOOKUP(A406, USD!A:A, USD!B:B, "")</f>
        <v>63.704999999999998</v>
      </c>
      <c r="D406">
        <f>_xlfn.XLOOKUP(A406, Brent!A:A, Brent!B:B, "")</f>
        <v>52.88</v>
      </c>
      <c r="E406">
        <f>_xlfn.XLOOKUP(
  A406,
  Repo!A:A,
  Repo!B:B,
  "",
  -1
)</f>
        <v>6.25</v>
      </c>
      <c r="F406" s="10">
        <f>_xlfn.XLOOKUP(
  A406,
  CPI!D:D,
  CPI!C:C,
  "",
  -1
)</f>
        <v>3.28</v>
      </c>
      <c r="G406">
        <v>28486</v>
      </c>
    </row>
    <row r="407" spans="1:7">
      <c r="A407" s="1">
        <v>42951</v>
      </c>
      <c r="B407">
        <v>28373</v>
      </c>
      <c r="C407">
        <f>_xlfn.XLOOKUP(A407, USD!A:A, USD!B:B, "")</f>
        <v>63.674999999999997</v>
      </c>
      <c r="D407">
        <f>_xlfn.XLOOKUP(A407, Brent!A:A, Brent!B:B, "")</f>
        <v>52.48</v>
      </c>
      <c r="E407">
        <f>_xlfn.XLOOKUP(
  A407,
  Repo!A:A,
  Repo!B:B,
  "",
  -1
)</f>
        <v>6.25</v>
      </c>
      <c r="F407" s="10">
        <f>_xlfn.XLOOKUP(
  A407,
  CPI!D:D,
  CPI!C:C,
  "",
  -1
)</f>
        <v>3.28</v>
      </c>
      <c r="G407">
        <v>28447</v>
      </c>
    </row>
    <row r="408" spans="1:7">
      <c r="A408" s="1">
        <v>42954</v>
      </c>
      <c r="B408">
        <v>28419</v>
      </c>
      <c r="C408">
        <f>_xlfn.XLOOKUP(A408, USD!A:A, USD!B:B, "")</f>
        <v>63.84</v>
      </c>
      <c r="D408">
        <f>_xlfn.XLOOKUP(A408, Brent!A:A, Brent!B:B, "")</f>
        <v>51.42</v>
      </c>
      <c r="E408">
        <f>_xlfn.XLOOKUP(
  A408,
  Repo!A:A,
  Repo!B:B,
  "",
  -1
)</f>
        <v>6.25</v>
      </c>
      <c r="F408" s="10">
        <f>_xlfn.XLOOKUP(
  A408,
  CPI!D:D,
  CPI!C:C,
  "",
  -1
)</f>
        <v>3.28</v>
      </c>
      <c r="G408">
        <v>28373</v>
      </c>
    </row>
    <row r="409" spans="1:7">
      <c r="A409" s="1">
        <v>42955</v>
      </c>
      <c r="B409">
        <v>28357</v>
      </c>
      <c r="C409">
        <f>_xlfn.XLOOKUP(A409, USD!A:A, USD!B:B, "")</f>
        <v>63.692</v>
      </c>
      <c r="D409">
        <f>_xlfn.XLOOKUP(A409, Brent!A:A, Brent!B:B, "")</f>
        <v>52.18</v>
      </c>
      <c r="E409">
        <f>_xlfn.XLOOKUP(
  A409,
  Repo!A:A,
  Repo!B:B,
  "",
  -1
)</f>
        <v>6.25</v>
      </c>
      <c r="F409" s="10">
        <f>_xlfn.XLOOKUP(
  A409,
  CPI!D:D,
  CPI!C:C,
  "",
  -1
)</f>
        <v>3.28</v>
      </c>
      <c r="G409">
        <v>28419</v>
      </c>
    </row>
    <row r="410" spans="1:7">
      <c r="A410" s="1">
        <v>42956</v>
      </c>
      <c r="B410">
        <v>28800</v>
      </c>
      <c r="C410">
        <f>_xlfn.XLOOKUP(A410, USD!A:A, USD!B:B, "")</f>
        <v>63.86</v>
      </c>
      <c r="D410">
        <f>_xlfn.XLOOKUP(A410, Brent!A:A, Brent!B:B, "")</f>
        <v>52.16</v>
      </c>
      <c r="E410">
        <f>_xlfn.XLOOKUP(
  A410,
  Repo!A:A,
  Repo!B:B,
  "",
  -1
)</f>
        <v>6.25</v>
      </c>
      <c r="F410" s="10">
        <f>_xlfn.XLOOKUP(
  A410,
  CPI!D:D,
  CPI!C:C,
  "",
  -1
)</f>
        <v>3.28</v>
      </c>
      <c r="G410">
        <v>28357</v>
      </c>
    </row>
    <row r="411" spans="1:7">
      <c r="A411" s="1">
        <v>42957</v>
      </c>
      <c r="B411">
        <v>29130</v>
      </c>
      <c r="C411">
        <f>_xlfn.XLOOKUP(A411, USD!A:A, USD!B:B, "")</f>
        <v>64.094999999999999</v>
      </c>
      <c r="D411">
        <f>_xlfn.XLOOKUP(A411, Brent!A:A, Brent!B:B, "")</f>
        <v>52.59</v>
      </c>
      <c r="E411">
        <f>_xlfn.XLOOKUP(
  A411,
  Repo!A:A,
  Repo!B:B,
  "",
  -1
)</f>
        <v>6.25</v>
      </c>
      <c r="F411" s="10">
        <f>_xlfn.XLOOKUP(
  A411,
  CPI!D:D,
  CPI!C:C,
  "",
  -1
)</f>
        <v>3.28</v>
      </c>
      <c r="G411">
        <v>28800</v>
      </c>
    </row>
    <row r="412" spans="1:7">
      <c r="A412" s="1">
        <v>42958</v>
      </c>
      <c r="B412">
        <v>29158</v>
      </c>
      <c r="C412">
        <f>_xlfn.XLOOKUP(A412, USD!A:A, USD!B:B, "")</f>
        <v>64.14</v>
      </c>
      <c r="D412">
        <f>_xlfn.XLOOKUP(A412, Brent!A:A, Brent!B:B, "")</f>
        <v>51.47</v>
      </c>
      <c r="E412">
        <f>_xlfn.XLOOKUP(
  A412,
  Repo!A:A,
  Repo!B:B,
  "",
  -1
)</f>
        <v>6.25</v>
      </c>
      <c r="F412" s="10">
        <f>_xlfn.XLOOKUP(
  A412,
  CPI!D:D,
  CPI!C:C,
  "",
  -1
)</f>
        <v>3.28</v>
      </c>
      <c r="G412">
        <v>29130</v>
      </c>
    </row>
    <row r="413" spans="1:7">
      <c r="A413" s="1">
        <v>42961</v>
      </c>
      <c r="B413">
        <v>29042</v>
      </c>
      <c r="C413">
        <f>_xlfn.XLOOKUP(A413, USD!A:A, USD!B:B, "")</f>
        <v>64.09</v>
      </c>
      <c r="D413">
        <f>_xlfn.XLOOKUP(A413, Brent!A:A, Brent!B:B, "")</f>
        <v>51.29</v>
      </c>
      <c r="E413">
        <f>_xlfn.XLOOKUP(
  A413,
  Repo!A:A,
  Repo!B:B,
  "",
  -1
)</f>
        <v>6.25</v>
      </c>
      <c r="F413" s="10">
        <f>_xlfn.XLOOKUP(
  A413,
  CPI!D:D,
  CPI!C:C,
  "",
  -1
)</f>
        <v>3.28</v>
      </c>
      <c r="G413">
        <v>29158</v>
      </c>
    </row>
    <row r="414" spans="1:7">
      <c r="A414" s="1">
        <v>42963</v>
      </c>
      <c r="B414">
        <v>28878</v>
      </c>
      <c r="C414">
        <f>_xlfn.XLOOKUP(A414, USD!A:A, USD!B:B, "")</f>
        <v>64.17</v>
      </c>
      <c r="D414">
        <f>_xlfn.XLOOKUP(A414, Brent!A:A, Brent!B:B, "")</f>
        <v>50.39</v>
      </c>
      <c r="E414">
        <f>_xlfn.XLOOKUP(
  A414,
  Repo!A:A,
  Repo!B:B,
  "",
  -1
)</f>
        <v>6.25</v>
      </c>
      <c r="F414" s="10">
        <f>_xlfn.XLOOKUP(
  A414,
  CPI!D:D,
  CPI!C:C,
  "",
  -1
)</f>
        <v>3.28</v>
      </c>
      <c r="G414">
        <v>29042</v>
      </c>
    </row>
    <row r="415" spans="1:7">
      <c r="A415" s="1">
        <v>42964</v>
      </c>
      <c r="B415">
        <v>29093</v>
      </c>
      <c r="C415">
        <f>_xlfn.XLOOKUP(A415, USD!A:A, USD!B:B, "")</f>
        <v>64.17</v>
      </c>
      <c r="D415">
        <f>_xlfn.XLOOKUP(A415, Brent!A:A, Brent!B:B, "")</f>
        <v>50.37</v>
      </c>
      <c r="E415">
        <f>_xlfn.XLOOKUP(
  A415,
  Repo!A:A,
  Repo!B:B,
  "",
  -1
)</f>
        <v>6.25</v>
      </c>
      <c r="F415" s="10">
        <f>_xlfn.XLOOKUP(
  A415,
  CPI!D:D,
  CPI!C:C,
  "",
  -1
)</f>
        <v>3.28</v>
      </c>
      <c r="G415">
        <v>28878</v>
      </c>
    </row>
    <row r="416" spans="1:7">
      <c r="A416" s="1">
        <v>42965</v>
      </c>
      <c r="B416">
        <v>29109</v>
      </c>
      <c r="C416">
        <f>_xlfn.XLOOKUP(A416, USD!A:A, USD!B:B, "")</f>
        <v>64.094999999999999</v>
      </c>
      <c r="D416">
        <f>_xlfn.XLOOKUP(A416, Brent!A:A, Brent!B:B, "")</f>
        <v>50.96</v>
      </c>
      <c r="E416">
        <f>_xlfn.XLOOKUP(
  A416,
  Repo!A:A,
  Repo!B:B,
  "",
  -1
)</f>
        <v>6.25</v>
      </c>
      <c r="F416" s="10">
        <f>_xlfn.XLOOKUP(
  A416,
  CPI!D:D,
  CPI!C:C,
  "",
  -1
)</f>
        <v>3.28</v>
      </c>
      <c r="G416">
        <v>29093</v>
      </c>
    </row>
    <row r="417" spans="1:7">
      <c r="A417" s="1">
        <v>42968</v>
      </c>
      <c r="B417">
        <v>29224</v>
      </c>
      <c r="C417">
        <f>_xlfn.XLOOKUP(A417, USD!A:A, USD!B:B, "")</f>
        <v>64.11</v>
      </c>
      <c r="D417">
        <f>_xlfn.XLOOKUP(A417, Brent!A:A, Brent!B:B, "")</f>
        <v>51.94</v>
      </c>
      <c r="E417">
        <f>_xlfn.XLOOKUP(
  A417,
  Repo!A:A,
  Repo!B:B,
  "",
  -1
)</f>
        <v>6.25</v>
      </c>
      <c r="F417" s="10">
        <f>_xlfn.XLOOKUP(
  A417,
  CPI!D:D,
  CPI!C:C,
  "",
  -1
)</f>
        <v>3.28</v>
      </c>
      <c r="G417">
        <v>29109</v>
      </c>
    </row>
    <row r="418" spans="1:7">
      <c r="A418" s="1">
        <v>42969</v>
      </c>
      <c r="B418">
        <v>29061</v>
      </c>
      <c r="C418">
        <f>_xlfn.XLOOKUP(A418, USD!A:A, USD!B:B, "")</f>
        <v>64.072000000000003</v>
      </c>
      <c r="D418">
        <f>_xlfn.XLOOKUP(A418, Brent!A:A, Brent!B:B, "")</f>
        <v>52.29</v>
      </c>
      <c r="E418">
        <f>_xlfn.XLOOKUP(
  A418,
  Repo!A:A,
  Repo!B:B,
  "",
  -1
)</f>
        <v>6.25</v>
      </c>
      <c r="F418" s="10">
        <f>_xlfn.XLOOKUP(
  A418,
  CPI!D:D,
  CPI!C:C,
  "",
  -1
)</f>
        <v>3.28</v>
      </c>
      <c r="G418">
        <v>29224</v>
      </c>
    </row>
    <row r="419" spans="1:7">
      <c r="A419" s="1">
        <v>42970</v>
      </c>
      <c r="B419">
        <v>29090</v>
      </c>
      <c r="C419">
        <f>_xlfn.XLOOKUP(A419, USD!A:A, USD!B:B, "")</f>
        <v>64.045000000000002</v>
      </c>
      <c r="D419">
        <f>_xlfn.XLOOKUP(A419, Brent!A:A, Brent!B:B, "")</f>
        <v>52.31</v>
      </c>
      <c r="E419">
        <f>_xlfn.XLOOKUP(
  A419,
  Repo!A:A,
  Repo!B:B,
  "",
  -1
)</f>
        <v>6.25</v>
      </c>
      <c r="F419" s="10">
        <f>_xlfn.XLOOKUP(
  A419,
  CPI!D:D,
  CPI!C:C,
  "",
  -1
)</f>
        <v>3.28</v>
      </c>
      <c r="G419">
        <v>29061</v>
      </c>
    </row>
    <row r="420" spans="1:7">
      <c r="A420" s="1">
        <v>42971</v>
      </c>
      <c r="B420">
        <v>29021</v>
      </c>
      <c r="C420">
        <f>_xlfn.XLOOKUP(A420, USD!A:A, USD!B:B, "")</f>
        <v>64.045000000000002</v>
      </c>
      <c r="D420">
        <f>_xlfn.XLOOKUP(A420, Brent!A:A, Brent!B:B, "")</f>
        <v>51.73</v>
      </c>
      <c r="E420">
        <f>_xlfn.XLOOKUP(
  A420,
  Repo!A:A,
  Repo!B:B,
  "",
  -1
)</f>
        <v>6.25</v>
      </c>
      <c r="F420" s="10">
        <f>_xlfn.XLOOKUP(
  A420,
  CPI!D:D,
  CPI!C:C,
  "",
  -1
)</f>
        <v>3.28</v>
      </c>
      <c r="G420">
        <v>29090</v>
      </c>
    </row>
    <row r="421" spans="1:7">
      <c r="A421" s="1">
        <v>42972</v>
      </c>
      <c r="B421">
        <v>29086</v>
      </c>
      <c r="C421">
        <f>_xlfn.XLOOKUP(A421, USD!A:A, USD!B:B, "")</f>
        <v>64.004999999999995</v>
      </c>
      <c r="D421">
        <f>_xlfn.XLOOKUP(A421, Brent!A:A, Brent!B:B, "")</f>
        <v>51.87</v>
      </c>
      <c r="E421">
        <f>_xlfn.XLOOKUP(
  A421,
  Repo!A:A,
  Repo!B:B,
  "",
  -1
)</f>
        <v>6.25</v>
      </c>
      <c r="F421" s="10">
        <f>_xlfn.XLOOKUP(
  A421,
  CPI!D:D,
  CPI!C:C,
  "",
  -1
)</f>
        <v>3.28</v>
      </c>
      <c r="G421">
        <v>29021</v>
      </c>
    </row>
    <row r="422" spans="1:7">
      <c r="A422" s="1">
        <v>42975</v>
      </c>
      <c r="B422">
        <v>29425</v>
      </c>
      <c r="C422">
        <f>_xlfn.XLOOKUP(A422, USD!A:A, USD!B:B, "")</f>
        <v>63.905000000000001</v>
      </c>
      <c r="D422">
        <f>_xlfn.XLOOKUP(A422, Brent!A:A, Brent!B:B, "")</f>
        <v>51.87</v>
      </c>
      <c r="E422">
        <f>_xlfn.XLOOKUP(
  A422,
  Repo!A:A,
  Repo!B:B,
  "",
  -1
)</f>
        <v>6.25</v>
      </c>
      <c r="F422" s="10">
        <f>_xlfn.XLOOKUP(
  A422,
  CPI!D:D,
  CPI!C:C,
  "",
  -1
)</f>
        <v>3.28</v>
      </c>
      <c r="G422">
        <v>29086</v>
      </c>
    </row>
    <row r="423" spans="1:7">
      <c r="A423" s="1">
        <v>42976</v>
      </c>
      <c r="B423">
        <v>29588</v>
      </c>
      <c r="C423">
        <f>_xlfn.XLOOKUP(A423, USD!A:A, USD!B:B, "")</f>
        <v>64.015000000000001</v>
      </c>
      <c r="D423">
        <f>_xlfn.XLOOKUP(A423, Brent!A:A, Brent!B:B, "")</f>
        <v>51.64</v>
      </c>
      <c r="E423">
        <f>_xlfn.XLOOKUP(
  A423,
  Repo!A:A,
  Repo!B:B,
  "",
  -1
)</f>
        <v>6.25</v>
      </c>
      <c r="F423" s="10">
        <f>_xlfn.XLOOKUP(
  A423,
  CPI!D:D,
  CPI!C:C,
  "",
  -1
)</f>
        <v>3.28</v>
      </c>
      <c r="G423">
        <v>29425</v>
      </c>
    </row>
    <row r="424" spans="1:7">
      <c r="A424" s="1">
        <v>42977</v>
      </c>
      <c r="B424">
        <v>29540</v>
      </c>
      <c r="C424">
        <f>_xlfn.XLOOKUP(A424, USD!A:A, USD!B:B, "")</f>
        <v>63.99</v>
      </c>
      <c r="D424">
        <f>_xlfn.XLOOKUP(A424, Brent!A:A, Brent!B:B, "")</f>
        <v>51.91</v>
      </c>
      <c r="E424">
        <f>_xlfn.XLOOKUP(
  A424,
  Repo!A:A,
  Repo!B:B,
  "",
  -1
)</f>
        <v>6.25</v>
      </c>
      <c r="F424" s="10">
        <f>_xlfn.XLOOKUP(
  A424,
  CPI!D:D,
  CPI!C:C,
  "",
  -1
)</f>
        <v>3.28</v>
      </c>
      <c r="G424">
        <v>29588</v>
      </c>
    </row>
    <row r="425" spans="1:7">
      <c r="A425" s="1">
        <v>42978</v>
      </c>
      <c r="B425">
        <v>29756</v>
      </c>
      <c r="C425">
        <f>_xlfn.XLOOKUP(A425, USD!A:A, USD!B:B, "")</f>
        <v>63.935000000000002</v>
      </c>
      <c r="D425">
        <f>_xlfn.XLOOKUP(A425, Brent!A:A, Brent!B:B, "")</f>
        <v>52.69</v>
      </c>
      <c r="E425">
        <f>_xlfn.XLOOKUP(
  A425,
  Repo!A:A,
  Repo!B:B,
  "",
  -1
)</f>
        <v>6</v>
      </c>
      <c r="F425" s="10">
        <f>_xlfn.XLOOKUP(
  A425,
  CPI!D:D,
  CPI!C:C,
  "",
  -1
)</f>
        <v>3.28</v>
      </c>
      <c r="G425">
        <v>29540</v>
      </c>
    </row>
    <row r="426" spans="1:7">
      <c r="A426" s="1">
        <v>42979</v>
      </c>
      <c r="B426">
        <v>29788</v>
      </c>
      <c r="C426">
        <f>_xlfn.XLOOKUP(A426, USD!A:A, USD!B:B, "")</f>
        <v>64.025000000000006</v>
      </c>
      <c r="D426">
        <f>_xlfn.XLOOKUP(A426, Brent!A:A, Brent!B:B, "")</f>
        <v>53.15</v>
      </c>
      <c r="E426">
        <f>_xlfn.XLOOKUP(
  A426,
  Repo!A:A,
  Repo!B:B,
  "",
  -1
)</f>
        <v>6</v>
      </c>
      <c r="F426" s="10">
        <f>_xlfn.XLOOKUP(
  A426,
  CPI!D:D,
  CPI!C:C,
  "",
  -1
)</f>
        <v>3.28</v>
      </c>
      <c r="G426">
        <v>29756</v>
      </c>
    </row>
    <row r="427" spans="1:7">
      <c r="A427" s="1">
        <v>42982</v>
      </c>
      <c r="B427">
        <v>30174</v>
      </c>
      <c r="C427">
        <f>_xlfn.XLOOKUP(A427, USD!A:A, USD!B:B, "")</f>
        <v>64.040000000000006</v>
      </c>
      <c r="D427">
        <f>_xlfn.XLOOKUP(A427, Brent!A:A, Brent!B:B, "")</f>
        <v>52.6</v>
      </c>
      <c r="E427">
        <f>_xlfn.XLOOKUP(
  A427,
  Repo!A:A,
  Repo!B:B,
  "",
  -1
)</f>
        <v>6</v>
      </c>
      <c r="F427" s="10">
        <f>_xlfn.XLOOKUP(
  A427,
  CPI!D:D,
  CPI!C:C,
  "",
  -1
)</f>
        <v>3.28</v>
      </c>
      <c r="G427">
        <v>29788</v>
      </c>
    </row>
    <row r="428" spans="1:7">
      <c r="A428" s="1">
        <v>42983</v>
      </c>
      <c r="B428">
        <v>30226</v>
      </c>
      <c r="C428">
        <f>_xlfn.XLOOKUP(A428, USD!A:A, USD!B:B, "")</f>
        <v>64.105000000000004</v>
      </c>
      <c r="D428">
        <f>_xlfn.XLOOKUP(A428, Brent!A:A, Brent!B:B, "")</f>
        <v>53.63</v>
      </c>
      <c r="E428">
        <f>_xlfn.XLOOKUP(
  A428,
  Repo!A:A,
  Repo!B:B,
  "",
  -1
)</f>
        <v>6</v>
      </c>
      <c r="F428" s="10">
        <f>_xlfn.XLOOKUP(
  A428,
  CPI!D:D,
  CPI!C:C,
  "",
  -1
)</f>
        <v>3.28</v>
      </c>
      <c r="G428">
        <v>30174</v>
      </c>
    </row>
    <row r="429" spans="1:7">
      <c r="A429" s="1">
        <v>42984</v>
      </c>
      <c r="B429">
        <v>30088</v>
      </c>
      <c r="C429">
        <f>_xlfn.XLOOKUP(A429, USD!A:A, USD!B:B, "")</f>
        <v>64.06</v>
      </c>
      <c r="D429">
        <f>_xlfn.XLOOKUP(A429, Brent!A:A, Brent!B:B, "")</f>
        <v>54.48</v>
      </c>
      <c r="E429">
        <f>_xlfn.XLOOKUP(
  A429,
  Repo!A:A,
  Repo!B:B,
  "",
  -1
)</f>
        <v>6</v>
      </c>
      <c r="F429" s="10">
        <f>_xlfn.XLOOKUP(
  A429,
  CPI!D:D,
  CPI!C:C,
  "",
  -1
)</f>
        <v>3.28</v>
      </c>
      <c r="G429">
        <v>30226</v>
      </c>
    </row>
    <row r="430" spans="1:7">
      <c r="A430" s="1">
        <v>42985</v>
      </c>
      <c r="B430">
        <v>30287</v>
      </c>
      <c r="C430">
        <f>_xlfn.XLOOKUP(A430, USD!A:A, USD!B:B, "")</f>
        <v>64.015000000000001</v>
      </c>
      <c r="D430">
        <f>_xlfn.XLOOKUP(A430, Brent!A:A, Brent!B:B, "")</f>
        <v>54.16</v>
      </c>
      <c r="E430">
        <f>_xlfn.XLOOKUP(
  A430,
  Repo!A:A,
  Repo!B:B,
  "",
  -1
)</f>
        <v>6</v>
      </c>
      <c r="F430" s="10">
        <f>_xlfn.XLOOKUP(
  A430,
  CPI!D:D,
  CPI!C:C,
  "",
  -1
)</f>
        <v>3.28</v>
      </c>
      <c r="G430">
        <v>30088</v>
      </c>
    </row>
    <row r="431" spans="1:7">
      <c r="A431" s="1">
        <v>42986</v>
      </c>
      <c r="B431">
        <v>30271</v>
      </c>
      <c r="C431">
        <f>_xlfn.XLOOKUP(A431, USD!A:A, USD!B:B, "")</f>
        <v>63.784999999999997</v>
      </c>
      <c r="D431">
        <f>_xlfn.XLOOKUP(A431, Brent!A:A, Brent!B:B, "")</f>
        <v>54.55</v>
      </c>
      <c r="E431">
        <f>_xlfn.XLOOKUP(
  A431,
  Repo!A:A,
  Repo!B:B,
  "",
  -1
)</f>
        <v>6</v>
      </c>
      <c r="F431" s="10">
        <f>_xlfn.XLOOKUP(
  A431,
  CPI!D:D,
  CPI!C:C,
  "",
  -1
)</f>
        <v>3.28</v>
      </c>
      <c r="G431">
        <v>30287</v>
      </c>
    </row>
    <row r="432" spans="1:7">
      <c r="A432" s="1">
        <v>42989</v>
      </c>
      <c r="B432">
        <v>29942</v>
      </c>
      <c r="C432">
        <f>_xlfn.XLOOKUP(A432, USD!A:A, USD!B:B, "")</f>
        <v>63.935000000000002</v>
      </c>
      <c r="D432">
        <f>_xlfn.XLOOKUP(A432, Brent!A:A, Brent!B:B, "")</f>
        <v>54.2</v>
      </c>
      <c r="E432">
        <f>_xlfn.XLOOKUP(
  A432,
  Repo!A:A,
  Repo!B:B,
  "",
  -1
)</f>
        <v>6</v>
      </c>
      <c r="F432" s="10">
        <f>_xlfn.XLOOKUP(
  A432,
  CPI!D:D,
  CPI!C:C,
  "",
  -1
)</f>
        <v>3.28</v>
      </c>
      <c r="G432">
        <v>30271</v>
      </c>
    </row>
    <row r="433" spans="1:7">
      <c r="A433" s="1">
        <v>42990</v>
      </c>
      <c r="B433">
        <v>29953</v>
      </c>
      <c r="C433">
        <f>_xlfn.XLOOKUP(A433, USD!A:A, USD!B:B, "")</f>
        <v>64.031000000000006</v>
      </c>
      <c r="D433">
        <f>_xlfn.XLOOKUP(A433, Brent!A:A, Brent!B:B, "")</f>
        <v>55.06</v>
      </c>
      <c r="E433">
        <f>_xlfn.XLOOKUP(
  A433,
  Repo!A:A,
  Repo!B:B,
  "",
  -1
)</f>
        <v>6</v>
      </c>
      <c r="F433" s="10">
        <f>_xlfn.XLOOKUP(
  A433,
  CPI!D:D,
  CPI!C:C,
  "",
  -1
)</f>
        <v>3.28</v>
      </c>
      <c r="G433">
        <v>29942</v>
      </c>
    </row>
    <row r="434" spans="1:7">
      <c r="A434" s="1">
        <v>42991</v>
      </c>
      <c r="B434">
        <v>29896</v>
      </c>
      <c r="C434">
        <f>_xlfn.XLOOKUP(A434, USD!A:A, USD!B:B, "")</f>
        <v>64.010000000000005</v>
      </c>
      <c r="D434">
        <f>_xlfn.XLOOKUP(A434, Brent!A:A, Brent!B:B, "")</f>
        <v>55.52</v>
      </c>
      <c r="E434">
        <f>_xlfn.XLOOKUP(
  A434,
  Repo!A:A,
  Repo!B:B,
  "",
  -1
)</f>
        <v>6</v>
      </c>
      <c r="F434" s="10">
        <f>_xlfn.XLOOKUP(
  A434,
  CPI!D:D,
  CPI!C:C,
  "",
  -1
)</f>
        <v>3.28</v>
      </c>
      <c r="G434">
        <v>29953</v>
      </c>
    </row>
    <row r="435" spans="1:7">
      <c r="A435" s="1">
        <v>42992</v>
      </c>
      <c r="B435">
        <v>30020</v>
      </c>
      <c r="C435">
        <f>_xlfn.XLOOKUP(A435, USD!A:A, USD!B:B, "")</f>
        <v>64.123000000000005</v>
      </c>
      <c r="D435">
        <f>_xlfn.XLOOKUP(A435, Brent!A:A, Brent!B:B, "")</f>
        <v>56.76</v>
      </c>
      <c r="E435">
        <f>_xlfn.XLOOKUP(
  A435,
  Repo!A:A,
  Repo!B:B,
  "",
  -1
)</f>
        <v>6</v>
      </c>
      <c r="F435" s="10">
        <f>_xlfn.XLOOKUP(
  A435,
  CPI!D:D,
  CPI!C:C,
  "",
  -1
)</f>
        <v>3.28</v>
      </c>
      <c r="G435">
        <v>29896</v>
      </c>
    </row>
    <row r="436" spans="1:7">
      <c r="A436" s="1">
        <v>42993</v>
      </c>
      <c r="B436">
        <v>29869</v>
      </c>
      <c r="C436">
        <f>_xlfn.XLOOKUP(A436, USD!A:A, USD!B:B, "")</f>
        <v>64.11</v>
      </c>
      <c r="D436">
        <f>_xlfn.XLOOKUP(A436, Brent!A:A, Brent!B:B, "")</f>
        <v>56.18</v>
      </c>
      <c r="E436">
        <f>_xlfn.XLOOKUP(
  A436,
  Repo!A:A,
  Repo!B:B,
  "",
  -1
)</f>
        <v>6</v>
      </c>
      <c r="F436" s="10">
        <f>_xlfn.XLOOKUP(
  A436,
  CPI!D:D,
  CPI!C:C,
  "",
  -1
)</f>
        <v>3.28</v>
      </c>
      <c r="G436">
        <v>30020</v>
      </c>
    </row>
    <row r="437" spans="1:7">
      <c r="A437" s="1">
        <v>42996</v>
      </c>
      <c r="B437">
        <v>29561</v>
      </c>
      <c r="C437">
        <f>_xlfn.XLOOKUP(A437, USD!A:A, USD!B:B, "")</f>
        <v>64.158000000000001</v>
      </c>
      <c r="D437">
        <f>_xlfn.XLOOKUP(A437, Brent!A:A, Brent!B:B, "")</f>
        <v>55.5</v>
      </c>
      <c r="E437">
        <f>_xlfn.XLOOKUP(
  A437,
  Repo!A:A,
  Repo!B:B,
  "",
  -1
)</f>
        <v>6</v>
      </c>
      <c r="F437" s="10">
        <f>_xlfn.XLOOKUP(
  A437,
  CPI!D:D,
  CPI!C:C,
  "",
  -1
)</f>
        <v>3.28</v>
      </c>
      <c r="G437">
        <v>29869</v>
      </c>
    </row>
    <row r="438" spans="1:7">
      <c r="A438" s="1">
        <v>42997</v>
      </c>
      <c r="B438">
        <v>29628</v>
      </c>
      <c r="C438">
        <f>_xlfn.XLOOKUP(A438, USD!A:A, USD!B:B, "")</f>
        <v>64.3</v>
      </c>
      <c r="D438">
        <f>_xlfn.XLOOKUP(A438, Brent!A:A, Brent!B:B, "")</f>
        <v>56.58</v>
      </c>
      <c r="E438">
        <f>_xlfn.XLOOKUP(
  A438,
  Repo!A:A,
  Repo!B:B,
  "",
  -1
)</f>
        <v>6</v>
      </c>
      <c r="F438" s="10">
        <f>_xlfn.XLOOKUP(
  A438,
  CPI!D:D,
  CPI!C:C,
  "",
  -1
)</f>
        <v>3.28</v>
      </c>
      <c r="G438">
        <v>29561</v>
      </c>
    </row>
    <row r="439" spans="1:7">
      <c r="A439" s="1">
        <v>42998</v>
      </c>
      <c r="B439">
        <v>29780</v>
      </c>
      <c r="C439">
        <f>_xlfn.XLOOKUP(A439, USD!A:A, USD!B:B, "")</f>
        <v>64.293000000000006</v>
      </c>
      <c r="D439">
        <f>_xlfn.XLOOKUP(A439, Brent!A:A, Brent!B:B, "")</f>
        <v>57.2</v>
      </c>
      <c r="E439">
        <f>_xlfn.XLOOKUP(
  A439,
  Repo!A:A,
  Repo!B:B,
  "",
  -1
)</f>
        <v>6</v>
      </c>
      <c r="F439" s="10">
        <f>_xlfn.XLOOKUP(
  A439,
  CPI!D:D,
  CPI!C:C,
  "",
  -1
)</f>
        <v>3.28</v>
      </c>
      <c r="G439">
        <v>29628</v>
      </c>
    </row>
    <row r="440" spans="1:7">
      <c r="A440" s="1">
        <v>42999</v>
      </c>
      <c r="B440">
        <v>29584</v>
      </c>
      <c r="C440">
        <f>_xlfn.XLOOKUP(A440, USD!A:A, USD!B:B, "")</f>
        <v>64.81</v>
      </c>
      <c r="D440">
        <f>_xlfn.XLOOKUP(A440, Brent!A:A, Brent!B:B, "")</f>
        <v>57.73</v>
      </c>
      <c r="E440">
        <f>_xlfn.XLOOKUP(
  A440,
  Repo!A:A,
  Repo!B:B,
  "",
  -1
)</f>
        <v>6</v>
      </c>
      <c r="F440" s="10">
        <f>_xlfn.XLOOKUP(
  A440,
  CPI!D:D,
  CPI!C:C,
  "",
  -1
)</f>
        <v>3.28</v>
      </c>
      <c r="G440">
        <v>29780</v>
      </c>
    </row>
    <row r="441" spans="1:7">
      <c r="A441" s="1">
        <v>43000</v>
      </c>
      <c r="B441">
        <v>29608</v>
      </c>
      <c r="C441">
        <f>_xlfn.XLOOKUP(A441, USD!A:A, USD!B:B, "")</f>
        <v>64.795000000000002</v>
      </c>
      <c r="D441">
        <f>_xlfn.XLOOKUP(A441, Brent!A:A, Brent!B:B, "")</f>
        <v>58.16</v>
      </c>
      <c r="E441">
        <f>_xlfn.XLOOKUP(
  A441,
  Repo!A:A,
  Repo!B:B,
  "",
  -1
)</f>
        <v>6</v>
      </c>
      <c r="F441" s="10">
        <f>_xlfn.XLOOKUP(
  A441,
  CPI!D:D,
  CPI!C:C,
  "",
  -1
)</f>
        <v>3.28</v>
      </c>
      <c r="G441">
        <v>29584</v>
      </c>
    </row>
    <row r="442" spans="1:7">
      <c r="A442" s="1">
        <v>43003</v>
      </c>
      <c r="B442">
        <v>30065</v>
      </c>
      <c r="C442">
        <f>_xlfn.XLOOKUP(A442, USD!A:A, USD!B:B, "")</f>
        <v>65.126999999999995</v>
      </c>
      <c r="D442">
        <f>_xlfn.XLOOKUP(A442, Brent!A:A, Brent!B:B, "")</f>
        <v>59.42</v>
      </c>
      <c r="E442">
        <f>_xlfn.XLOOKUP(
  A442,
  Repo!A:A,
  Repo!B:B,
  "",
  -1
)</f>
        <v>6</v>
      </c>
      <c r="F442" s="10">
        <f>_xlfn.XLOOKUP(
  A442,
  CPI!D:D,
  CPI!C:C,
  "",
  -1
)</f>
        <v>3.28</v>
      </c>
      <c r="G442">
        <v>29608</v>
      </c>
    </row>
    <row r="443" spans="1:7">
      <c r="A443" s="1">
        <v>43004</v>
      </c>
      <c r="B443">
        <v>29885</v>
      </c>
      <c r="C443">
        <f>_xlfn.XLOOKUP(A443, USD!A:A, USD!B:B, "")</f>
        <v>65.459999999999994</v>
      </c>
      <c r="D443">
        <f>_xlfn.XLOOKUP(A443, Brent!A:A, Brent!B:B, "")</f>
        <v>59.77</v>
      </c>
      <c r="E443">
        <f>_xlfn.XLOOKUP(
  A443,
  Repo!A:A,
  Repo!B:B,
  "",
  -1
)</f>
        <v>6</v>
      </c>
      <c r="F443" s="10">
        <f>_xlfn.XLOOKUP(
  A443,
  CPI!D:D,
  CPI!C:C,
  "",
  -1
)</f>
        <v>3.28</v>
      </c>
      <c r="G443">
        <v>30065</v>
      </c>
    </row>
    <row r="444" spans="1:7">
      <c r="A444" s="1">
        <v>43005</v>
      </c>
      <c r="B444">
        <v>29673</v>
      </c>
      <c r="C444">
        <f>_xlfn.XLOOKUP(A444, USD!A:A, USD!B:B, "")</f>
        <v>65.715000000000003</v>
      </c>
      <c r="D444">
        <f>_xlfn.XLOOKUP(A444, Brent!A:A, Brent!B:B, "")</f>
        <v>58.74</v>
      </c>
      <c r="E444">
        <f>_xlfn.XLOOKUP(
  A444,
  Repo!A:A,
  Repo!B:B,
  "",
  -1
)</f>
        <v>6</v>
      </c>
      <c r="F444" s="10">
        <f>_xlfn.XLOOKUP(
  A444,
  CPI!D:D,
  CPI!C:C,
  "",
  -1
)</f>
        <v>3.28</v>
      </c>
      <c r="G444">
        <v>29885</v>
      </c>
    </row>
    <row r="445" spans="1:7">
      <c r="A445" s="1">
        <v>43006</v>
      </c>
      <c r="B445">
        <v>29624</v>
      </c>
      <c r="C445">
        <f>_xlfn.XLOOKUP(A445, USD!A:A, USD!B:B, "")</f>
        <v>65.47</v>
      </c>
      <c r="D445">
        <f>_xlfn.XLOOKUP(A445, Brent!A:A, Brent!B:B, "")</f>
        <v>58.8</v>
      </c>
      <c r="E445">
        <f>_xlfn.XLOOKUP(
  A445,
  Repo!A:A,
  Repo!B:B,
  "",
  -1
)</f>
        <v>6</v>
      </c>
      <c r="F445" s="10">
        <f>_xlfn.XLOOKUP(
  A445,
  CPI!D:D,
  CPI!C:C,
  "",
  -1
)</f>
        <v>3.28</v>
      </c>
      <c r="G445">
        <v>29673</v>
      </c>
    </row>
    <row r="446" spans="1:7">
      <c r="A446" s="1">
        <v>43007</v>
      </c>
      <c r="B446">
        <v>29549</v>
      </c>
      <c r="C446">
        <f>_xlfn.XLOOKUP(A446, USD!A:A, USD!B:B, "")</f>
        <v>65.31</v>
      </c>
      <c r="D446">
        <f>_xlfn.XLOOKUP(A446, Brent!A:A, Brent!B:B, "")</f>
        <v>57.02</v>
      </c>
      <c r="E446">
        <f>_xlfn.XLOOKUP(
  A446,
  Repo!A:A,
  Repo!B:B,
  "",
  -1
)</f>
        <v>6</v>
      </c>
      <c r="F446" s="10">
        <f>_xlfn.XLOOKUP(
  A446,
  CPI!D:D,
  CPI!C:C,
  "",
  -1
)</f>
        <v>3.28</v>
      </c>
      <c r="G446">
        <v>29624</v>
      </c>
    </row>
    <row r="447" spans="1:7">
      <c r="A447" s="1">
        <v>43011</v>
      </c>
      <c r="B447">
        <v>29400</v>
      </c>
      <c r="C447">
        <f>_xlfn.XLOOKUP(A447, USD!A:A, USD!B:B, "")</f>
        <v>65.484999999999999</v>
      </c>
      <c r="D447">
        <f>_xlfn.XLOOKUP(A447, Brent!A:A, Brent!B:B, "")</f>
        <v>56.12</v>
      </c>
      <c r="E447">
        <f>_xlfn.XLOOKUP(
  A447,
  Repo!A:A,
  Repo!B:B,
  "",
  -1
)</f>
        <v>6</v>
      </c>
      <c r="F447" s="10">
        <f>_xlfn.XLOOKUP(
  A447,
  CPI!D:D,
  CPI!C:C,
  "",
  -1
)</f>
        <v>3.58</v>
      </c>
      <c r="G447">
        <v>29549</v>
      </c>
    </row>
    <row r="448" spans="1:7">
      <c r="A448" s="1">
        <v>43012</v>
      </c>
      <c r="B448">
        <v>29331</v>
      </c>
      <c r="C448">
        <f>_xlfn.XLOOKUP(A448, USD!A:A, USD!B:B, "")</f>
        <v>65.03</v>
      </c>
      <c r="D448">
        <f>_xlfn.XLOOKUP(A448, Brent!A:A, Brent!B:B, "")</f>
        <v>56</v>
      </c>
      <c r="E448">
        <f>_xlfn.XLOOKUP(
  A448,
  Repo!A:A,
  Repo!B:B,
  "",
  -1
)</f>
        <v>6</v>
      </c>
      <c r="F448" s="10">
        <f>_xlfn.XLOOKUP(
  A448,
  CPI!D:D,
  CPI!C:C,
  "",
  -1
)</f>
        <v>3.58</v>
      </c>
      <c r="G448">
        <v>29400</v>
      </c>
    </row>
    <row r="449" spans="1:7">
      <c r="A449" s="1">
        <v>43013</v>
      </c>
      <c r="B449">
        <v>29412</v>
      </c>
      <c r="C449">
        <f>_xlfn.XLOOKUP(A449, USD!A:A, USD!B:B, "")</f>
        <v>65.144999999999996</v>
      </c>
      <c r="D449">
        <f>_xlfn.XLOOKUP(A449, Brent!A:A, Brent!B:B, "")</f>
        <v>57.09</v>
      </c>
      <c r="E449">
        <f>_xlfn.XLOOKUP(
  A449,
  Repo!A:A,
  Repo!B:B,
  "",
  -1
)</f>
        <v>6</v>
      </c>
      <c r="F449" s="10">
        <f>_xlfn.XLOOKUP(
  A449,
  CPI!D:D,
  CPI!C:C,
  "",
  -1
)</f>
        <v>3.58</v>
      </c>
      <c r="G449">
        <v>29331</v>
      </c>
    </row>
    <row r="450" spans="1:7">
      <c r="A450" s="1">
        <v>43014</v>
      </c>
      <c r="B450">
        <v>29510</v>
      </c>
      <c r="C450">
        <f>_xlfn.XLOOKUP(A450, USD!A:A, USD!B:B, "")</f>
        <v>65.400000000000006</v>
      </c>
      <c r="D450">
        <f>_xlfn.XLOOKUP(A450, Brent!A:A, Brent!B:B, "")</f>
        <v>55.5</v>
      </c>
      <c r="E450">
        <f>_xlfn.XLOOKUP(
  A450,
  Repo!A:A,
  Repo!B:B,
  "",
  -1
)</f>
        <v>6</v>
      </c>
      <c r="F450" s="10">
        <f>_xlfn.XLOOKUP(
  A450,
  CPI!D:D,
  CPI!C:C,
  "",
  -1
)</f>
        <v>3.58</v>
      </c>
      <c r="G450">
        <v>29412</v>
      </c>
    </row>
    <row r="451" spans="1:7">
      <c r="A451" s="1">
        <v>43017</v>
      </c>
      <c r="B451">
        <v>29670</v>
      </c>
      <c r="C451">
        <f>_xlfn.XLOOKUP(A451, USD!A:A, USD!B:B, "")</f>
        <v>65.355000000000004</v>
      </c>
      <c r="D451">
        <f>_xlfn.XLOOKUP(A451, Brent!A:A, Brent!B:B, "")</f>
        <v>55.29</v>
      </c>
      <c r="E451">
        <f>_xlfn.XLOOKUP(
  A451,
  Repo!A:A,
  Repo!B:B,
  "",
  -1
)</f>
        <v>6</v>
      </c>
      <c r="F451" s="10">
        <f>_xlfn.XLOOKUP(
  A451,
  CPI!D:D,
  CPI!C:C,
  "",
  -1
)</f>
        <v>3.58</v>
      </c>
      <c r="G451">
        <v>29510</v>
      </c>
    </row>
    <row r="452" spans="1:7">
      <c r="A452" s="1">
        <v>43018</v>
      </c>
      <c r="B452">
        <v>29768</v>
      </c>
      <c r="C452">
        <f>_xlfn.XLOOKUP(A452, USD!A:A, USD!B:B, "")</f>
        <v>65.25</v>
      </c>
      <c r="D452">
        <f>_xlfn.XLOOKUP(A452, Brent!A:A, Brent!B:B, "")</f>
        <v>56.62</v>
      </c>
      <c r="E452">
        <f>_xlfn.XLOOKUP(
  A452,
  Repo!A:A,
  Repo!B:B,
  "",
  -1
)</f>
        <v>6</v>
      </c>
      <c r="F452" s="10">
        <f>_xlfn.XLOOKUP(
  A452,
  CPI!D:D,
  CPI!C:C,
  "",
  -1
)</f>
        <v>3.58</v>
      </c>
      <c r="G452">
        <v>29670</v>
      </c>
    </row>
    <row r="453" spans="1:7">
      <c r="A453" s="1">
        <v>43019</v>
      </c>
      <c r="B453">
        <v>29659</v>
      </c>
      <c r="C453">
        <f>_xlfn.XLOOKUP(A453, USD!A:A, USD!B:B, "")</f>
        <v>65.16</v>
      </c>
      <c r="D453">
        <f>_xlfn.XLOOKUP(A453, Brent!A:A, Brent!B:B, "")</f>
        <v>56.13</v>
      </c>
      <c r="E453">
        <f>_xlfn.XLOOKUP(
  A453,
  Repo!A:A,
  Repo!B:B,
  "",
  -1
)</f>
        <v>6</v>
      </c>
      <c r="F453" s="10">
        <f>_xlfn.XLOOKUP(
  A453,
  CPI!D:D,
  CPI!C:C,
  "",
  -1
)</f>
        <v>3.58</v>
      </c>
      <c r="G453">
        <v>29768</v>
      </c>
    </row>
    <row r="454" spans="1:7">
      <c r="A454" s="1">
        <v>43020</v>
      </c>
      <c r="B454">
        <v>29756</v>
      </c>
      <c r="C454">
        <f>_xlfn.XLOOKUP(A454, USD!A:A, USD!B:B, "")</f>
        <v>65.06</v>
      </c>
      <c r="D454">
        <f>_xlfn.XLOOKUP(A454, Brent!A:A, Brent!B:B, "")</f>
        <v>56.13</v>
      </c>
      <c r="E454">
        <f>_xlfn.XLOOKUP(
  A454,
  Repo!A:A,
  Repo!B:B,
  "",
  -1
)</f>
        <v>6</v>
      </c>
      <c r="F454" s="10">
        <f>_xlfn.XLOOKUP(
  A454,
  CPI!D:D,
  CPI!C:C,
  "",
  -1
)</f>
        <v>3.58</v>
      </c>
      <c r="G454">
        <v>29659</v>
      </c>
    </row>
    <row r="455" spans="1:7">
      <c r="A455" s="1">
        <v>43021</v>
      </c>
      <c r="B455">
        <v>29800</v>
      </c>
      <c r="C455">
        <f>_xlfn.XLOOKUP(A455, USD!A:A, USD!B:B, "")</f>
        <v>64.7</v>
      </c>
      <c r="D455">
        <f>_xlfn.XLOOKUP(A455, Brent!A:A, Brent!B:B, "")</f>
        <v>56.86</v>
      </c>
      <c r="E455">
        <f>_xlfn.XLOOKUP(
  A455,
  Repo!A:A,
  Repo!B:B,
  "",
  -1
)</f>
        <v>6</v>
      </c>
      <c r="F455" s="10">
        <f>_xlfn.XLOOKUP(
  A455,
  CPI!D:D,
  CPI!C:C,
  "",
  -1
)</f>
        <v>3.58</v>
      </c>
      <c r="G455">
        <v>29756</v>
      </c>
    </row>
    <row r="456" spans="1:7">
      <c r="A456" s="1">
        <v>43024</v>
      </c>
      <c r="B456">
        <v>29808</v>
      </c>
      <c r="C456">
        <f>_xlfn.XLOOKUP(A456, USD!A:A, USD!B:B, "")</f>
        <v>64.7</v>
      </c>
      <c r="D456">
        <f>_xlfn.XLOOKUP(A456, Brent!A:A, Brent!B:B, "")</f>
        <v>57.49</v>
      </c>
      <c r="E456">
        <f>_xlfn.XLOOKUP(
  A456,
  Repo!A:A,
  Repo!B:B,
  "",
  -1
)</f>
        <v>6</v>
      </c>
      <c r="F456" s="10">
        <f>_xlfn.XLOOKUP(
  A456,
  CPI!D:D,
  CPI!C:C,
  "",
  -1
)</f>
        <v>3.58</v>
      </c>
      <c r="G456">
        <v>29800</v>
      </c>
    </row>
    <row r="457" spans="1:7">
      <c r="A457" s="1">
        <v>43025</v>
      </c>
      <c r="B457">
        <v>29565</v>
      </c>
      <c r="C457">
        <f>_xlfn.XLOOKUP(A457, USD!A:A, USD!B:B, "")</f>
        <v>65.03</v>
      </c>
      <c r="D457">
        <f>_xlfn.XLOOKUP(A457, Brent!A:A, Brent!B:B, "")</f>
        <v>57.63</v>
      </c>
      <c r="E457">
        <f>_xlfn.XLOOKUP(
  A457,
  Repo!A:A,
  Repo!B:B,
  "",
  -1
)</f>
        <v>6</v>
      </c>
      <c r="F457" s="10">
        <f>_xlfn.XLOOKUP(
  A457,
  CPI!D:D,
  CPI!C:C,
  "",
  -1
)</f>
        <v>3.58</v>
      </c>
      <c r="G457">
        <v>29808</v>
      </c>
    </row>
    <row r="458" spans="1:7">
      <c r="A458" s="1">
        <v>43026</v>
      </c>
      <c r="B458">
        <v>29536</v>
      </c>
      <c r="C458">
        <f>_xlfn.XLOOKUP(A458, USD!A:A, USD!B:B, "")</f>
        <v>65.055000000000007</v>
      </c>
      <c r="D458">
        <f>_xlfn.XLOOKUP(A458, Brent!A:A, Brent!B:B, "")</f>
        <v>58.05</v>
      </c>
      <c r="E458">
        <f>_xlfn.XLOOKUP(
  A458,
  Repo!A:A,
  Repo!B:B,
  "",
  -1
)</f>
        <v>6</v>
      </c>
      <c r="F458" s="10">
        <f>_xlfn.XLOOKUP(
  A458,
  CPI!D:D,
  CPI!C:C,
  "",
  -1
)</f>
        <v>3.58</v>
      </c>
      <c r="G458">
        <v>29565</v>
      </c>
    </row>
    <row r="459" spans="1:7">
      <c r="A459" s="1">
        <v>43027</v>
      </c>
      <c r="B459">
        <v>29654</v>
      </c>
      <c r="C459">
        <f>_xlfn.XLOOKUP(A459, USD!A:A, USD!B:B, "")</f>
        <v>64.995000000000005</v>
      </c>
      <c r="D459">
        <f>_xlfn.XLOOKUP(A459, Brent!A:A, Brent!B:B, "")</f>
        <v>57.82</v>
      </c>
      <c r="E459">
        <f>_xlfn.XLOOKUP(
  A459,
  Repo!A:A,
  Repo!B:B,
  "",
  -1
)</f>
        <v>6</v>
      </c>
      <c r="F459" s="10">
        <f>_xlfn.XLOOKUP(
  A459,
  CPI!D:D,
  CPI!C:C,
  "",
  -1
)</f>
        <v>3.58</v>
      </c>
      <c r="G459">
        <v>29536</v>
      </c>
    </row>
    <row r="460" spans="1:7">
      <c r="A460" s="1">
        <v>43028</v>
      </c>
      <c r="B460">
        <v>29541</v>
      </c>
      <c r="C460">
        <f>_xlfn.XLOOKUP(A460, USD!A:A, USD!B:B, "")</f>
        <v>65.040000000000006</v>
      </c>
      <c r="D460">
        <f>_xlfn.XLOOKUP(A460, Brent!A:A, Brent!B:B, "")</f>
        <v>57.89</v>
      </c>
      <c r="E460">
        <f>_xlfn.XLOOKUP(
  A460,
  Repo!A:A,
  Repo!B:B,
  "",
  -1
)</f>
        <v>6</v>
      </c>
      <c r="F460" s="10">
        <f>_xlfn.XLOOKUP(
  A460,
  CPI!D:D,
  CPI!C:C,
  "",
  -1
)</f>
        <v>3.58</v>
      </c>
      <c r="G460">
        <v>29654</v>
      </c>
    </row>
    <row r="461" spans="1:7">
      <c r="A461" s="1">
        <v>43031</v>
      </c>
      <c r="B461">
        <v>29499</v>
      </c>
      <c r="C461">
        <f>_xlfn.XLOOKUP(A461, USD!A:A, USD!B:B, "")</f>
        <v>65.022999999999996</v>
      </c>
      <c r="D461">
        <f>_xlfn.XLOOKUP(A461, Brent!A:A, Brent!B:B, "")</f>
        <v>57.69</v>
      </c>
      <c r="E461">
        <f>_xlfn.XLOOKUP(
  A461,
  Repo!A:A,
  Repo!B:B,
  "",
  -1
)</f>
        <v>6</v>
      </c>
      <c r="F461" s="10">
        <f>_xlfn.XLOOKUP(
  A461,
  CPI!D:D,
  CPI!C:C,
  "",
  -1
)</f>
        <v>3.58</v>
      </c>
      <c r="G461">
        <v>29541</v>
      </c>
    </row>
    <row r="462" spans="1:7">
      <c r="A462" s="1">
        <v>43032</v>
      </c>
      <c r="B462">
        <v>29498</v>
      </c>
      <c r="C462">
        <f>_xlfn.XLOOKUP(A462, USD!A:A, USD!B:B, "")</f>
        <v>65.09</v>
      </c>
      <c r="D462">
        <f>_xlfn.XLOOKUP(A462, Brent!A:A, Brent!B:B, "")</f>
        <v>57.84</v>
      </c>
      <c r="E462">
        <f>_xlfn.XLOOKUP(
  A462,
  Repo!A:A,
  Repo!B:B,
  "",
  -1
)</f>
        <v>6</v>
      </c>
      <c r="F462" s="10">
        <f>_xlfn.XLOOKUP(
  A462,
  CPI!D:D,
  CPI!C:C,
  "",
  -1
)</f>
        <v>3.58</v>
      </c>
      <c r="G462">
        <v>29499</v>
      </c>
    </row>
    <row r="463" spans="1:7">
      <c r="A463" s="1">
        <v>43033</v>
      </c>
      <c r="B463">
        <v>29362</v>
      </c>
      <c r="C463">
        <f>_xlfn.XLOOKUP(A463, USD!A:A, USD!B:B, "")</f>
        <v>64.924999999999997</v>
      </c>
      <c r="D463">
        <f>_xlfn.XLOOKUP(A463, Brent!A:A, Brent!B:B, "")</f>
        <v>58.45</v>
      </c>
      <c r="E463">
        <f>_xlfn.XLOOKUP(
  A463,
  Repo!A:A,
  Repo!B:B,
  "",
  -1
)</f>
        <v>6</v>
      </c>
      <c r="F463" s="10">
        <f>_xlfn.XLOOKUP(
  A463,
  CPI!D:D,
  CPI!C:C,
  "",
  -1
)</f>
        <v>3.58</v>
      </c>
      <c r="G463">
        <v>29498</v>
      </c>
    </row>
    <row r="464" spans="1:7">
      <c r="A464" s="1">
        <v>43034</v>
      </c>
      <c r="B464">
        <v>29236</v>
      </c>
      <c r="C464">
        <f>_xlfn.XLOOKUP(A464, USD!A:A, USD!B:B, "")</f>
        <v>64.84</v>
      </c>
      <c r="D464">
        <f>_xlfn.XLOOKUP(A464, Brent!A:A, Brent!B:B, "")</f>
        <v>58.75</v>
      </c>
      <c r="E464">
        <f>_xlfn.XLOOKUP(
  A464,
  Repo!A:A,
  Repo!B:B,
  "",
  -1
)</f>
        <v>6</v>
      </c>
      <c r="F464" s="10">
        <f>_xlfn.XLOOKUP(
  A464,
  CPI!D:D,
  CPI!C:C,
  "",
  -1
)</f>
        <v>3.58</v>
      </c>
      <c r="G464">
        <v>29362</v>
      </c>
    </row>
    <row r="465" spans="1:7">
      <c r="A465" s="1">
        <v>43035</v>
      </c>
      <c r="B465">
        <v>29272</v>
      </c>
      <c r="C465">
        <f>_xlfn.XLOOKUP(A465, USD!A:A, USD!B:B, "")</f>
        <v>65.040000000000006</v>
      </c>
      <c r="D465">
        <f>_xlfn.XLOOKUP(A465, Brent!A:A, Brent!B:B, "")</f>
        <v>60.15</v>
      </c>
      <c r="E465">
        <f>_xlfn.XLOOKUP(
  A465,
  Repo!A:A,
  Repo!B:B,
  "",
  -1
)</f>
        <v>6</v>
      </c>
      <c r="F465" s="10">
        <f>_xlfn.XLOOKUP(
  A465,
  CPI!D:D,
  CPI!C:C,
  "",
  -1
)</f>
        <v>3.58</v>
      </c>
      <c r="G465">
        <v>29236</v>
      </c>
    </row>
    <row r="466" spans="1:7">
      <c r="A466" s="1">
        <v>43038</v>
      </c>
      <c r="B466">
        <v>29349</v>
      </c>
      <c r="C466">
        <f>_xlfn.XLOOKUP(A466, USD!A:A, USD!B:B, "")</f>
        <v>64.86</v>
      </c>
      <c r="D466">
        <f>_xlfn.XLOOKUP(A466, Brent!A:A, Brent!B:B, "")</f>
        <v>60.65</v>
      </c>
      <c r="E466">
        <f>_xlfn.XLOOKUP(
  A466,
  Repo!A:A,
  Repo!B:B,
  "",
  -1
)</f>
        <v>6</v>
      </c>
      <c r="F466" s="10">
        <f>_xlfn.XLOOKUP(
  A466,
  CPI!D:D,
  CPI!C:C,
  "",
  -1
)</f>
        <v>3.58</v>
      </c>
      <c r="G466">
        <v>29272</v>
      </c>
    </row>
    <row r="467" spans="1:7">
      <c r="A467" s="1">
        <v>43039</v>
      </c>
      <c r="B467">
        <v>29040</v>
      </c>
      <c r="C467">
        <f>_xlfn.XLOOKUP(A467, USD!A:A, USD!B:B, "")</f>
        <v>64.75</v>
      </c>
      <c r="D467">
        <f>_xlfn.XLOOKUP(A467, Brent!A:A, Brent!B:B, "")</f>
        <v>61.35</v>
      </c>
      <c r="E467">
        <f>_xlfn.XLOOKUP(
  A467,
  Repo!A:A,
  Repo!B:B,
  "",
  -1
)</f>
        <v>6</v>
      </c>
      <c r="F467" s="10">
        <f>_xlfn.XLOOKUP(
  A467,
  CPI!D:D,
  CPI!C:C,
  "",
  -1
)</f>
        <v>3.58</v>
      </c>
      <c r="G467">
        <v>29349</v>
      </c>
    </row>
    <row r="468" spans="1:7">
      <c r="A468" s="1">
        <v>43040</v>
      </c>
      <c r="B468">
        <v>29120</v>
      </c>
      <c r="C468">
        <f>_xlfn.XLOOKUP(A468, USD!A:A, USD!B:B, "")</f>
        <v>64.564999999999998</v>
      </c>
      <c r="D468">
        <f>_xlfn.XLOOKUP(A468, Brent!A:A, Brent!B:B, "")</f>
        <v>60.98</v>
      </c>
      <c r="E468">
        <f>_xlfn.XLOOKUP(
  A468,
  Repo!A:A,
  Repo!B:B,
  "",
  -1
)</f>
        <v>6</v>
      </c>
      <c r="F468" s="10">
        <f>_xlfn.XLOOKUP(
  A468,
  CPI!D:D,
  CPI!C:C,
  "",
  -1
)</f>
        <v>4.88</v>
      </c>
      <c r="G468">
        <v>29040</v>
      </c>
    </row>
    <row r="469" spans="1:7">
      <c r="A469" s="1">
        <v>43041</v>
      </c>
      <c r="B469">
        <v>29242</v>
      </c>
      <c r="C469">
        <f>_xlfn.XLOOKUP(A469, USD!A:A, USD!B:B, "")</f>
        <v>64.575000000000003</v>
      </c>
      <c r="D469">
        <f>_xlfn.XLOOKUP(A469, Brent!A:A, Brent!B:B, "")</f>
        <v>60.79</v>
      </c>
      <c r="E469">
        <f>_xlfn.XLOOKUP(
  A469,
  Repo!A:A,
  Repo!B:B,
  "",
  -1
)</f>
        <v>6</v>
      </c>
      <c r="F469" s="10">
        <f>_xlfn.XLOOKUP(
  A469,
  CPI!D:D,
  CPI!C:C,
  "",
  -1
)</f>
        <v>4.88</v>
      </c>
      <c r="G469">
        <v>29120</v>
      </c>
    </row>
    <row r="470" spans="1:7">
      <c r="A470" s="1">
        <v>43042</v>
      </c>
      <c r="B470">
        <v>29191</v>
      </c>
      <c r="C470">
        <f>_xlfn.XLOOKUP(A470, USD!A:A, USD!B:B, "")</f>
        <v>64.56</v>
      </c>
      <c r="D470">
        <f>_xlfn.XLOOKUP(A470, Brent!A:A, Brent!B:B, "")</f>
        <v>61.42</v>
      </c>
      <c r="E470">
        <f>_xlfn.XLOOKUP(
  A470,
  Repo!A:A,
  Repo!B:B,
  "",
  -1
)</f>
        <v>6</v>
      </c>
      <c r="F470" s="10">
        <f>_xlfn.XLOOKUP(
  A470,
  CPI!D:D,
  CPI!C:C,
  "",
  -1
)</f>
        <v>4.88</v>
      </c>
      <c r="G470">
        <v>29242</v>
      </c>
    </row>
    <row r="471" spans="1:7">
      <c r="A471" s="1">
        <v>43045</v>
      </c>
      <c r="B471">
        <v>29363</v>
      </c>
      <c r="C471">
        <f>_xlfn.XLOOKUP(A471, USD!A:A, USD!B:B, "")</f>
        <v>64.625</v>
      </c>
      <c r="D471">
        <f>_xlfn.XLOOKUP(A471, Brent!A:A, Brent!B:B, "")</f>
        <v>64.27</v>
      </c>
      <c r="E471">
        <f>_xlfn.XLOOKUP(
  A471,
  Repo!A:A,
  Repo!B:B,
  "",
  -1
)</f>
        <v>6</v>
      </c>
      <c r="F471" s="10">
        <f>_xlfn.XLOOKUP(
  A471,
  CPI!D:D,
  CPI!C:C,
  "",
  -1
)</f>
        <v>4.88</v>
      </c>
      <c r="G471">
        <v>29191</v>
      </c>
    </row>
    <row r="472" spans="1:7">
      <c r="A472" s="1">
        <v>43046</v>
      </c>
      <c r="B472">
        <v>29457</v>
      </c>
      <c r="C472">
        <f>_xlfn.XLOOKUP(A472, USD!A:A, USD!B:B, "")</f>
        <v>65.06</v>
      </c>
      <c r="D472">
        <f>_xlfn.XLOOKUP(A472, Brent!A:A, Brent!B:B, "")</f>
        <v>64.36</v>
      </c>
      <c r="E472">
        <f>_xlfn.XLOOKUP(
  A472,
  Repo!A:A,
  Repo!B:B,
  "",
  -1
)</f>
        <v>6</v>
      </c>
      <c r="F472" s="10">
        <f>_xlfn.XLOOKUP(
  A472,
  CPI!D:D,
  CPI!C:C,
  "",
  -1
)</f>
        <v>4.88</v>
      </c>
      <c r="G472">
        <v>29363</v>
      </c>
    </row>
    <row r="473" spans="1:7">
      <c r="A473" s="1">
        <v>43047</v>
      </c>
      <c r="B473">
        <v>29562</v>
      </c>
      <c r="C473">
        <f>_xlfn.XLOOKUP(A473, USD!A:A, USD!B:B, "")</f>
        <v>64.92</v>
      </c>
      <c r="D473">
        <f>_xlfn.XLOOKUP(A473, Brent!A:A, Brent!B:B, "")</f>
        <v>63.96</v>
      </c>
      <c r="E473">
        <f>_xlfn.XLOOKUP(
  A473,
  Repo!A:A,
  Repo!B:B,
  "",
  -1
)</f>
        <v>6</v>
      </c>
      <c r="F473" s="10">
        <f>_xlfn.XLOOKUP(
  A473,
  CPI!D:D,
  CPI!C:C,
  "",
  -1
)</f>
        <v>4.88</v>
      </c>
      <c r="G473">
        <v>29457</v>
      </c>
    </row>
    <row r="474" spans="1:7">
      <c r="A474" s="1">
        <v>43048</v>
      </c>
      <c r="B474">
        <v>29670</v>
      </c>
      <c r="C474">
        <f>_xlfn.XLOOKUP(A474, USD!A:A, USD!B:B, "")</f>
        <v>64.974999999999994</v>
      </c>
      <c r="D474">
        <f>_xlfn.XLOOKUP(A474, Brent!A:A, Brent!B:B, "")</f>
        <v>64.489999999999995</v>
      </c>
      <c r="E474">
        <f>_xlfn.XLOOKUP(
  A474,
  Repo!A:A,
  Repo!B:B,
  "",
  -1
)</f>
        <v>6</v>
      </c>
      <c r="F474" s="10">
        <f>_xlfn.XLOOKUP(
  A474,
  CPI!D:D,
  CPI!C:C,
  "",
  -1
)</f>
        <v>4.88</v>
      </c>
      <c r="G474">
        <v>29562</v>
      </c>
    </row>
    <row r="475" spans="1:7">
      <c r="A475" s="1">
        <v>43049</v>
      </c>
      <c r="B475">
        <v>29508</v>
      </c>
      <c r="C475">
        <f>_xlfn.XLOOKUP(A475, USD!A:A, USD!B:B, "")</f>
        <v>65.19</v>
      </c>
      <c r="D475">
        <f>_xlfn.XLOOKUP(A475, Brent!A:A, Brent!B:B, "")</f>
        <v>64.349999999999994</v>
      </c>
      <c r="E475">
        <f>_xlfn.XLOOKUP(
  A475,
  Repo!A:A,
  Repo!B:B,
  "",
  -1
)</f>
        <v>6</v>
      </c>
      <c r="F475" s="10">
        <f>_xlfn.XLOOKUP(
  A475,
  CPI!D:D,
  CPI!C:C,
  "",
  -1
)</f>
        <v>4.88</v>
      </c>
      <c r="G475">
        <v>29670</v>
      </c>
    </row>
    <row r="476" spans="1:7">
      <c r="A476" s="1">
        <v>43052</v>
      </c>
      <c r="B476">
        <v>29619</v>
      </c>
      <c r="C476">
        <f>_xlfn.XLOOKUP(A476, USD!A:A, USD!B:B, "")</f>
        <v>65.44</v>
      </c>
      <c r="D476">
        <f>_xlfn.XLOOKUP(A476, Brent!A:A, Brent!B:B, "")</f>
        <v>62.94</v>
      </c>
      <c r="E476">
        <f>_xlfn.XLOOKUP(
  A476,
  Repo!A:A,
  Repo!B:B,
  "",
  -1
)</f>
        <v>6</v>
      </c>
      <c r="F476" s="10">
        <f>_xlfn.XLOOKUP(
  A476,
  CPI!D:D,
  CPI!C:C,
  "",
  -1
)</f>
        <v>4.88</v>
      </c>
      <c r="G476">
        <v>29508</v>
      </c>
    </row>
    <row r="477" spans="1:7">
      <c r="A477" s="1">
        <v>43053</v>
      </c>
      <c r="B477">
        <v>29620</v>
      </c>
      <c r="C477">
        <f>_xlfn.XLOOKUP(A477, USD!A:A, USD!B:B, "")</f>
        <v>65.41</v>
      </c>
      <c r="D477">
        <f>_xlfn.XLOOKUP(A477, Brent!A:A, Brent!B:B, "")</f>
        <v>60.91</v>
      </c>
      <c r="E477">
        <f>_xlfn.XLOOKUP(
  A477,
  Repo!A:A,
  Repo!B:B,
  "",
  -1
)</f>
        <v>6</v>
      </c>
      <c r="F477" s="10">
        <f>_xlfn.XLOOKUP(
  A477,
  CPI!D:D,
  CPI!C:C,
  "",
  -1
)</f>
        <v>4.88</v>
      </c>
      <c r="G477">
        <v>29619</v>
      </c>
    </row>
    <row r="478" spans="1:7">
      <c r="A478" s="1">
        <v>43054</v>
      </c>
      <c r="B478">
        <v>29528</v>
      </c>
      <c r="C478">
        <f>_xlfn.XLOOKUP(A478, USD!A:A, USD!B:B, "")</f>
        <v>65.27</v>
      </c>
      <c r="D478">
        <f>_xlfn.XLOOKUP(A478, Brent!A:A, Brent!B:B, "")</f>
        <v>61.25</v>
      </c>
      <c r="E478">
        <f>_xlfn.XLOOKUP(
  A478,
  Repo!A:A,
  Repo!B:B,
  "",
  -1
)</f>
        <v>6</v>
      </c>
      <c r="F478" s="10">
        <f>_xlfn.XLOOKUP(
  A478,
  CPI!D:D,
  CPI!C:C,
  "",
  -1
)</f>
        <v>4.88</v>
      </c>
      <c r="G478">
        <v>29620</v>
      </c>
    </row>
    <row r="479" spans="1:7">
      <c r="A479" s="1">
        <v>43055</v>
      </c>
      <c r="B479">
        <v>29491</v>
      </c>
      <c r="C479">
        <f>_xlfn.XLOOKUP(A479, USD!A:A, USD!B:B, "")</f>
        <v>65.295000000000002</v>
      </c>
      <c r="D479">
        <f>_xlfn.XLOOKUP(A479, Brent!A:A, Brent!B:B, "")</f>
        <v>61.18</v>
      </c>
      <c r="E479">
        <f>_xlfn.XLOOKUP(
  A479,
  Repo!A:A,
  Repo!B:B,
  "",
  -1
)</f>
        <v>6</v>
      </c>
      <c r="F479" s="10">
        <f>_xlfn.XLOOKUP(
  A479,
  CPI!D:D,
  CPI!C:C,
  "",
  -1
)</f>
        <v>4.88</v>
      </c>
      <c r="G479">
        <v>29528</v>
      </c>
    </row>
    <row r="480" spans="1:7">
      <c r="A480" s="1">
        <v>43056</v>
      </c>
      <c r="B480">
        <v>29658</v>
      </c>
      <c r="C480">
        <f>_xlfn.XLOOKUP(A480, USD!A:A, USD!B:B, "")</f>
        <v>65.015000000000001</v>
      </c>
      <c r="D480">
        <f>_xlfn.XLOOKUP(A480, Brent!A:A, Brent!B:B, "")</f>
        <v>61.34</v>
      </c>
      <c r="E480">
        <f>_xlfn.XLOOKUP(
  A480,
  Repo!A:A,
  Repo!B:B,
  "",
  -1
)</f>
        <v>6</v>
      </c>
      <c r="F480" s="10">
        <f>_xlfn.XLOOKUP(
  A480,
  CPI!D:D,
  CPI!C:C,
  "",
  -1
)</f>
        <v>4.88</v>
      </c>
      <c r="G480">
        <v>29491</v>
      </c>
    </row>
    <row r="481" spans="1:7">
      <c r="A481" s="1">
        <v>43059</v>
      </c>
      <c r="B481">
        <v>29339</v>
      </c>
      <c r="C481">
        <f>_xlfn.XLOOKUP(A481, USD!A:A, USD!B:B, "")</f>
        <v>65.099999999999994</v>
      </c>
      <c r="D481">
        <f>_xlfn.XLOOKUP(A481, Brent!A:A, Brent!B:B, "")</f>
        <v>61.34</v>
      </c>
      <c r="E481">
        <f>_xlfn.XLOOKUP(
  A481,
  Repo!A:A,
  Repo!B:B,
  "",
  -1
)</f>
        <v>6</v>
      </c>
      <c r="F481" s="10">
        <f>_xlfn.XLOOKUP(
  A481,
  CPI!D:D,
  CPI!C:C,
  "",
  -1
)</f>
        <v>4.88</v>
      </c>
      <c r="G481">
        <v>29658</v>
      </c>
    </row>
    <row r="482" spans="1:7">
      <c r="A482" s="1">
        <v>43060</v>
      </c>
      <c r="B482">
        <v>29334</v>
      </c>
      <c r="C482">
        <f>_xlfn.XLOOKUP(A482, USD!A:A, USD!B:B, "")</f>
        <v>64.88</v>
      </c>
      <c r="D482">
        <f>_xlfn.XLOOKUP(A482, Brent!A:A, Brent!B:B, "")</f>
        <v>62.28</v>
      </c>
      <c r="E482">
        <f>_xlfn.XLOOKUP(
  A482,
  Repo!A:A,
  Repo!B:B,
  "",
  -1
)</f>
        <v>6</v>
      </c>
      <c r="F482" s="10">
        <f>_xlfn.XLOOKUP(
  A482,
  CPI!D:D,
  CPI!C:C,
  "",
  -1
)</f>
        <v>4.88</v>
      </c>
      <c r="G482">
        <v>29339</v>
      </c>
    </row>
    <row r="483" spans="1:7">
      <c r="A483" s="1">
        <v>43061</v>
      </c>
      <c r="B483">
        <v>29504</v>
      </c>
      <c r="C483">
        <f>_xlfn.XLOOKUP(A483, USD!A:A, USD!B:B, "")</f>
        <v>64.88</v>
      </c>
      <c r="D483">
        <f>_xlfn.XLOOKUP(A483, Brent!A:A, Brent!B:B, "")</f>
        <v>62.92</v>
      </c>
      <c r="E483">
        <f>_xlfn.XLOOKUP(
  A483,
  Repo!A:A,
  Repo!B:B,
  "",
  -1
)</f>
        <v>6</v>
      </c>
      <c r="F483" s="10">
        <f>_xlfn.XLOOKUP(
  A483,
  CPI!D:D,
  CPI!C:C,
  "",
  -1
)</f>
        <v>4.88</v>
      </c>
      <c r="G483">
        <v>29334</v>
      </c>
    </row>
    <row r="484" spans="1:7">
      <c r="A484" s="1">
        <v>43062</v>
      </c>
      <c r="B484">
        <v>29420</v>
      </c>
      <c r="C484">
        <f>_xlfn.XLOOKUP(A484, USD!A:A, USD!B:B, "")</f>
        <v>64.569999999999993</v>
      </c>
      <c r="D484">
        <f>_xlfn.XLOOKUP(A484, Brent!A:A, Brent!B:B, "")</f>
        <v>63.27</v>
      </c>
      <c r="E484">
        <f>_xlfn.XLOOKUP(
  A484,
  Repo!A:A,
  Repo!B:B,
  "",
  -1
)</f>
        <v>6</v>
      </c>
      <c r="F484" s="10">
        <f>_xlfn.XLOOKUP(
  A484,
  CPI!D:D,
  CPI!C:C,
  "",
  -1
)</f>
        <v>4.88</v>
      </c>
      <c r="G484">
        <v>29504</v>
      </c>
    </row>
    <row r="485" spans="1:7">
      <c r="A485" s="1">
        <v>43063</v>
      </c>
      <c r="B485">
        <v>29375</v>
      </c>
      <c r="C485">
        <f>_xlfn.XLOOKUP(A485, USD!A:A, USD!B:B, "")</f>
        <v>64.680000000000007</v>
      </c>
      <c r="D485">
        <f>_xlfn.XLOOKUP(A485, Brent!A:A, Brent!B:B, "")</f>
        <v>63.58</v>
      </c>
      <c r="E485">
        <f>_xlfn.XLOOKUP(
  A485,
  Repo!A:A,
  Repo!B:B,
  "",
  -1
)</f>
        <v>6</v>
      </c>
      <c r="F485" s="10">
        <f>_xlfn.XLOOKUP(
  A485,
  CPI!D:D,
  CPI!C:C,
  "",
  -1
)</f>
        <v>4.88</v>
      </c>
      <c r="G485">
        <v>29420</v>
      </c>
    </row>
    <row r="486" spans="1:7">
      <c r="A486" s="1">
        <v>43066</v>
      </c>
      <c r="B486">
        <v>29460</v>
      </c>
      <c r="C486">
        <f>_xlfn.XLOOKUP(A486, USD!A:A, USD!B:B, "")</f>
        <v>64.477000000000004</v>
      </c>
      <c r="D486">
        <f>_xlfn.XLOOKUP(A486, Brent!A:A, Brent!B:B, "")</f>
        <v>63.25</v>
      </c>
      <c r="E486">
        <f>_xlfn.XLOOKUP(
  A486,
  Repo!A:A,
  Repo!B:B,
  "",
  -1
)</f>
        <v>6</v>
      </c>
      <c r="F486" s="10">
        <f>_xlfn.XLOOKUP(
  A486,
  CPI!D:D,
  CPI!C:C,
  "",
  -1
)</f>
        <v>4.88</v>
      </c>
      <c r="G486">
        <v>29375</v>
      </c>
    </row>
    <row r="487" spans="1:7">
      <c r="A487" s="1">
        <v>43067</v>
      </c>
      <c r="B487">
        <v>29381</v>
      </c>
      <c r="C487">
        <f>_xlfn.XLOOKUP(A487, USD!A:A, USD!B:B, "")</f>
        <v>64.41</v>
      </c>
      <c r="D487">
        <f>_xlfn.XLOOKUP(A487, Brent!A:A, Brent!B:B, "")</f>
        <v>63.56</v>
      </c>
      <c r="E487">
        <f>_xlfn.XLOOKUP(
  A487,
  Repo!A:A,
  Repo!B:B,
  "",
  -1
)</f>
        <v>6</v>
      </c>
      <c r="F487" s="10">
        <f>_xlfn.XLOOKUP(
  A487,
  CPI!D:D,
  CPI!C:C,
  "",
  -1
)</f>
        <v>4.88</v>
      </c>
      <c r="G487">
        <v>29460</v>
      </c>
    </row>
    <row r="488" spans="1:7">
      <c r="A488" s="1">
        <v>43068</v>
      </c>
      <c r="B488">
        <v>29215</v>
      </c>
      <c r="C488">
        <f>_xlfn.XLOOKUP(A488, USD!A:A, USD!B:B, "")</f>
        <v>64.36</v>
      </c>
      <c r="D488">
        <f>_xlfn.XLOOKUP(A488, Brent!A:A, Brent!B:B, "")</f>
        <v>63.74</v>
      </c>
      <c r="E488">
        <f>_xlfn.XLOOKUP(
  A488,
  Repo!A:A,
  Repo!B:B,
  "",
  -1
)</f>
        <v>6</v>
      </c>
      <c r="F488" s="10">
        <f>_xlfn.XLOOKUP(
  A488,
  CPI!D:D,
  CPI!C:C,
  "",
  -1
)</f>
        <v>4.88</v>
      </c>
      <c r="G488">
        <v>29381</v>
      </c>
    </row>
    <row r="489" spans="1:7">
      <c r="A489" s="1">
        <v>43069</v>
      </c>
      <c r="B489">
        <v>28992</v>
      </c>
      <c r="C489">
        <f>_xlfn.XLOOKUP(A489, USD!A:A, USD!B:B, "")</f>
        <v>64.489999999999995</v>
      </c>
      <c r="D489">
        <f>_xlfn.XLOOKUP(A489, Brent!A:A, Brent!B:B, "")</f>
        <v>63.53</v>
      </c>
      <c r="E489">
        <f>_xlfn.XLOOKUP(
  A489,
  Repo!A:A,
  Repo!B:B,
  "",
  -1
)</f>
        <v>6</v>
      </c>
      <c r="F489" s="10">
        <f>_xlfn.XLOOKUP(
  A489,
  CPI!D:D,
  CPI!C:C,
  "",
  -1
)</f>
        <v>4.88</v>
      </c>
      <c r="G489">
        <v>29215</v>
      </c>
    </row>
    <row r="490" spans="1:7">
      <c r="A490" s="1">
        <v>43070</v>
      </c>
      <c r="B490">
        <v>29217</v>
      </c>
      <c r="C490">
        <f>_xlfn.XLOOKUP(A490, USD!A:A, USD!B:B, "")</f>
        <v>64.52</v>
      </c>
      <c r="D490">
        <f>_xlfn.XLOOKUP(A490, Brent!A:A, Brent!B:B, "")</f>
        <v>64.569999999999993</v>
      </c>
      <c r="E490">
        <f>_xlfn.XLOOKUP(
  A490,
  Repo!A:A,
  Repo!B:B,
  "",
  -1
)</f>
        <v>6</v>
      </c>
      <c r="F490" s="10">
        <f>_xlfn.XLOOKUP(
  A490,
  CPI!D:D,
  CPI!C:C,
  "",
  -1
)</f>
        <v>5.21</v>
      </c>
      <c r="G490">
        <v>28992</v>
      </c>
    </row>
    <row r="491" spans="1:7">
      <c r="A491" s="1">
        <v>43073</v>
      </c>
      <c r="B491">
        <v>29059</v>
      </c>
      <c r="C491">
        <f>_xlfn.XLOOKUP(A491, USD!A:A, USD!B:B, "")</f>
        <v>64.38</v>
      </c>
      <c r="D491">
        <f>_xlfn.XLOOKUP(A491, Brent!A:A, Brent!B:B, "")</f>
        <v>63.45</v>
      </c>
      <c r="E491">
        <f>_xlfn.XLOOKUP(
  A491,
  Repo!A:A,
  Repo!B:B,
  "",
  -1
)</f>
        <v>6</v>
      </c>
      <c r="F491" s="10">
        <f>_xlfn.XLOOKUP(
  A491,
  CPI!D:D,
  CPI!C:C,
  "",
  -1
)</f>
        <v>5.21</v>
      </c>
      <c r="G491">
        <v>29217</v>
      </c>
    </row>
    <row r="492" spans="1:7">
      <c r="A492" s="1">
        <v>43074</v>
      </c>
      <c r="B492">
        <v>28893</v>
      </c>
      <c r="C492">
        <f>_xlfn.XLOOKUP(A492, USD!A:A, USD!B:B, "")</f>
        <v>64.36</v>
      </c>
      <c r="D492">
        <f>_xlfn.XLOOKUP(A492, Brent!A:A, Brent!B:B, "")</f>
        <v>63.45</v>
      </c>
      <c r="E492">
        <f>_xlfn.XLOOKUP(
  A492,
  Repo!A:A,
  Repo!B:B,
  "",
  -1
)</f>
        <v>6</v>
      </c>
      <c r="F492" s="10">
        <f>_xlfn.XLOOKUP(
  A492,
  CPI!D:D,
  CPI!C:C,
  "",
  -1
)</f>
        <v>5.21</v>
      </c>
      <c r="G492">
        <v>29059</v>
      </c>
    </row>
    <row r="493" spans="1:7">
      <c r="A493" s="1">
        <v>43075</v>
      </c>
      <c r="B493">
        <v>28972</v>
      </c>
      <c r="C493">
        <f>_xlfn.XLOOKUP(A493, USD!A:A, USD!B:B, "")</f>
        <v>64.53</v>
      </c>
      <c r="D493">
        <f>_xlfn.XLOOKUP(A493, Brent!A:A, Brent!B:B, "")</f>
        <v>62.25</v>
      </c>
      <c r="E493">
        <f>_xlfn.XLOOKUP(
  A493,
  Repo!A:A,
  Repo!B:B,
  "",
  -1
)</f>
        <v>6</v>
      </c>
      <c r="F493" s="10">
        <f>_xlfn.XLOOKUP(
  A493,
  CPI!D:D,
  CPI!C:C,
  "",
  -1
)</f>
        <v>5.21</v>
      </c>
      <c r="G493">
        <v>28893</v>
      </c>
    </row>
    <row r="494" spans="1:7">
      <c r="A494" s="1">
        <v>43076</v>
      </c>
      <c r="B494">
        <v>28670</v>
      </c>
      <c r="C494">
        <f>_xlfn.XLOOKUP(A494, USD!A:A, USD!B:B, "")</f>
        <v>64.569999999999993</v>
      </c>
      <c r="D494">
        <f>_xlfn.XLOOKUP(A494, Brent!A:A, Brent!B:B, "")</f>
        <v>62.37</v>
      </c>
      <c r="E494">
        <f>_xlfn.XLOOKUP(
  A494,
  Repo!A:A,
  Repo!B:B,
  "",
  -1
)</f>
        <v>6</v>
      </c>
      <c r="F494" s="10">
        <f>_xlfn.XLOOKUP(
  A494,
  CPI!D:D,
  CPI!C:C,
  "",
  -1
)</f>
        <v>5.21</v>
      </c>
      <c r="G494">
        <v>28972</v>
      </c>
    </row>
    <row r="495" spans="1:7">
      <c r="A495" s="1">
        <v>43077</v>
      </c>
      <c r="B495">
        <v>28588</v>
      </c>
      <c r="C495">
        <f>_xlfn.XLOOKUP(A495, USD!A:A, USD!B:B, "")</f>
        <v>64.48</v>
      </c>
      <c r="D495">
        <f>_xlfn.XLOOKUP(A495, Brent!A:A, Brent!B:B, "")</f>
        <v>63.86</v>
      </c>
      <c r="E495">
        <f>_xlfn.XLOOKUP(
  A495,
  Repo!A:A,
  Repo!B:B,
  "",
  -1
)</f>
        <v>6</v>
      </c>
      <c r="F495" s="10">
        <f>_xlfn.XLOOKUP(
  A495,
  CPI!D:D,
  CPI!C:C,
  "",
  -1
)</f>
        <v>5.21</v>
      </c>
      <c r="G495">
        <v>28670</v>
      </c>
    </row>
    <row r="496" spans="1:7">
      <c r="A496" s="1">
        <v>43080</v>
      </c>
      <c r="B496">
        <v>28429</v>
      </c>
      <c r="C496">
        <f>_xlfn.XLOOKUP(A496, USD!A:A, USD!B:B, "")</f>
        <v>64.355000000000004</v>
      </c>
      <c r="D496">
        <f>_xlfn.XLOOKUP(A496, Brent!A:A, Brent!B:B, "")</f>
        <v>65.62</v>
      </c>
      <c r="E496">
        <f>_xlfn.XLOOKUP(
  A496,
  Repo!A:A,
  Repo!B:B,
  "",
  -1
)</f>
        <v>6</v>
      </c>
      <c r="F496" s="10">
        <f>_xlfn.XLOOKUP(
  A496,
  CPI!D:D,
  CPI!C:C,
  "",
  -1
)</f>
        <v>5.21</v>
      </c>
      <c r="G496">
        <v>28588</v>
      </c>
    </row>
    <row r="497" spans="1:7">
      <c r="A497" s="1">
        <v>43081</v>
      </c>
      <c r="B497">
        <v>28318</v>
      </c>
      <c r="C497">
        <f>_xlfn.XLOOKUP(A497, USD!A:A, USD!B:B, "")</f>
        <v>64.41</v>
      </c>
      <c r="D497">
        <f>_xlfn.XLOOKUP(A497, Brent!A:A, Brent!B:B, "")</f>
        <v>64.959999999999994</v>
      </c>
      <c r="E497">
        <f>_xlfn.XLOOKUP(
  A497,
  Repo!A:A,
  Repo!B:B,
  "",
  -1
)</f>
        <v>6</v>
      </c>
      <c r="F497" s="10">
        <f>_xlfn.XLOOKUP(
  A497,
  CPI!D:D,
  CPI!C:C,
  "",
  -1
)</f>
        <v>5.21</v>
      </c>
      <c r="G497">
        <v>28429</v>
      </c>
    </row>
    <row r="498" spans="1:7">
      <c r="A498" s="1">
        <v>43082</v>
      </c>
      <c r="B498">
        <v>28377</v>
      </c>
      <c r="C498">
        <f>_xlfn.XLOOKUP(A498, USD!A:A, USD!B:B, "")</f>
        <v>64.459999999999994</v>
      </c>
      <c r="D498">
        <f>_xlfn.XLOOKUP(A498, Brent!A:A, Brent!B:B, "")</f>
        <v>63.66</v>
      </c>
      <c r="E498">
        <f>_xlfn.XLOOKUP(
  A498,
  Repo!A:A,
  Repo!B:B,
  "",
  -1
)</f>
        <v>6</v>
      </c>
      <c r="F498" s="10">
        <f>_xlfn.XLOOKUP(
  A498,
  CPI!D:D,
  CPI!C:C,
  "",
  -1
)</f>
        <v>5.21</v>
      </c>
      <c r="G498">
        <v>28318</v>
      </c>
    </row>
    <row r="499" spans="1:7">
      <c r="A499" s="1">
        <v>43083</v>
      </c>
      <c r="B499">
        <v>28500</v>
      </c>
      <c r="C499">
        <f>_xlfn.XLOOKUP(A499, USD!A:A, USD!B:B, "")</f>
        <v>64.34</v>
      </c>
      <c r="D499">
        <f>_xlfn.XLOOKUP(A499, Brent!A:A, Brent!B:B, "")</f>
        <v>63.72</v>
      </c>
      <c r="E499">
        <f>_xlfn.XLOOKUP(
  A499,
  Repo!A:A,
  Repo!B:B,
  "",
  -1
)</f>
        <v>6</v>
      </c>
      <c r="F499" s="10">
        <f>_xlfn.XLOOKUP(
  A499,
  CPI!D:D,
  CPI!C:C,
  "",
  -1
)</f>
        <v>5.21</v>
      </c>
      <c r="G499">
        <v>28377</v>
      </c>
    </row>
    <row r="500" spans="1:7">
      <c r="A500" s="1">
        <v>43084</v>
      </c>
      <c r="B500">
        <v>28441</v>
      </c>
      <c r="C500">
        <f>_xlfn.XLOOKUP(A500, USD!A:A, USD!B:B, "")</f>
        <v>64.08</v>
      </c>
      <c r="D500">
        <f>_xlfn.XLOOKUP(A500, Brent!A:A, Brent!B:B, "")</f>
        <v>63.81</v>
      </c>
      <c r="E500">
        <f>_xlfn.XLOOKUP(
  A500,
  Repo!A:A,
  Repo!B:B,
  "",
  -1
)</f>
        <v>6</v>
      </c>
      <c r="F500" s="10">
        <f>_xlfn.XLOOKUP(
  A500,
  CPI!D:D,
  CPI!C:C,
  "",
  -1
)</f>
        <v>5.21</v>
      </c>
      <c r="G500">
        <v>28500</v>
      </c>
    </row>
    <row r="501" spans="1:7">
      <c r="A501" s="1">
        <v>43087</v>
      </c>
      <c r="B501">
        <v>28663</v>
      </c>
      <c r="C501">
        <f>_xlfn.XLOOKUP(A501, USD!A:A, USD!B:B, "")</f>
        <v>64.209999999999994</v>
      </c>
      <c r="D501">
        <f>_xlfn.XLOOKUP(A501, Brent!A:A, Brent!B:B, "")</f>
        <v>64.45</v>
      </c>
      <c r="E501">
        <f>_xlfn.XLOOKUP(
  A501,
  Repo!A:A,
  Repo!B:B,
  "",
  -1
)</f>
        <v>6</v>
      </c>
      <c r="F501" s="10">
        <f>_xlfn.XLOOKUP(
  A501,
  CPI!D:D,
  CPI!C:C,
  "",
  -1
)</f>
        <v>5.21</v>
      </c>
      <c r="G501">
        <v>28441</v>
      </c>
    </row>
    <row r="502" spans="1:7">
      <c r="A502" s="1">
        <v>43088</v>
      </c>
      <c r="B502">
        <v>28555</v>
      </c>
      <c r="C502">
        <f>_xlfn.XLOOKUP(A502, USD!A:A, USD!B:B, "")</f>
        <v>64.06</v>
      </c>
      <c r="D502">
        <f>_xlfn.XLOOKUP(A502, Brent!A:A, Brent!B:B, "")</f>
        <v>63.69</v>
      </c>
      <c r="E502">
        <f>_xlfn.XLOOKUP(
  A502,
  Repo!A:A,
  Repo!B:B,
  "",
  -1
)</f>
        <v>6</v>
      </c>
      <c r="F502" s="10">
        <f>_xlfn.XLOOKUP(
  A502,
  CPI!D:D,
  CPI!C:C,
  "",
  -1
)</f>
        <v>5.21</v>
      </c>
      <c r="G502">
        <v>28663</v>
      </c>
    </row>
    <row r="503" spans="1:7">
      <c r="A503" s="1">
        <v>43089</v>
      </c>
      <c r="B503">
        <v>28617</v>
      </c>
      <c r="C503">
        <f>_xlfn.XLOOKUP(A503, USD!A:A, USD!B:B, "")</f>
        <v>64.114999999999995</v>
      </c>
      <c r="D503">
        <f>_xlfn.XLOOKUP(A503, Brent!A:A, Brent!B:B, "")</f>
        <v>64.430000000000007</v>
      </c>
      <c r="E503">
        <f>_xlfn.XLOOKUP(
  A503,
  Repo!A:A,
  Repo!B:B,
  "",
  -1
)</f>
        <v>6</v>
      </c>
      <c r="F503" s="10">
        <f>_xlfn.XLOOKUP(
  A503,
  CPI!D:D,
  CPI!C:C,
  "",
  -1
)</f>
        <v>5.21</v>
      </c>
      <c r="G503">
        <v>28555</v>
      </c>
    </row>
    <row r="504" spans="1:7">
      <c r="A504" s="1">
        <v>43090</v>
      </c>
      <c r="B504">
        <v>28596</v>
      </c>
      <c r="C504">
        <f>_xlfn.XLOOKUP(A504, USD!A:A, USD!B:B, "")</f>
        <v>64.02</v>
      </c>
      <c r="D504">
        <f>_xlfn.XLOOKUP(A504, Brent!A:A, Brent!B:B, "")</f>
        <v>64.64</v>
      </c>
      <c r="E504">
        <f>_xlfn.XLOOKUP(
  A504,
  Repo!A:A,
  Repo!B:B,
  "",
  -1
)</f>
        <v>6</v>
      </c>
      <c r="F504" s="10">
        <f>_xlfn.XLOOKUP(
  A504,
  CPI!D:D,
  CPI!C:C,
  "",
  -1
)</f>
        <v>5.21</v>
      </c>
      <c r="G504">
        <v>28617</v>
      </c>
    </row>
    <row r="505" spans="1:7">
      <c r="A505" s="1">
        <v>43091</v>
      </c>
      <c r="B505">
        <v>28757</v>
      </c>
      <c r="C505">
        <f>_xlfn.XLOOKUP(A505, USD!A:A, USD!B:B, "")</f>
        <v>64.02</v>
      </c>
      <c r="D505">
        <f>_xlfn.XLOOKUP(A505, Brent!A:A, Brent!B:B, "")</f>
        <v>64.61</v>
      </c>
      <c r="E505">
        <f>_xlfn.XLOOKUP(
  A505,
  Repo!A:A,
  Repo!B:B,
  "",
  -1
)</f>
        <v>6</v>
      </c>
      <c r="F505" s="10">
        <f>_xlfn.XLOOKUP(
  A505,
  CPI!D:D,
  CPI!C:C,
  "",
  -1
)</f>
        <v>5.21</v>
      </c>
      <c r="G505">
        <v>28596</v>
      </c>
    </row>
    <row r="506" spans="1:7">
      <c r="A506" s="1">
        <v>43096</v>
      </c>
      <c r="B506">
        <v>29092</v>
      </c>
      <c r="C506">
        <f>_xlfn.XLOOKUP(A506, USD!A:A, USD!B:B, "")</f>
        <v>64.12</v>
      </c>
      <c r="D506">
        <f>_xlfn.XLOOKUP(A506, Brent!A:A, Brent!B:B, "")</f>
        <v>66.03</v>
      </c>
      <c r="E506">
        <f>_xlfn.XLOOKUP(
  A506,
  Repo!A:A,
  Repo!B:B,
  "",
  -1
)</f>
        <v>6</v>
      </c>
      <c r="F506" s="10">
        <f>_xlfn.XLOOKUP(
  A506,
  CPI!D:D,
  CPI!C:C,
  "",
  -1
)</f>
        <v>5.21</v>
      </c>
      <c r="G506">
        <v>28757</v>
      </c>
    </row>
    <row r="507" spans="1:7">
      <c r="A507" s="1">
        <v>43097</v>
      </c>
      <c r="B507">
        <v>29171</v>
      </c>
      <c r="C507">
        <f>_xlfn.XLOOKUP(A507, USD!A:A, USD!B:B, "")</f>
        <v>64.08</v>
      </c>
      <c r="D507">
        <f>_xlfn.XLOOKUP(A507, Brent!A:A, Brent!B:B, "")</f>
        <v>66.8</v>
      </c>
      <c r="E507">
        <f>_xlfn.XLOOKUP(
  A507,
  Repo!A:A,
  Repo!B:B,
  "",
  -1
)</f>
        <v>6</v>
      </c>
      <c r="F507" s="10">
        <f>_xlfn.XLOOKUP(
  A507,
  CPI!D:D,
  CPI!C:C,
  "",
  -1
)</f>
        <v>5.21</v>
      </c>
      <c r="G507">
        <v>29092</v>
      </c>
    </row>
    <row r="508" spans="1:7">
      <c r="A508" s="1">
        <v>43098</v>
      </c>
      <c r="B508">
        <v>29372</v>
      </c>
      <c r="C508">
        <f>_xlfn.XLOOKUP(A508, USD!A:A, USD!B:B, "")</f>
        <v>63.84</v>
      </c>
      <c r="D508">
        <f>_xlfn.XLOOKUP(A508, Brent!A:A, Brent!B:B, "")</f>
        <v>66.73</v>
      </c>
      <c r="E508">
        <f>_xlfn.XLOOKUP(
  A508,
  Repo!A:A,
  Repo!B:B,
  "",
  -1
)</f>
        <v>6</v>
      </c>
      <c r="F508" s="10">
        <f>_xlfn.XLOOKUP(
  A508,
  CPI!D:D,
  CPI!C:C,
  "",
  -1
)</f>
        <v>5.21</v>
      </c>
      <c r="G508">
        <v>29171</v>
      </c>
    </row>
    <row r="509" spans="1:7">
      <c r="A509" s="1">
        <v>43102</v>
      </c>
      <c r="B509">
        <v>29392</v>
      </c>
      <c r="C509">
        <f>_xlfn.XLOOKUP(A509, USD!A:A, USD!B:B, "")</f>
        <v>63.46</v>
      </c>
      <c r="D509">
        <f>_xlfn.XLOOKUP(A509, Brent!A:A, Brent!B:B, "")</f>
        <v>66.650000000000006</v>
      </c>
      <c r="E509">
        <f>_xlfn.XLOOKUP(
  A509,
  Repo!A:A,
  Repo!B:B,
  "",
  -1
)</f>
        <v>6</v>
      </c>
      <c r="F509" s="10">
        <f>_xlfn.XLOOKUP(
  A509,
  CPI!D:D,
  CPI!C:C,
  "",
  -1
)</f>
        <v>5.07</v>
      </c>
      <c r="G509">
        <v>29372</v>
      </c>
    </row>
    <row r="510" spans="1:7">
      <c r="A510" s="1">
        <v>43103</v>
      </c>
      <c r="B510">
        <v>29481</v>
      </c>
      <c r="C510">
        <f>_xlfn.XLOOKUP(A510, USD!A:A, USD!B:B, "")</f>
        <v>63.505000000000003</v>
      </c>
      <c r="D510">
        <f>_xlfn.XLOOKUP(A510, Brent!A:A, Brent!B:B, "")</f>
        <v>67.849999999999994</v>
      </c>
      <c r="E510">
        <f>_xlfn.XLOOKUP(
  A510,
  Repo!A:A,
  Repo!B:B,
  "",
  -1
)</f>
        <v>6</v>
      </c>
      <c r="F510" s="10">
        <f>_xlfn.XLOOKUP(
  A510,
  CPI!D:D,
  CPI!C:C,
  "",
  -1
)</f>
        <v>5.07</v>
      </c>
      <c r="G510">
        <v>29392</v>
      </c>
    </row>
    <row r="511" spans="1:7">
      <c r="A511" s="1">
        <v>43104</v>
      </c>
      <c r="B511">
        <v>29472</v>
      </c>
      <c r="C511">
        <f>_xlfn.XLOOKUP(A511, USD!A:A, USD!B:B, "")</f>
        <v>63.4</v>
      </c>
      <c r="D511">
        <f>_xlfn.XLOOKUP(A511, Brent!A:A, Brent!B:B, "")</f>
        <v>68.73</v>
      </c>
      <c r="E511">
        <f>_xlfn.XLOOKUP(
  A511,
  Repo!A:A,
  Repo!B:B,
  "",
  -1
)</f>
        <v>6</v>
      </c>
      <c r="F511" s="10">
        <f>_xlfn.XLOOKUP(
  A511,
  CPI!D:D,
  CPI!C:C,
  "",
  -1
)</f>
        <v>5.07</v>
      </c>
      <c r="G511">
        <v>29481</v>
      </c>
    </row>
    <row r="512" spans="1:7">
      <c r="A512" s="1">
        <v>43105</v>
      </c>
      <c r="B512">
        <v>29465</v>
      </c>
      <c r="C512">
        <f>_xlfn.XLOOKUP(A512, USD!A:A, USD!B:B, "")</f>
        <v>63.34</v>
      </c>
      <c r="D512">
        <f>_xlfn.XLOOKUP(A512, Brent!A:A, Brent!B:B, "")</f>
        <v>68.010000000000005</v>
      </c>
      <c r="E512">
        <f>_xlfn.XLOOKUP(
  A512,
  Repo!A:A,
  Repo!B:B,
  "",
  -1
)</f>
        <v>6</v>
      </c>
      <c r="F512" s="10">
        <f>_xlfn.XLOOKUP(
  A512,
  CPI!D:D,
  CPI!C:C,
  "",
  -1
)</f>
        <v>5.07</v>
      </c>
      <c r="G512">
        <v>29472</v>
      </c>
    </row>
    <row r="513" spans="1:7">
      <c r="A513" s="1">
        <v>43108</v>
      </c>
      <c r="B513">
        <v>29270</v>
      </c>
      <c r="C513">
        <f>_xlfn.XLOOKUP(A513, USD!A:A, USD!B:B, "")</f>
        <v>63.475000000000001</v>
      </c>
      <c r="D513">
        <f>_xlfn.XLOOKUP(A513, Brent!A:A, Brent!B:B, "")</f>
        <v>68.48</v>
      </c>
      <c r="E513">
        <f>_xlfn.XLOOKUP(
  A513,
  Repo!A:A,
  Repo!B:B,
  "",
  -1
)</f>
        <v>6</v>
      </c>
      <c r="F513" s="10">
        <f>_xlfn.XLOOKUP(
  A513,
  CPI!D:D,
  CPI!C:C,
  "",
  -1
)</f>
        <v>5.07</v>
      </c>
      <c r="G513">
        <v>29465</v>
      </c>
    </row>
    <row r="514" spans="1:7">
      <c r="A514" s="1">
        <v>43109</v>
      </c>
      <c r="B514">
        <v>29173</v>
      </c>
      <c r="C514">
        <f>_xlfn.XLOOKUP(A514, USD!A:A, USD!B:B, "")</f>
        <v>63.67</v>
      </c>
      <c r="D514">
        <f>_xlfn.XLOOKUP(A514, Brent!A:A, Brent!B:B, "")</f>
        <v>69.08</v>
      </c>
      <c r="E514">
        <f>_xlfn.XLOOKUP(
  A514,
  Repo!A:A,
  Repo!B:B,
  "",
  -1
)</f>
        <v>6</v>
      </c>
      <c r="F514" s="10">
        <f>_xlfn.XLOOKUP(
  A514,
  CPI!D:D,
  CPI!C:C,
  "",
  -1
)</f>
        <v>5.07</v>
      </c>
      <c r="G514">
        <v>29270</v>
      </c>
    </row>
    <row r="515" spans="1:7">
      <c r="A515" s="1">
        <v>43110</v>
      </c>
      <c r="B515">
        <v>29343</v>
      </c>
      <c r="C515">
        <f>_xlfn.XLOOKUP(A515, USD!A:A, USD!B:B, "")</f>
        <v>63.63</v>
      </c>
      <c r="D515">
        <f>_xlfn.XLOOKUP(A515, Brent!A:A, Brent!B:B, "")</f>
        <v>69.790000000000006</v>
      </c>
      <c r="E515">
        <f>_xlfn.XLOOKUP(
  A515,
  Repo!A:A,
  Repo!B:B,
  "",
  -1
)</f>
        <v>6</v>
      </c>
      <c r="F515" s="10">
        <f>_xlfn.XLOOKUP(
  A515,
  CPI!D:D,
  CPI!C:C,
  "",
  -1
)</f>
        <v>5.07</v>
      </c>
      <c r="G515">
        <v>29173</v>
      </c>
    </row>
    <row r="516" spans="1:7">
      <c r="A516" s="1">
        <v>43111</v>
      </c>
      <c r="B516">
        <v>29404</v>
      </c>
      <c r="C516">
        <f>_xlfn.XLOOKUP(A516, USD!A:A, USD!B:B, "")</f>
        <v>63.69</v>
      </c>
      <c r="D516">
        <f>_xlfn.XLOOKUP(A516, Brent!A:A, Brent!B:B, "")</f>
        <v>70.36</v>
      </c>
      <c r="E516">
        <f>_xlfn.XLOOKUP(
  A516,
  Repo!A:A,
  Repo!B:B,
  "",
  -1
)</f>
        <v>6</v>
      </c>
      <c r="F516" s="10">
        <f>_xlfn.XLOOKUP(
  A516,
  CPI!D:D,
  CPI!C:C,
  "",
  -1
)</f>
        <v>5.07</v>
      </c>
      <c r="G516">
        <v>29343</v>
      </c>
    </row>
    <row r="517" spans="1:7">
      <c r="A517" s="1">
        <v>43112</v>
      </c>
      <c r="B517">
        <v>29553</v>
      </c>
      <c r="C517">
        <f>_xlfn.XLOOKUP(A517, USD!A:A, USD!B:B, "")</f>
        <v>63.61</v>
      </c>
      <c r="D517">
        <f>_xlfn.XLOOKUP(A517, Brent!A:A, Brent!B:B, "")</f>
        <v>69.64</v>
      </c>
      <c r="E517">
        <f>_xlfn.XLOOKUP(
  A517,
  Repo!A:A,
  Repo!B:B,
  "",
  -1
)</f>
        <v>6</v>
      </c>
      <c r="F517" s="10">
        <f>_xlfn.XLOOKUP(
  A517,
  CPI!D:D,
  CPI!C:C,
  "",
  -1
)</f>
        <v>5.07</v>
      </c>
      <c r="G517">
        <v>29404</v>
      </c>
    </row>
    <row r="518" spans="1:7">
      <c r="A518" s="1">
        <v>43115</v>
      </c>
      <c r="B518">
        <v>29763</v>
      </c>
      <c r="C518">
        <f>_xlfn.XLOOKUP(A518, USD!A:A, USD!B:B, "")</f>
        <v>63.515000000000001</v>
      </c>
      <c r="D518">
        <f>_xlfn.XLOOKUP(A518, Brent!A:A, Brent!B:B, "")</f>
        <v>70.31</v>
      </c>
      <c r="E518">
        <f>_xlfn.XLOOKUP(
  A518,
  Repo!A:A,
  Repo!B:B,
  "",
  -1
)</f>
        <v>6</v>
      </c>
      <c r="F518" s="10">
        <f>_xlfn.XLOOKUP(
  A518,
  CPI!D:D,
  CPI!C:C,
  "",
  -1
)</f>
        <v>5.07</v>
      </c>
      <c r="G518">
        <v>29553</v>
      </c>
    </row>
    <row r="519" spans="1:7">
      <c r="A519" s="1">
        <v>43116</v>
      </c>
      <c r="B519">
        <v>29830</v>
      </c>
      <c r="C519">
        <f>_xlfn.XLOOKUP(A519, USD!A:A, USD!B:B, "")</f>
        <v>64.02</v>
      </c>
      <c r="D519">
        <f>_xlfn.XLOOKUP(A519, Brent!A:A, Brent!B:B, "")</f>
        <v>69.400000000000006</v>
      </c>
      <c r="E519">
        <f>_xlfn.XLOOKUP(
  A519,
  Repo!A:A,
  Repo!B:B,
  "",
  -1
)</f>
        <v>6</v>
      </c>
      <c r="F519" s="10">
        <f>_xlfn.XLOOKUP(
  A519,
  CPI!D:D,
  CPI!C:C,
  "",
  -1
)</f>
        <v>5.07</v>
      </c>
      <c r="G519">
        <v>29763</v>
      </c>
    </row>
    <row r="520" spans="1:7">
      <c r="A520" s="1">
        <v>43117</v>
      </c>
      <c r="B520">
        <v>29761</v>
      </c>
      <c r="C520">
        <f>_xlfn.XLOOKUP(A520, USD!A:A, USD!B:B, "")</f>
        <v>63.884999999999998</v>
      </c>
      <c r="D520">
        <f>_xlfn.XLOOKUP(A520, Brent!A:A, Brent!B:B, "")</f>
        <v>69.19</v>
      </c>
      <c r="E520">
        <f>_xlfn.XLOOKUP(
  A520,
  Repo!A:A,
  Repo!B:B,
  "",
  -1
)</f>
        <v>6</v>
      </c>
      <c r="F520" s="10">
        <f>_xlfn.XLOOKUP(
  A520,
  CPI!D:D,
  CPI!C:C,
  "",
  -1
)</f>
        <v>5.07</v>
      </c>
      <c r="G520">
        <v>29830</v>
      </c>
    </row>
    <row r="521" spans="1:7">
      <c r="A521" s="1">
        <v>43118</v>
      </c>
      <c r="B521">
        <v>29644</v>
      </c>
      <c r="C521">
        <f>_xlfn.XLOOKUP(A521, USD!A:A, USD!B:B, "")</f>
        <v>63.87</v>
      </c>
      <c r="D521">
        <f>_xlfn.XLOOKUP(A521, Brent!A:A, Brent!B:B, "")</f>
        <v>69.48</v>
      </c>
      <c r="E521">
        <f>_xlfn.XLOOKUP(
  A521,
  Repo!A:A,
  Repo!B:B,
  "",
  -1
)</f>
        <v>6</v>
      </c>
      <c r="F521" s="10">
        <f>_xlfn.XLOOKUP(
  A521,
  CPI!D:D,
  CPI!C:C,
  "",
  -1
)</f>
        <v>5.07</v>
      </c>
      <c r="G521">
        <v>29761</v>
      </c>
    </row>
    <row r="522" spans="1:7">
      <c r="A522" s="1">
        <v>43119</v>
      </c>
      <c r="B522">
        <v>29743</v>
      </c>
      <c r="C522">
        <f>_xlfn.XLOOKUP(A522, USD!A:A, USD!B:B, "")</f>
        <v>63.83</v>
      </c>
      <c r="D522">
        <f>_xlfn.XLOOKUP(A522, Brent!A:A, Brent!B:B, "")</f>
        <v>68.56</v>
      </c>
      <c r="E522">
        <f>_xlfn.XLOOKUP(
  A522,
  Repo!A:A,
  Repo!B:B,
  "",
  -1
)</f>
        <v>6</v>
      </c>
      <c r="F522" s="10">
        <f>_xlfn.XLOOKUP(
  A522,
  CPI!D:D,
  CPI!C:C,
  "",
  -1
)</f>
        <v>5.07</v>
      </c>
      <c r="G522">
        <v>29644</v>
      </c>
    </row>
    <row r="523" spans="1:7">
      <c r="A523" s="1">
        <v>43122</v>
      </c>
      <c r="B523">
        <v>29806</v>
      </c>
      <c r="C523">
        <f>_xlfn.XLOOKUP(A523, USD!A:A, USD!B:B, "")</f>
        <v>63.89</v>
      </c>
      <c r="D523">
        <f>_xlfn.XLOOKUP(A523, Brent!A:A, Brent!B:B, "")</f>
        <v>69.319999999999993</v>
      </c>
      <c r="E523">
        <f>_xlfn.XLOOKUP(
  A523,
  Repo!A:A,
  Repo!B:B,
  "",
  -1
)</f>
        <v>6</v>
      </c>
      <c r="F523" s="10">
        <f>_xlfn.XLOOKUP(
  A523,
  CPI!D:D,
  CPI!C:C,
  "",
  -1
)</f>
        <v>5.07</v>
      </c>
      <c r="G523">
        <v>29743</v>
      </c>
    </row>
    <row r="524" spans="1:7">
      <c r="A524" s="1">
        <v>43123</v>
      </c>
      <c r="B524">
        <v>29876</v>
      </c>
      <c r="C524">
        <f>_xlfn.XLOOKUP(A524, USD!A:A, USD!B:B, "")</f>
        <v>63.76</v>
      </c>
      <c r="D524">
        <f>_xlfn.XLOOKUP(A524, Brent!A:A, Brent!B:B, "")</f>
        <v>69.81</v>
      </c>
      <c r="E524">
        <f>_xlfn.XLOOKUP(
  A524,
  Repo!A:A,
  Repo!B:B,
  "",
  -1
)</f>
        <v>6</v>
      </c>
      <c r="F524" s="10">
        <f>_xlfn.XLOOKUP(
  A524,
  CPI!D:D,
  CPI!C:C,
  "",
  -1
)</f>
        <v>5.07</v>
      </c>
      <c r="G524">
        <v>29806</v>
      </c>
    </row>
    <row r="525" spans="1:7">
      <c r="A525" s="1">
        <v>43124</v>
      </c>
      <c r="B525">
        <v>30244</v>
      </c>
      <c r="C525">
        <f>_xlfn.XLOOKUP(A525, USD!A:A, USD!B:B, "")</f>
        <v>63.66</v>
      </c>
      <c r="D525">
        <f>_xlfn.XLOOKUP(A525, Brent!A:A, Brent!B:B, "")</f>
        <v>69.91</v>
      </c>
      <c r="E525">
        <f>_xlfn.XLOOKUP(
  A525,
  Repo!A:A,
  Repo!B:B,
  "",
  -1
)</f>
        <v>6</v>
      </c>
      <c r="F525" s="10">
        <f>_xlfn.XLOOKUP(
  A525,
  CPI!D:D,
  CPI!C:C,
  "",
  -1
)</f>
        <v>5.07</v>
      </c>
      <c r="G525">
        <v>29876</v>
      </c>
    </row>
    <row r="526" spans="1:7">
      <c r="A526" s="1">
        <v>43125</v>
      </c>
      <c r="B526">
        <v>30367</v>
      </c>
      <c r="C526">
        <f>_xlfn.XLOOKUP(A526, USD!A:A, USD!B:B, "")</f>
        <v>63.515000000000001</v>
      </c>
      <c r="D526">
        <f>_xlfn.XLOOKUP(A526, Brent!A:A, Brent!B:B, "")</f>
        <v>71.08</v>
      </c>
      <c r="E526">
        <f>_xlfn.XLOOKUP(
  A526,
  Repo!A:A,
  Repo!B:B,
  "",
  -1
)</f>
        <v>6</v>
      </c>
      <c r="F526" s="10">
        <f>_xlfn.XLOOKUP(
  A526,
  CPI!D:D,
  CPI!C:C,
  "",
  -1
)</f>
        <v>5.07</v>
      </c>
      <c r="G526">
        <v>30244</v>
      </c>
    </row>
    <row r="527" spans="1:7">
      <c r="A527" s="1">
        <v>43129</v>
      </c>
      <c r="B527">
        <v>30074</v>
      </c>
      <c r="C527">
        <f>_xlfn.XLOOKUP(A527, USD!A:A, USD!B:B, "")</f>
        <v>63.6</v>
      </c>
      <c r="D527">
        <f>_xlfn.XLOOKUP(A527, Brent!A:A, Brent!B:B, "")</f>
        <v>68.41</v>
      </c>
      <c r="E527">
        <f>_xlfn.XLOOKUP(
  A527,
  Repo!A:A,
  Repo!B:B,
  "",
  -1
)</f>
        <v>6</v>
      </c>
      <c r="F527" s="10">
        <f>_xlfn.XLOOKUP(
  A527,
  CPI!D:D,
  CPI!C:C,
  "",
  -1
)</f>
        <v>5.07</v>
      </c>
      <c r="G527">
        <v>30367</v>
      </c>
    </row>
    <row r="528" spans="1:7">
      <c r="A528" s="1">
        <v>43130</v>
      </c>
      <c r="B528">
        <v>30052</v>
      </c>
      <c r="C528">
        <f>_xlfn.XLOOKUP(A528, USD!A:A, USD!B:B, "")</f>
        <v>63.69</v>
      </c>
      <c r="D528">
        <f>_xlfn.XLOOKUP(A528, Brent!A:A, Brent!B:B, "")</f>
        <v>67.78</v>
      </c>
      <c r="E528">
        <f>_xlfn.XLOOKUP(
  A528,
  Repo!A:A,
  Repo!B:B,
  "",
  -1
)</f>
        <v>6</v>
      </c>
      <c r="F528" s="10">
        <f>_xlfn.XLOOKUP(
  A528,
  CPI!D:D,
  CPI!C:C,
  "",
  -1
)</f>
        <v>5.07</v>
      </c>
      <c r="G528">
        <v>30074</v>
      </c>
    </row>
    <row r="529" spans="1:7">
      <c r="A529" s="1">
        <v>43131</v>
      </c>
      <c r="B529">
        <v>30064</v>
      </c>
      <c r="C529">
        <f>_xlfn.XLOOKUP(A529, USD!A:A, USD!B:B, "")</f>
        <v>63.55</v>
      </c>
      <c r="D529">
        <f>_xlfn.XLOOKUP(A529, Brent!A:A, Brent!B:B, "")</f>
        <v>67.78</v>
      </c>
      <c r="E529">
        <f>_xlfn.XLOOKUP(
  A529,
  Repo!A:A,
  Repo!B:B,
  "",
  -1
)</f>
        <v>6</v>
      </c>
      <c r="F529" s="10">
        <f>_xlfn.XLOOKUP(
  A529,
  CPI!D:D,
  CPI!C:C,
  "",
  -1
)</f>
        <v>5.07</v>
      </c>
      <c r="G529">
        <v>30052</v>
      </c>
    </row>
    <row r="530" spans="1:7">
      <c r="A530" s="1">
        <v>43132</v>
      </c>
      <c r="B530">
        <v>30512</v>
      </c>
      <c r="C530">
        <f>_xlfn.XLOOKUP(A530, USD!A:A, USD!B:B, "")</f>
        <v>63.98</v>
      </c>
      <c r="D530">
        <f>_xlfn.XLOOKUP(A530, Brent!A:A, Brent!B:B, "")</f>
        <v>68.599999999999994</v>
      </c>
      <c r="E530">
        <f>_xlfn.XLOOKUP(
  A530,
  Repo!A:A,
  Repo!B:B,
  "",
  -1
)</f>
        <v>6</v>
      </c>
      <c r="F530" s="10">
        <f>_xlfn.XLOOKUP(
  A530,
  CPI!D:D,
  CPI!C:C,
  "",
  -1
)</f>
        <v>4.4400000000000004</v>
      </c>
      <c r="G530">
        <v>30064</v>
      </c>
    </row>
    <row r="531" spans="1:7">
      <c r="A531" s="1">
        <v>43133</v>
      </c>
      <c r="B531">
        <v>30399</v>
      </c>
      <c r="C531">
        <f>_xlfn.XLOOKUP(A531, USD!A:A, USD!B:B, "")</f>
        <v>64.13</v>
      </c>
      <c r="D531">
        <f>_xlfn.XLOOKUP(A531, Brent!A:A, Brent!B:B, "")</f>
        <v>67.45</v>
      </c>
      <c r="E531">
        <f>_xlfn.XLOOKUP(
  A531,
  Repo!A:A,
  Repo!B:B,
  "",
  -1
)</f>
        <v>6</v>
      </c>
      <c r="F531" s="10">
        <f>_xlfn.XLOOKUP(
  A531,
  CPI!D:D,
  CPI!C:C,
  "",
  -1
)</f>
        <v>4.4400000000000004</v>
      </c>
      <c r="G531">
        <v>30512</v>
      </c>
    </row>
    <row r="532" spans="1:7">
      <c r="A532" s="1">
        <v>43136</v>
      </c>
      <c r="B532">
        <v>30286</v>
      </c>
      <c r="C532">
        <f>_xlfn.XLOOKUP(A532, USD!A:A, USD!B:B, "")</f>
        <v>64.14</v>
      </c>
      <c r="D532">
        <f>_xlfn.XLOOKUP(A532, Brent!A:A, Brent!B:B, "")</f>
        <v>67.69</v>
      </c>
      <c r="E532">
        <f>_xlfn.XLOOKUP(
  A532,
  Repo!A:A,
  Repo!B:B,
  "",
  -1
)</f>
        <v>6</v>
      </c>
      <c r="F532" s="10">
        <f>_xlfn.XLOOKUP(
  A532,
  CPI!D:D,
  CPI!C:C,
  "",
  -1
)</f>
        <v>4.4400000000000004</v>
      </c>
      <c r="G532">
        <v>30399</v>
      </c>
    </row>
    <row r="533" spans="1:7">
      <c r="A533" s="1">
        <v>43137</v>
      </c>
      <c r="B533">
        <v>30182</v>
      </c>
      <c r="C533">
        <f>_xlfn.XLOOKUP(A533, USD!A:A, USD!B:B, "")</f>
        <v>64.23</v>
      </c>
      <c r="D533">
        <f>_xlfn.XLOOKUP(A533, Brent!A:A, Brent!B:B, "")</f>
        <v>66.75</v>
      </c>
      <c r="E533">
        <f>_xlfn.XLOOKUP(
  A533,
  Repo!A:A,
  Repo!B:B,
  "",
  -1
)</f>
        <v>6</v>
      </c>
      <c r="F533" s="10">
        <f>_xlfn.XLOOKUP(
  A533,
  CPI!D:D,
  CPI!C:C,
  "",
  -1
)</f>
        <v>4.4400000000000004</v>
      </c>
      <c r="G533">
        <v>30286</v>
      </c>
    </row>
    <row r="534" spans="1:7">
      <c r="A534" s="1">
        <v>43138</v>
      </c>
      <c r="B534">
        <v>29976</v>
      </c>
      <c r="C534">
        <f>_xlfn.XLOOKUP(A534, USD!A:A, USD!B:B, "")</f>
        <v>64.28</v>
      </c>
      <c r="D534">
        <f>_xlfn.XLOOKUP(A534, Brent!A:A, Brent!B:B, "")</f>
        <v>65.739999999999995</v>
      </c>
      <c r="E534">
        <f>_xlfn.XLOOKUP(
  A534,
  Repo!A:A,
  Repo!B:B,
  "",
  -1
)</f>
        <v>6</v>
      </c>
      <c r="F534" s="10">
        <f>_xlfn.XLOOKUP(
  A534,
  CPI!D:D,
  CPI!C:C,
  "",
  -1
)</f>
        <v>4.4400000000000004</v>
      </c>
      <c r="G534">
        <v>30182</v>
      </c>
    </row>
    <row r="535" spans="1:7">
      <c r="A535" s="1">
        <v>43139</v>
      </c>
      <c r="B535">
        <v>30103</v>
      </c>
      <c r="C535">
        <f>_xlfn.XLOOKUP(A535, USD!A:A, USD!B:B, "")</f>
        <v>64.3</v>
      </c>
      <c r="D535">
        <f>_xlfn.XLOOKUP(A535, Brent!A:A, Brent!B:B, "")</f>
        <v>64.260000000000005</v>
      </c>
      <c r="E535">
        <f>_xlfn.XLOOKUP(
  A535,
  Repo!A:A,
  Repo!B:B,
  "",
  -1
)</f>
        <v>6</v>
      </c>
      <c r="F535" s="10">
        <f>_xlfn.XLOOKUP(
  A535,
  CPI!D:D,
  CPI!C:C,
  "",
  -1
)</f>
        <v>4.4400000000000004</v>
      </c>
      <c r="G535">
        <v>29976</v>
      </c>
    </row>
    <row r="536" spans="1:7">
      <c r="A536" s="1">
        <v>43140</v>
      </c>
      <c r="B536">
        <v>29999</v>
      </c>
      <c r="C536">
        <f>_xlfn.XLOOKUP(A536, USD!A:A, USD!B:B, "")</f>
        <v>64.375</v>
      </c>
      <c r="D536">
        <f>_xlfn.XLOOKUP(A536, Brent!A:A, Brent!B:B, "")</f>
        <v>63.04</v>
      </c>
      <c r="E536">
        <f>_xlfn.XLOOKUP(
  A536,
  Repo!A:A,
  Repo!B:B,
  "",
  -1
)</f>
        <v>6</v>
      </c>
      <c r="F536" s="10">
        <f>_xlfn.XLOOKUP(
  A536,
  CPI!D:D,
  CPI!C:C,
  "",
  -1
)</f>
        <v>4.4400000000000004</v>
      </c>
      <c r="G536">
        <v>30103</v>
      </c>
    </row>
    <row r="537" spans="1:7">
      <c r="A537" s="1">
        <v>43143</v>
      </c>
      <c r="B537">
        <v>30133</v>
      </c>
      <c r="C537">
        <f>_xlfn.XLOOKUP(A537, USD!A:A, USD!B:B, "")</f>
        <v>64.28</v>
      </c>
      <c r="D537">
        <f>_xlfn.XLOOKUP(A537, Brent!A:A, Brent!B:B, "")</f>
        <v>62.2</v>
      </c>
      <c r="E537">
        <f>_xlfn.XLOOKUP(
  A537,
  Repo!A:A,
  Repo!B:B,
  "",
  -1
)</f>
        <v>6</v>
      </c>
      <c r="F537" s="10">
        <f>_xlfn.XLOOKUP(
  A537,
  CPI!D:D,
  CPI!C:C,
  "",
  -1
)</f>
        <v>4.4400000000000004</v>
      </c>
      <c r="G537">
        <v>29999</v>
      </c>
    </row>
    <row r="538" spans="1:7">
      <c r="A538" s="1">
        <v>43144</v>
      </c>
      <c r="B538">
        <v>30195</v>
      </c>
      <c r="C538">
        <f>_xlfn.XLOOKUP(A538, USD!A:A, USD!B:B, "")</f>
        <v>64.265000000000001</v>
      </c>
      <c r="D538">
        <f>_xlfn.XLOOKUP(A538, Brent!A:A, Brent!B:B, "")</f>
        <v>61.94</v>
      </c>
      <c r="E538">
        <f>_xlfn.XLOOKUP(
  A538,
  Repo!A:A,
  Repo!B:B,
  "",
  -1
)</f>
        <v>6</v>
      </c>
      <c r="F538" s="10">
        <f>_xlfn.XLOOKUP(
  A538,
  CPI!D:D,
  CPI!C:C,
  "",
  -1
)</f>
        <v>4.4400000000000004</v>
      </c>
      <c r="G538">
        <v>30133</v>
      </c>
    </row>
    <row r="539" spans="1:7">
      <c r="A539" s="1">
        <v>43145</v>
      </c>
      <c r="B539">
        <v>30605</v>
      </c>
      <c r="C539">
        <f>_xlfn.XLOOKUP(A539, USD!A:A, USD!B:B, "")</f>
        <v>64.099999999999994</v>
      </c>
      <c r="D539">
        <f>_xlfn.XLOOKUP(A539, Brent!A:A, Brent!B:B, "")</f>
        <v>62.29</v>
      </c>
      <c r="E539">
        <f>_xlfn.XLOOKUP(
  A539,
  Repo!A:A,
  Repo!B:B,
  "",
  -1
)</f>
        <v>6</v>
      </c>
      <c r="F539" s="10">
        <f>_xlfn.XLOOKUP(
  A539,
  CPI!D:D,
  CPI!C:C,
  "",
  -1
)</f>
        <v>4.4400000000000004</v>
      </c>
      <c r="G539">
        <v>30195</v>
      </c>
    </row>
    <row r="540" spans="1:7">
      <c r="A540" s="1">
        <v>43146</v>
      </c>
      <c r="B540">
        <v>30549</v>
      </c>
      <c r="C540">
        <f>_xlfn.XLOOKUP(A540, USD!A:A, USD!B:B, "")</f>
        <v>63.9</v>
      </c>
      <c r="D540">
        <f>_xlfn.XLOOKUP(A540, Brent!A:A, Brent!B:B, "")</f>
        <v>62.86</v>
      </c>
      <c r="E540">
        <f>_xlfn.XLOOKUP(
  A540,
  Repo!A:A,
  Repo!B:B,
  "",
  -1
)</f>
        <v>6</v>
      </c>
      <c r="F540" s="10">
        <f>_xlfn.XLOOKUP(
  A540,
  CPI!D:D,
  CPI!C:C,
  "",
  -1
)</f>
        <v>4.4400000000000004</v>
      </c>
      <c r="G540">
        <v>30605</v>
      </c>
    </row>
    <row r="541" spans="1:7">
      <c r="A541" s="1">
        <v>43147</v>
      </c>
      <c r="B541">
        <v>30785</v>
      </c>
      <c r="C541">
        <f>_xlfn.XLOOKUP(A541, USD!A:A, USD!B:B, "")</f>
        <v>64.215000000000003</v>
      </c>
      <c r="D541">
        <f>_xlfn.XLOOKUP(A541, Brent!A:A, Brent!B:B, "")</f>
        <v>64.3</v>
      </c>
      <c r="E541">
        <f>_xlfn.XLOOKUP(
  A541,
  Repo!A:A,
  Repo!B:B,
  "",
  -1
)</f>
        <v>6</v>
      </c>
      <c r="F541" s="10">
        <f>_xlfn.XLOOKUP(
  A541,
  CPI!D:D,
  CPI!C:C,
  "",
  -1
)</f>
        <v>4.4400000000000004</v>
      </c>
      <c r="G541">
        <v>30549</v>
      </c>
    </row>
    <row r="542" spans="1:7">
      <c r="A542" s="1">
        <v>43150</v>
      </c>
      <c r="B542">
        <v>30715</v>
      </c>
      <c r="C542">
        <f>_xlfn.XLOOKUP(A542, USD!A:A, USD!B:B, "")</f>
        <v>64.25</v>
      </c>
      <c r="D542">
        <f>_xlfn.XLOOKUP(A542, Brent!A:A, Brent!B:B, "")</f>
        <v>64.95</v>
      </c>
      <c r="E542">
        <f>_xlfn.XLOOKUP(
  A542,
  Repo!A:A,
  Repo!B:B,
  "",
  -1
)</f>
        <v>6</v>
      </c>
      <c r="F542" s="10">
        <f>_xlfn.XLOOKUP(
  A542,
  CPI!D:D,
  CPI!C:C,
  "",
  -1
)</f>
        <v>4.4400000000000004</v>
      </c>
      <c r="G542">
        <v>30785</v>
      </c>
    </row>
    <row r="543" spans="1:7">
      <c r="A543" s="1">
        <v>43151</v>
      </c>
      <c r="B543">
        <v>30524</v>
      </c>
      <c r="C543">
        <f>_xlfn.XLOOKUP(A543, USD!A:A, USD!B:B, "")</f>
        <v>64.86</v>
      </c>
      <c r="D543">
        <f>_xlfn.XLOOKUP(A543, Brent!A:A, Brent!B:B, "")</f>
        <v>64.680000000000007</v>
      </c>
      <c r="E543">
        <f>_xlfn.XLOOKUP(
  A543,
  Repo!A:A,
  Repo!B:B,
  "",
  -1
)</f>
        <v>6</v>
      </c>
      <c r="F543" s="10">
        <f>_xlfn.XLOOKUP(
  A543,
  CPI!D:D,
  CPI!C:C,
  "",
  -1
)</f>
        <v>4.4400000000000004</v>
      </c>
      <c r="G543">
        <v>30715</v>
      </c>
    </row>
    <row r="544" spans="1:7">
      <c r="A544" s="1">
        <v>43152</v>
      </c>
      <c r="B544">
        <v>30459</v>
      </c>
      <c r="C544">
        <f>_xlfn.XLOOKUP(A544, USD!A:A, USD!B:B, "")</f>
        <v>64.805000000000007</v>
      </c>
      <c r="D544">
        <f>_xlfn.XLOOKUP(A544, Brent!A:A, Brent!B:B, "")</f>
        <v>64.81</v>
      </c>
      <c r="E544">
        <f>_xlfn.XLOOKUP(
  A544,
  Repo!A:A,
  Repo!B:B,
  "",
  -1
)</f>
        <v>6</v>
      </c>
      <c r="F544" s="10">
        <f>_xlfn.XLOOKUP(
  A544,
  CPI!D:D,
  CPI!C:C,
  "",
  -1
)</f>
        <v>4.4400000000000004</v>
      </c>
      <c r="G544">
        <v>30524</v>
      </c>
    </row>
    <row r="545" spans="1:7">
      <c r="A545" s="1">
        <v>43153</v>
      </c>
      <c r="B545">
        <v>30564</v>
      </c>
      <c r="C545">
        <f>_xlfn.XLOOKUP(A545, USD!A:A, USD!B:B, "")</f>
        <v>64.974999999999994</v>
      </c>
      <c r="D545">
        <f>_xlfn.XLOOKUP(A545, Brent!A:A, Brent!B:B, "")</f>
        <v>66.12</v>
      </c>
      <c r="E545">
        <f>_xlfn.XLOOKUP(
  A545,
  Repo!A:A,
  Repo!B:B,
  "",
  -1
)</f>
        <v>6</v>
      </c>
      <c r="F545" s="10">
        <f>_xlfn.XLOOKUP(
  A545,
  CPI!D:D,
  CPI!C:C,
  "",
  -1
)</f>
        <v>4.4400000000000004</v>
      </c>
      <c r="G545">
        <v>30459</v>
      </c>
    </row>
    <row r="546" spans="1:7">
      <c r="A546" s="1">
        <v>43154</v>
      </c>
      <c r="B546">
        <v>30492</v>
      </c>
      <c r="C546">
        <f>_xlfn.XLOOKUP(A546, USD!A:A, USD!B:B, "")</f>
        <v>64.709999999999994</v>
      </c>
      <c r="D546">
        <f>_xlfn.XLOOKUP(A546, Brent!A:A, Brent!B:B, "")</f>
        <v>67.040000000000006</v>
      </c>
      <c r="E546">
        <f>_xlfn.XLOOKUP(
  A546,
  Repo!A:A,
  Repo!B:B,
  "",
  -1
)</f>
        <v>6</v>
      </c>
      <c r="F546" s="10">
        <f>_xlfn.XLOOKUP(
  A546,
  CPI!D:D,
  CPI!C:C,
  "",
  -1
)</f>
        <v>4.4400000000000004</v>
      </c>
      <c r="G546">
        <v>30564</v>
      </c>
    </row>
    <row r="547" spans="1:7">
      <c r="A547" s="1">
        <v>43157</v>
      </c>
      <c r="B547">
        <v>30518</v>
      </c>
      <c r="C547">
        <f>_xlfn.XLOOKUP(A547, USD!A:A, USD!B:B, "")</f>
        <v>64.77</v>
      </c>
      <c r="D547">
        <f>_xlfn.XLOOKUP(A547, Brent!A:A, Brent!B:B, "")</f>
        <v>67.959999999999994</v>
      </c>
      <c r="E547">
        <f>_xlfn.XLOOKUP(
  A547,
  Repo!A:A,
  Repo!B:B,
  "",
  -1
)</f>
        <v>6</v>
      </c>
      <c r="F547" s="10">
        <f>_xlfn.XLOOKUP(
  A547,
  CPI!D:D,
  CPI!C:C,
  "",
  -1
)</f>
        <v>4.4400000000000004</v>
      </c>
      <c r="G547">
        <v>30492</v>
      </c>
    </row>
    <row r="548" spans="1:7">
      <c r="A548" s="1">
        <v>43158</v>
      </c>
      <c r="B548">
        <v>30306</v>
      </c>
      <c r="C548">
        <f>_xlfn.XLOOKUP(A548, USD!A:A, USD!B:B, "")</f>
        <v>64.92</v>
      </c>
      <c r="D548">
        <f>_xlfn.XLOOKUP(A548, Brent!A:A, Brent!B:B, "")</f>
        <v>67.59</v>
      </c>
      <c r="E548">
        <f>_xlfn.XLOOKUP(
  A548,
  Repo!A:A,
  Repo!B:B,
  "",
  -1
)</f>
        <v>6</v>
      </c>
      <c r="F548" s="10">
        <f>_xlfn.XLOOKUP(
  A548,
  CPI!D:D,
  CPI!C:C,
  "",
  -1
)</f>
        <v>4.4400000000000004</v>
      </c>
      <c r="G548">
        <v>30518</v>
      </c>
    </row>
    <row r="549" spans="1:7">
      <c r="A549" s="1">
        <v>43159</v>
      </c>
      <c r="B549">
        <v>30423</v>
      </c>
      <c r="C549">
        <f>_xlfn.XLOOKUP(A549, USD!A:A, USD!B:B, "")</f>
        <v>65.209999999999994</v>
      </c>
      <c r="D549">
        <f>_xlfn.XLOOKUP(A549, Brent!A:A, Brent!B:B, "")</f>
        <v>66.08</v>
      </c>
      <c r="E549">
        <f>_xlfn.XLOOKUP(
  A549,
  Repo!A:A,
  Repo!B:B,
  "",
  -1
)</f>
        <v>6</v>
      </c>
      <c r="F549" s="10">
        <f>_xlfn.XLOOKUP(
  A549,
  CPI!D:D,
  CPI!C:C,
  "",
  -1
)</f>
        <v>4.4400000000000004</v>
      </c>
      <c r="G549">
        <v>30306</v>
      </c>
    </row>
    <row r="550" spans="1:7">
      <c r="A550" s="1">
        <v>43160</v>
      </c>
      <c r="B550">
        <v>30181</v>
      </c>
      <c r="C550">
        <f>_xlfn.XLOOKUP(A550, USD!A:A, USD!B:B, "")</f>
        <v>65.23</v>
      </c>
      <c r="D550">
        <f>_xlfn.XLOOKUP(A550, Brent!A:A, Brent!B:B, "")</f>
        <v>64.23</v>
      </c>
      <c r="E550">
        <f>_xlfn.XLOOKUP(
  A550,
  Repo!A:A,
  Repo!B:B,
  "",
  -1
)</f>
        <v>6</v>
      </c>
      <c r="F550" s="10">
        <f>_xlfn.XLOOKUP(
  A550,
  CPI!D:D,
  CPI!C:C,
  "",
  -1
)</f>
        <v>4.28</v>
      </c>
      <c r="G550">
        <v>30423</v>
      </c>
    </row>
    <row r="551" spans="1:7">
      <c r="A551" s="1">
        <v>43161</v>
      </c>
      <c r="B551">
        <v>30473</v>
      </c>
      <c r="C551">
        <f>_xlfn.XLOOKUP(A551, USD!A:A, USD!B:B, "")</f>
        <v>65.22</v>
      </c>
      <c r="D551">
        <f>_xlfn.XLOOKUP(A551, Brent!A:A, Brent!B:B, "")</f>
        <v>64.260000000000005</v>
      </c>
      <c r="E551">
        <f>_xlfn.XLOOKUP(
  A551,
  Repo!A:A,
  Repo!B:B,
  "",
  -1
)</f>
        <v>6</v>
      </c>
      <c r="F551" s="10">
        <f>_xlfn.XLOOKUP(
  A551,
  CPI!D:D,
  CPI!C:C,
  "",
  -1
)</f>
        <v>4.28</v>
      </c>
      <c r="G551">
        <v>30181</v>
      </c>
    </row>
    <row r="552" spans="1:7">
      <c r="A552" s="1">
        <v>43164</v>
      </c>
      <c r="B552">
        <v>30429</v>
      </c>
      <c r="C552">
        <f>_xlfn.XLOOKUP(A552, USD!A:A, USD!B:B, "")</f>
        <v>65.025000000000006</v>
      </c>
      <c r="D552">
        <f>_xlfn.XLOOKUP(A552, Brent!A:A, Brent!B:B, "")</f>
        <v>65.78</v>
      </c>
      <c r="E552">
        <f>_xlfn.XLOOKUP(
  A552,
  Repo!A:A,
  Repo!B:B,
  "",
  -1
)</f>
        <v>6</v>
      </c>
      <c r="F552" s="10">
        <f>_xlfn.XLOOKUP(
  A552,
  CPI!D:D,
  CPI!C:C,
  "",
  -1
)</f>
        <v>4.28</v>
      </c>
      <c r="G552">
        <v>30473</v>
      </c>
    </row>
    <row r="553" spans="1:7">
      <c r="A553" s="1">
        <v>43165</v>
      </c>
      <c r="B553">
        <v>30568</v>
      </c>
      <c r="C553">
        <f>_xlfn.XLOOKUP(A553, USD!A:A, USD!B:B, "")</f>
        <v>64.905000000000001</v>
      </c>
      <c r="D553">
        <f>_xlfn.XLOOKUP(A553, Brent!A:A, Brent!B:B, "")</f>
        <v>65.67</v>
      </c>
      <c r="E553">
        <f>_xlfn.XLOOKUP(
  A553,
  Repo!A:A,
  Repo!B:B,
  "",
  -1
)</f>
        <v>6</v>
      </c>
      <c r="F553" s="10">
        <f>_xlfn.XLOOKUP(
  A553,
  CPI!D:D,
  CPI!C:C,
  "",
  -1
)</f>
        <v>4.28</v>
      </c>
      <c r="G553">
        <v>30429</v>
      </c>
    </row>
    <row r="554" spans="1:7">
      <c r="A554" s="1">
        <v>43166</v>
      </c>
      <c r="B554">
        <v>30461</v>
      </c>
      <c r="C554">
        <f>_xlfn.XLOOKUP(A554, USD!A:A, USD!B:B, "")</f>
        <v>64.88</v>
      </c>
      <c r="D554">
        <f>_xlfn.XLOOKUP(A554, Brent!A:A, Brent!B:B, "")</f>
        <v>65.09</v>
      </c>
      <c r="E554">
        <f>_xlfn.XLOOKUP(
  A554,
  Repo!A:A,
  Repo!B:B,
  "",
  -1
)</f>
        <v>6</v>
      </c>
      <c r="F554" s="10">
        <f>_xlfn.XLOOKUP(
  A554,
  CPI!D:D,
  CPI!C:C,
  "",
  -1
)</f>
        <v>4.28</v>
      </c>
      <c r="G554">
        <v>30568</v>
      </c>
    </row>
    <row r="555" spans="1:7">
      <c r="A555" s="1">
        <v>43167</v>
      </c>
      <c r="B555">
        <v>30436</v>
      </c>
      <c r="C555">
        <f>_xlfn.XLOOKUP(A555, USD!A:A, USD!B:B, "")</f>
        <v>65.105000000000004</v>
      </c>
      <c r="D555">
        <f>_xlfn.XLOOKUP(A555, Brent!A:A, Brent!B:B, "")</f>
        <v>63.87</v>
      </c>
      <c r="E555">
        <f>_xlfn.XLOOKUP(
  A555,
  Repo!A:A,
  Repo!B:B,
  "",
  -1
)</f>
        <v>6</v>
      </c>
      <c r="F555" s="10">
        <f>_xlfn.XLOOKUP(
  A555,
  CPI!D:D,
  CPI!C:C,
  "",
  -1
)</f>
        <v>4.28</v>
      </c>
      <c r="G555">
        <v>30461</v>
      </c>
    </row>
    <row r="556" spans="1:7">
      <c r="A556" s="1">
        <v>43168</v>
      </c>
      <c r="B556">
        <v>30408</v>
      </c>
      <c r="C556">
        <f>_xlfn.XLOOKUP(A556, USD!A:A, USD!B:B, "")</f>
        <v>65.125</v>
      </c>
      <c r="D556">
        <f>_xlfn.XLOOKUP(A556, Brent!A:A, Brent!B:B, "")</f>
        <v>65.19</v>
      </c>
      <c r="E556">
        <f>_xlfn.XLOOKUP(
  A556,
  Repo!A:A,
  Repo!B:B,
  "",
  -1
)</f>
        <v>6</v>
      </c>
      <c r="F556" s="10">
        <f>_xlfn.XLOOKUP(
  A556,
  CPI!D:D,
  CPI!C:C,
  "",
  -1
)</f>
        <v>4.28</v>
      </c>
      <c r="G556">
        <v>30436</v>
      </c>
    </row>
    <row r="557" spans="1:7">
      <c r="A557" s="1">
        <v>43171</v>
      </c>
      <c r="B557">
        <v>30340</v>
      </c>
      <c r="C557">
        <f>_xlfn.XLOOKUP(A557, USD!A:A, USD!B:B, "")</f>
        <v>64.984999999999999</v>
      </c>
      <c r="D557">
        <f>_xlfn.XLOOKUP(A557, Brent!A:A, Brent!B:B, "")</f>
        <v>64.53</v>
      </c>
      <c r="E557">
        <f>_xlfn.XLOOKUP(
  A557,
  Repo!A:A,
  Repo!B:B,
  "",
  -1
)</f>
        <v>6</v>
      </c>
      <c r="F557" s="10">
        <f>_xlfn.XLOOKUP(
  A557,
  CPI!D:D,
  CPI!C:C,
  "",
  -1
)</f>
        <v>4.28</v>
      </c>
      <c r="G557">
        <v>30408</v>
      </c>
    </row>
    <row r="558" spans="1:7">
      <c r="A558" s="1">
        <v>43172</v>
      </c>
      <c r="B558">
        <v>30387</v>
      </c>
      <c r="C558">
        <f>_xlfn.XLOOKUP(A558, USD!A:A, USD!B:B, "")</f>
        <v>64.855000000000004</v>
      </c>
      <c r="D558">
        <f>_xlfn.XLOOKUP(A558, Brent!A:A, Brent!B:B, "")</f>
        <v>64.2</v>
      </c>
      <c r="E558">
        <f>_xlfn.XLOOKUP(
  A558,
  Repo!A:A,
  Repo!B:B,
  "",
  -1
)</f>
        <v>6</v>
      </c>
      <c r="F558" s="10">
        <f>_xlfn.XLOOKUP(
  A558,
  CPI!D:D,
  CPI!C:C,
  "",
  -1
)</f>
        <v>4.28</v>
      </c>
      <c r="G558">
        <v>30340</v>
      </c>
    </row>
    <row r="559" spans="1:7">
      <c r="A559" s="1">
        <v>43173</v>
      </c>
      <c r="B559">
        <v>30413</v>
      </c>
      <c r="C559">
        <f>_xlfn.XLOOKUP(A559, USD!A:A, USD!B:B, "")</f>
        <v>64.84</v>
      </c>
      <c r="D559">
        <f>_xlfn.XLOOKUP(A559, Brent!A:A, Brent!B:B, "")</f>
        <v>63.61</v>
      </c>
      <c r="E559">
        <f>_xlfn.XLOOKUP(
  A559,
  Repo!A:A,
  Repo!B:B,
  "",
  -1
)</f>
        <v>6</v>
      </c>
      <c r="F559" s="10">
        <f>_xlfn.XLOOKUP(
  A559,
  CPI!D:D,
  CPI!C:C,
  "",
  -1
)</f>
        <v>4.28</v>
      </c>
      <c r="G559">
        <v>30387</v>
      </c>
    </row>
    <row r="560" spans="1:7">
      <c r="A560" s="1">
        <v>43174</v>
      </c>
      <c r="B560">
        <v>30314</v>
      </c>
      <c r="C560">
        <f>_xlfn.XLOOKUP(A560, USD!A:A, USD!B:B, "")</f>
        <v>64.989999999999995</v>
      </c>
      <c r="D560">
        <f>_xlfn.XLOOKUP(A560, Brent!A:A, Brent!B:B, "")</f>
        <v>63.67</v>
      </c>
      <c r="E560">
        <f>_xlfn.XLOOKUP(
  A560,
  Repo!A:A,
  Repo!B:B,
  "",
  -1
)</f>
        <v>6</v>
      </c>
      <c r="F560" s="10">
        <f>_xlfn.XLOOKUP(
  A560,
  CPI!D:D,
  CPI!C:C,
  "",
  -1
)</f>
        <v>4.28</v>
      </c>
      <c r="G560">
        <v>30413</v>
      </c>
    </row>
    <row r="561" spans="1:7">
      <c r="A561" s="1">
        <v>43175</v>
      </c>
      <c r="B561">
        <v>30251</v>
      </c>
      <c r="C561">
        <f>_xlfn.XLOOKUP(A561, USD!A:A, USD!B:B, "")</f>
        <v>64.989999999999995</v>
      </c>
      <c r="D561">
        <f>_xlfn.XLOOKUP(A561, Brent!A:A, Brent!B:B, "")</f>
        <v>64.680000000000007</v>
      </c>
      <c r="E561">
        <f>_xlfn.XLOOKUP(
  A561,
  Repo!A:A,
  Repo!B:B,
  "",
  -1
)</f>
        <v>6</v>
      </c>
      <c r="F561" s="10">
        <f>_xlfn.XLOOKUP(
  A561,
  CPI!D:D,
  CPI!C:C,
  "",
  -1
)</f>
        <v>4.28</v>
      </c>
      <c r="G561">
        <v>30314</v>
      </c>
    </row>
    <row r="562" spans="1:7">
      <c r="A562" s="1">
        <v>43178</v>
      </c>
      <c r="B562">
        <v>30432</v>
      </c>
      <c r="C562">
        <f>_xlfn.XLOOKUP(A562, USD!A:A, USD!B:B, "")</f>
        <v>65.22</v>
      </c>
      <c r="D562">
        <f>_xlfn.XLOOKUP(A562, Brent!A:A, Brent!B:B, "")</f>
        <v>64.819999999999993</v>
      </c>
      <c r="E562">
        <f>_xlfn.XLOOKUP(
  A562,
  Repo!A:A,
  Repo!B:B,
  "",
  -1
)</f>
        <v>6</v>
      </c>
      <c r="F562" s="10">
        <f>_xlfn.XLOOKUP(
  A562,
  CPI!D:D,
  CPI!C:C,
  "",
  -1
)</f>
        <v>4.28</v>
      </c>
      <c r="G562">
        <v>30251</v>
      </c>
    </row>
    <row r="563" spans="1:7">
      <c r="A563" s="1">
        <v>43179</v>
      </c>
      <c r="B563">
        <v>30284</v>
      </c>
      <c r="C563">
        <f>_xlfn.XLOOKUP(A563, USD!A:A, USD!B:B, "")</f>
        <v>65.209999999999994</v>
      </c>
      <c r="D563">
        <f>_xlfn.XLOOKUP(A563, Brent!A:A, Brent!B:B, "")</f>
        <v>66</v>
      </c>
      <c r="E563">
        <f>_xlfn.XLOOKUP(
  A563,
  Repo!A:A,
  Repo!B:B,
  "",
  -1
)</f>
        <v>6</v>
      </c>
      <c r="F563" s="10">
        <f>_xlfn.XLOOKUP(
  A563,
  CPI!D:D,
  CPI!C:C,
  "",
  -1
)</f>
        <v>4.28</v>
      </c>
      <c r="G563">
        <v>30432</v>
      </c>
    </row>
    <row r="564" spans="1:7">
      <c r="A564" s="1">
        <v>43180</v>
      </c>
      <c r="B564">
        <v>30464</v>
      </c>
      <c r="C564">
        <f>_xlfn.XLOOKUP(A564, USD!A:A, USD!B:B, "")</f>
        <v>65.180000000000007</v>
      </c>
      <c r="D564">
        <f>_xlfn.XLOOKUP(A564, Brent!A:A, Brent!B:B, "")</f>
        <v>68.150000000000006</v>
      </c>
      <c r="E564">
        <f>_xlfn.XLOOKUP(
  A564,
  Repo!A:A,
  Repo!B:B,
  "",
  -1
)</f>
        <v>6</v>
      </c>
      <c r="F564" s="10">
        <f>_xlfn.XLOOKUP(
  A564,
  CPI!D:D,
  CPI!C:C,
  "",
  -1
)</f>
        <v>4.28</v>
      </c>
      <c r="G564">
        <v>30284</v>
      </c>
    </row>
    <row r="565" spans="1:7">
      <c r="A565" s="1">
        <v>43181</v>
      </c>
      <c r="B565">
        <v>30506</v>
      </c>
      <c r="C565">
        <f>_xlfn.XLOOKUP(A565, USD!A:A, USD!B:B, "")</f>
        <v>65.105000000000004</v>
      </c>
      <c r="D565">
        <f>_xlfn.XLOOKUP(A565, Brent!A:A, Brent!B:B, "")</f>
        <v>68.98</v>
      </c>
      <c r="E565">
        <f>_xlfn.XLOOKUP(
  A565,
  Repo!A:A,
  Repo!B:B,
  "",
  -1
)</f>
        <v>6</v>
      </c>
      <c r="F565" s="10">
        <f>_xlfn.XLOOKUP(
  A565,
  CPI!D:D,
  CPI!C:C,
  "",
  -1
)</f>
        <v>4.28</v>
      </c>
      <c r="G565">
        <v>30464</v>
      </c>
    </row>
    <row r="566" spans="1:7">
      <c r="A566" s="1">
        <v>43182</v>
      </c>
      <c r="B566">
        <v>30901</v>
      </c>
      <c r="C566">
        <f>_xlfn.XLOOKUP(A566, USD!A:A, USD!B:B, "")</f>
        <v>64.989999999999995</v>
      </c>
      <c r="D566">
        <f>_xlfn.XLOOKUP(A566, Brent!A:A, Brent!B:B, "")</f>
        <v>69.03</v>
      </c>
      <c r="E566">
        <f>_xlfn.XLOOKUP(
  A566,
  Repo!A:A,
  Repo!B:B,
  "",
  -1
)</f>
        <v>6</v>
      </c>
      <c r="F566" s="10">
        <f>_xlfn.XLOOKUP(
  A566,
  CPI!D:D,
  CPI!C:C,
  "",
  -1
)</f>
        <v>4.28</v>
      </c>
      <c r="G566">
        <v>30506</v>
      </c>
    </row>
    <row r="567" spans="1:7">
      <c r="A567" s="1">
        <v>43185</v>
      </c>
      <c r="B567">
        <v>30889</v>
      </c>
      <c r="C567">
        <f>_xlfn.XLOOKUP(A567, USD!A:A, USD!B:B, "")</f>
        <v>64.825000000000003</v>
      </c>
      <c r="D567">
        <f>_xlfn.XLOOKUP(A567, Brent!A:A, Brent!B:B, "")</f>
        <v>68.81</v>
      </c>
      <c r="E567">
        <f>_xlfn.XLOOKUP(
  A567,
  Repo!A:A,
  Repo!B:B,
  "",
  -1
)</f>
        <v>6</v>
      </c>
      <c r="F567" s="10">
        <f>_xlfn.XLOOKUP(
  A567,
  CPI!D:D,
  CPI!C:C,
  "",
  -1
)</f>
        <v>4.28</v>
      </c>
      <c r="G567">
        <v>30901</v>
      </c>
    </row>
    <row r="568" spans="1:7">
      <c r="A568" s="1">
        <v>43186</v>
      </c>
      <c r="B568">
        <v>30717</v>
      </c>
      <c r="C568">
        <f>_xlfn.XLOOKUP(A568, USD!A:A, USD!B:B, "")</f>
        <v>64.944999999999993</v>
      </c>
      <c r="D568">
        <f>_xlfn.XLOOKUP(A568, Brent!A:A, Brent!B:B, "")</f>
        <v>68.63</v>
      </c>
      <c r="E568">
        <f>_xlfn.XLOOKUP(
  A568,
  Repo!A:A,
  Repo!B:B,
  "",
  -1
)</f>
        <v>6</v>
      </c>
      <c r="F568" s="10">
        <f>_xlfn.XLOOKUP(
  A568,
  CPI!D:D,
  CPI!C:C,
  "",
  -1
)</f>
        <v>4.28</v>
      </c>
      <c r="G568">
        <v>30889</v>
      </c>
    </row>
    <row r="569" spans="1:7">
      <c r="A569" s="1">
        <v>43187</v>
      </c>
      <c r="B569">
        <v>30518</v>
      </c>
      <c r="C569">
        <f>_xlfn.XLOOKUP(A569, USD!A:A, USD!B:B, "")</f>
        <v>65.16</v>
      </c>
      <c r="D569">
        <f>_xlfn.XLOOKUP(A569, Brent!A:A, Brent!B:B, "")</f>
        <v>68.13</v>
      </c>
      <c r="E569">
        <f>_xlfn.XLOOKUP(
  A569,
  Repo!A:A,
  Repo!B:B,
  "",
  -1
)</f>
        <v>6</v>
      </c>
      <c r="F569" s="10">
        <f>_xlfn.XLOOKUP(
  A569,
  CPI!D:D,
  CPI!C:C,
  "",
  -1
)</f>
        <v>4.28</v>
      </c>
      <c r="G569">
        <v>30717</v>
      </c>
    </row>
    <row r="570" spans="1:7">
      <c r="A570" s="1">
        <v>43188</v>
      </c>
      <c r="B570">
        <v>30426</v>
      </c>
      <c r="C570">
        <f>_xlfn.XLOOKUP(A570, USD!A:A, USD!B:B, "")</f>
        <v>65.114999999999995</v>
      </c>
      <c r="D570">
        <f>_xlfn.XLOOKUP(A570, Brent!A:A, Brent!B:B, "")</f>
        <v>69.02</v>
      </c>
      <c r="E570">
        <f>_xlfn.XLOOKUP(
  A570,
  Repo!A:A,
  Repo!B:B,
  "",
  -1
)</f>
        <v>6</v>
      </c>
      <c r="F570" s="10">
        <f>_xlfn.XLOOKUP(
  A570,
  CPI!D:D,
  CPI!C:C,
  "",
  -1
)</f>
        <v>4.28</v>
      </c>
      <c r="G570">
        <v>30518</v>
      </c>
    </row>
    <row r="571" spans="1:7">
      <c r="A571" s="1">
        <v>43193</v>
      </c>
      <c r="B571">
        <v>30625</v>
      </c>
      <c r="C571">
        <f>_xlfn.XLOOKUP(A571, USD!A:A, USD!B:B, "")</f>
        <v>65</v>
      </c>
      <c r="D571">
        <f>_xlfn.XLOOKUP(A571, Brent!A:A, Brent!B:B, "")</f>
        <v>69.02</v>
      </c>
      <c r="E571">
        <f>_xlfn.XLOOKUP(
  A571,
  Repo!A:A,
  Repo!B:B,
  "",
  -1
)</f>
        <v>6</v>
      </c>
      <c r="F571" s="10">
        <f>_xlfn.XLOOKUP(
  A571,
  CPI!D:D,
  CPI!C:C,
  "",
  -1
)</f>
        <v>4.58</v>
      </c>
      <c r="G571">
        <v>30426</v>
      </c>
    </row>
    <row r="572" spans="1:7">
      <c r="A572" s="1">
        <v>43194</v>
      </c>
      <c r="B572">
        <v>30886</v>
      </c>
      <c r="C572">
        <f>_xlfn.XLOOKUP(A572, USD!A:A, USD!B:B, "")</f>
        <v>65.045000000000002</v>
      </c>
      <c r="D572">
        <f>_xlfn.XLOOKUP(A572, Brent!A:A, Brent!B:B, "")</f>
        <v>66.040000000000006</v>
      </c>
      <c r="E572">
        <f>_xlfn.XLOOKUP(
  A572,
  Repo!A:A,
  Repo!B:B,
  "",
  -1
)</f>
        <v>6</v>
      </c>
      <c r="F572" s="10">
        <f>_xlfn.XLOOKUP(
  A572,
  CPI!D:D,
  CPI!C:C,
  "",
  -1
)</f>
        <v>4.58</v>
      </c>
      <c r="G572">
        <v>30625</v>
      </c>
    </row>
    <row r="573" spans="1:7">
      <c r="A573" s="1">
        <v>43195</v>
      </c>
      <c r="B573">
        <v>30505</v>
      </c>
      <c r="C573">
        <f>_xlfn.XLOOKUP(A573, USD!A:A, USD!B:B, "")</f>
        <v>64.89</v>
      </c>
      <c r="D573">
        <f>_xlfn.XLOOKUP(A573, Brent!A:A, Brent!B:B, "")</f>
        <v>66.540000000000006</v>
      </c>
      <c r="E573">
        <f>_xlfn.XLOOKUP(
  A573,
  Repo!A:A,
  Repo!B:B,
  "",
  -1
)</f>
        <v>6</v>
      </c>
      <c r="F573" s="10">
        <f>_xlfn.XLOOKUP(
  A573,
  CPI!D:D,
  CPI!C:C,
  "",
  -1
)</f>
        <v>4.58</v>
      </c>
      <c r="G573">
        <v>30886</v>
      </c>
    </row>
    <row r="574" spans="1:7">
      <c r="A574" s="1">
        <v>43196</v>
      </c>
      <c r="B574">
        <v>30605</v>
      </c>
      <c r="C574">
        <f>_xlfn.XLOOKUP(A574, USD!A:A, USD!B:B, "")</f>
        <v>64.930000000000007</v>
      </c>
      <c r="D574">
        <f>_xlfn.XLOOKUP(A574, Brent!A:A, Brent!B:B, "")</f>
        <v>66.510000000000005</v>
      </c>
      <c r="E574">
        <f>_xlfn.XLOOKUP(
  A574,
  Repo!A:A,
  Repo!B:B,
  "",
  -1
)</f>
        <v>6</v>
      </c>
      <c r="F574" s="10">
        <f>_xlfn.XLOOKUP(
  A574,
  CPI!D:D,
  CPI!C:C,
  "",
  -1
)</f>
        <v>4.58</v>
      </c>
      <c r="G574">
        <v>30505</v>
      </c>
    </row>
    <row r="575" spans="1:7">
      <c r="A575" s="1">
        <v>43199</v>
      </c>
      <c r="B575">
        <v>30675</v>
      </c>
      <c r="C575">
        <f>_xlfn.XLOOKUP(A575, USD!A:A, USD!B:B, "")</f>
        <v>64.954999999999998</v>
      </c>
      <c r="D575">
        <f>_xlfn.XLOOKUP(A575, Brent!A:A, Brent!B:B, "")</f>
        <v>68.19</v>
      </c>
      <c r="E575">
        <f>_xlfn.XLOOKUP(
  A575,
  Repo!A:A,
  Repo!B:B,
  "",
  -1
)</f>
        <v>6</v>
      </c>
      <c r="F575" s="10">
        <f>_xlfn.XLOOKUP(
  A575,
  CPI!D:D,
  CPI!C:C,
  "",
  -1
)</f>
        <v>4.58</v>
      </c>
      <c r="G575">
        <v>30605</v>
      </c>
    </row>
    <row r="576" spans="1:7">
      <c r="A576" s="1">
        <v>43200</v>
      </c>
      <c r="B576">
        <v>30798</v>
      </c>
      <c r="C576">
        <f>_xlfn.XLOOKUP(A576, USD!A:A, USD!B:B, "")</f>
        <v>64.95</v>
      </c>
      <c r="D576">
        <f>_xlfn.XLOOKUP(A576, Brent!A:A, Brent!B:B, "")</f>
        <v>70.67</v>
      </c>
      <c r="E576">
        <f>_xlfn.XLOOKUP(
  A576,
  Repo!A:A,
  Repo!B:B,
  "",
  -1
)</f>
        <v>6</v>
      </c>
      <c r="F576" s="10">
        <f>_xlfn.XLOOKUP(
  A576,
  CPI!D:D,
  CPI!C:C,
  "",
  -1
)</f>
        <v>4.58</v>
      </c>
      <c r="G576">
        <v>30675</v>
      </c>
    </row>
    <row r="577" spans="1:7">
      <c r="A577" s="1">
        <v>43201</v>
      </c>
      <c r="B577">
        <v>31244</v>
      </c>
      <c r="C577">
        <f>_xlfn.XLOOKUP(A577, USD!A:A, USD!B:B, "")</f>
        <v>65.260000000000005</v>
      </c>
      <c r="D577">
        <f>_xlfn.XLOOKUP(A577, Brent!A:A, Brent!B:B, "")</f>
        <v>72.739999999999995</v>
      </c>
      <c r="E577">
        <f>_xlfn.XLOOKUP(
  A577,
  Repo!A:A,
  Repo!B:B,
  "",
  -1
)</f>
        <v>6</v>
      </c>
      <c r="F577" s="10">
        <f>_xlfn.XLOOKUP(
  A577,
  CPI!D:D,
  CPI!C:C,
  "",
  -1
)</f>
        <v>4.58</v>
      </c>
      <c r="G577">
        <v>30798</v>
      </c>
    </row>
    <row r="578" spans="1:7">
      <c r="A578" s="1">
        <v>43202</v>
      </c>
      <c r="B578">
        <v>30897</v>
      </c>
      <c r="C578">
        <f>_xlfn.XLOOKUP(A578, USD!A:A, USD!B:B, "")</f>
        <v>65.290000000000006</v>
      </c>
      <c r="D578">
        <f>_xlfn.XLOOKUP(A578, Brent!A:A, Brent!B:B, "")</f>
        <v>71.44</v>
      </c>
      <c r="E578">
        <f>_xlfn.XLOOKUP(
  A578,
  Repo!A:A,
  Repo!B:B,
  "",
  -1
)</f>
        <v>6</v>
      </c>
      <c r="F578" s="10">
        <f>_xlfn.XLOOKUP(
  A578,
  CPI!D:D,
  CPI!C:C,
  "",
  -1
)</f>
        <v>4.58</v>
      </c>
      <c r="G578">
        <v>31244</v>
      </c>
    </row>
    <row r="579" spans="1:7">
      <c r="A579" s="1">
        <v>43203</v>
      </c>
      <c r="B579">
        <v>31005</v>
      </c>
      <c r="C579">
        <f>_xlfn.XLOOKUP(A579, USD!A:A, USD!B:B, "")</f>
        <v>65.254999999999995</v>
      </c>
      <c r="D579">
        <f>_xlfn.XLOOKUP(A579, Brent!A:A, Brent!B:B, "")</f>
        <v>73.180000000000007</v>
      </c>
      <c r="E579">
        <f>_xlfn.XLOOKUP(
  A579,
  Repo!A:A,
  Repo!B:B,
  "",
  -1
)</f>
        <v>6</v>
      </c>
      <c r="F579" s="10">
        <f>_xlfn.XLOOKUP(
  A579,
  CPI!D:D,
  CPI!C:C,
  "",
  -1
)</f>
        <v>4.58</v>
      </c>
      <c r="G579">
        <v>30897</v>
      </c>
    </row>
    <row r="580" spans="1:7">
      <c r="A580" s="1">
        <v>43206</v>
      </c>
      <c r="B580">
        <v>31167</v>
      </c>
      <c r="C580">
        <f>_xlfn.XLOOKUP(A580, USD!A:A, USD!B:B, "")</f>
        <v>65.47</v>
      </c>
      <c r="D580">
        <f>_xlfn.XLOOKUP(A580, Brent!A:A, Brent!B:B, "")</f>
        <v>72.05</v>
      </c>
      <c r="E580">
        <f>_xlfn.XLOOKUP(
  A580,
  Repo!A:A,
  Repo!B:B,
  "",
  -1
)</f>
        <v>6</v>
      </c>
      <c r="F580" s="10">
        <f>_xlfn.XLOOKUP(
  A580,
  CPI!D:D,
  CPI!C:C,
  "",
  -1
)</f>
        <v>4.58</v>
      </c>
      <c r="G580">
        <v>31005</v>
      </c>
    </row>
    <row r="581" spans="1:7">
      <c r="A581" s="1">
        <v>43207</v>
      </c>
      <c r="B581">
        <v>31257</v>
      </c>
      <c r="C581">
        <f>_xlfn.XLOOKUP(A581, USD!A:A, USD!B:B, "")</f>
        <v>65.680000000000007</v>
      </c>
      <c r="D581">
        <f>_xlfn.XLOOKUP(A581, Brent!A:A, Brent!B:B, "")</f>
        <v>71.709999999999994</v>
      </c>
      <c r="E581">
        <f>_xlfn.XLOOKUP(
  A581,
  Repo!A:A,
  Repo!B:B,
  "",
  -1
)</f>
        <v>6</v>
      </c>
      <c r="F581" s="10">
        <f>_xlfn.XLOOKUP(
  A581,
  CPI!D:D,
  CPI!C:C,
  "",
  -1
)</f>
        <v>4.58</v>
      </c>
      <c r="G581">
        <v>31167</v>
      </c>
    </row>
    <row r="582" spans="1:7">
      <c r="A582" s="1">
        <v>43208</v>
      </c>
      <c r="B582">
        <v>31410</v>
      </c>
      <c r="C582">
        <f>_xlfn.XLOOKUP(A582, USD!A:A, USD!B:B, "")</f>
        <v>65.72</v>
      </c>
      <c r="D582">
        <f>_xlfn.XLOOKUP(A582, Brent!A:A, Brent!B:B, "")</f>
        <v>73.73</v>
      </c>
      <c r="E582">
        <f>_xlfn.XLOOKUP(
  A582,
  Repo!A:A,
  Repo!B:B,
  "",
  -1
)</f>
        <v>6</v>
      </c>
      <c r="F582" s="10">
        <f>_xlfn.XLOOKUP(
  A582,
  CPI!D:D,
  CPI!C:C,
  "",
  -1
)</f>
        <v>4.58</v>
      </c>
      <c r="G582">
        <v>31257</v>
      </c>
    </row>
    <row r="583" spans="1:7">
      <c r="A583" s="1">
        <v>43209</v>
      </c>
      <c r="B583">
        <v>31479</v>
      </c>
      <c r="C583">
        <f>_xlfn.XLOOKUP(A583, USD!A:A, USD!B:B, "")</f>
        <v>65.87</v>
      </c>
      <c r="D583">
        <f>_xlfn.XLOOKUP(A583, Brent!A:A, Brent!B:B, "")</f>
        <v>74.849999999999994</v>
      </c>
      <c r="E583">
        <f>_xlfn.XLOOKUP(
  A583,
  Repo!A:A,
  Repo!B:B,
  "",
  -1
)</f>
        <v>6</v>
      </c>
      <c r="F583" s="10">
        <f>_xlfn.XLOOKUP(
  A583,
  CPI!D:D,
  CPI!C:C,
  "",
  -1
)</f>
        <v>4.58</v>
      </c>
      <c r="G583">
        <v>31410</v>
      </c>
    </row>
    <row r="584" spans="1:7">
      <c r="A584" s="1">
        <v>43210</v>
      </c>
      <c r="B584">
        <v>31314</v>
      </c>
      <c r="C584">
        <f>_xlfn.XLOOKUP(A584, USD!A:A, USD!B:B, "")</f>
        <v>66.209999999999994</v>
      </c>
      <c r="D584">
        <f>_xlfn.XLOOKUP(A584, Brent!A:A, Brent!B:B, "")</f>
        <v>74.62</v>
      </c>
      <c r="E584">
        <f>_xlfn.XLOOKUP(
  A584,
  Repo!A:A,
  Repo!B:B,
  "",
  -1
)</f>
        <v>6</v>
      </c>
      <c r="F584" s="10">
        <f>_xlfn.XLOOKUP(
  A584,
  CPI!D:D,
  CPI!C:C,
  "",
  -1
)</f>
        <v>4.58</v>
      </c>
      <c r="G584">
        <v>31479</v>
      </c>
    </row>
    <row r="585" spans="1:7">
      <c r="A585" s="1">
        <v>43213</v>
      </c>
      <c r="B585">
        <v>31164</v>
      </c>
      <c r="C585">
        <f>_xlfn.XLOOKUP(A585, USD!A:A, USD!B:B, "")</f>
        <v>66.53</v>
      </c>
      <c r="D585">
        <f>_xlfn.XLOOKUP(A585, Brent!A:A, Brent!B:B, "")</f>
        <v>74.540000000000006</v>
      </c>
      <c r="E585">
        <f>_xlfn.XLOOKUP(
  A585,
  Repo!A:A,
  Repo!B:B,
  "",
  -1
)</f>
        <v>6</v>
      </c>
      <c r="F585" s="10">
        <f>_xlfn.XLOOKUP(
  A585,
  CPI!D:D,
  CPI!C:C,
  "",
  -1
)</f>
        <v>4.58</v>
      </c>
      <c r="G585">
        <v>31314</v>
      </c>
    </row>
    <row r="586" spans="1:7">
      <c r="A586" s="1">
        <v>43214</v>
      </c>
      <c r="B586">
        <v>31262</v>
      </c>
      <c r="C586">
        <f>_xlfn.XLOOKUP(A586, USD!A:A, USD!B:B, "")</f>
        <v>66.41</v>
      </c>
      <c r="D586">
        <f>_xlfn.XLOOKUP(A586, Brent!A:A, Brent!B:B, "")</f>
        <v>75.86</v>
      </c>
      <c r="E586">
        <f>_xlfn.XLOOKUP(
  A586,
  Repo!A:A,
  Repo!B:B,
  "",
  -1
)</f>
        <v>6</v>
      </c>
      <c r="F586" s="10">
        <f>_xlfn.XLOOKUP(
  A586,
  CPI!D:D,
  CPI!C:C,
  "",
  -1
)</f>
        <v>4.58</v>
      </c>
      <c r="G586">
        <v>31164</v>
      </c>
    </row>
    <row r="587" spans="1:7">
      <c r="A587" s="1">
        <v>43215</v>
      </c>
      <c r="B587">
        <v>31301</v>
      </c>
      <c r="C587">
        <f>_xlfn.XLOOKUP(A587, USD!A:A, USD!B:B, "")</f>
        <v>66.92</v>
      </c>
      <c r="D587">
        <f>_xlfn.XLOOKUP(A587, Brent!A:A, Brent!B:B, "")</f>
        <v>73.790000000000006</v>
      </c>
      <c r="E587">
        <f>_xlfn.XLOOKUP(
  A587,
  Repo!A:A,
  Repo!B:B,
  "",
  -1
)</f>
        <v>6</v>
      </c>
      <c r="F587" s="10">
        <f>_xlfn.XLOOKUP(
  A587,
  CPI!D:D,
  CPI!C:C,
  "",
  -1
)</f>
        <v>4.58</v>
      </c>
      <c r="G587">
        <v>31262</v>
      </c>
    </row>
    <row r="588" spans="1:7">
      <c r="A588" s="1">
        <v>43216</v>
      </c>
      <c r="B588">
        <v>31158</v>
      </c>
      <c r="C588">
        <f>_xlfn.XLOOKUP(A588, USD!A:A, USD!B:B, "")</f>
        <v>66.805000000000007</v>
      </c>
      <c r="D588">
        <f>_xlfn.XLOOKUP(A588, Brent!A:A, Brent!B:B, "")</f>
        <v>75.39</v>
      </c>
      <c r="E588">
        <f>_xlfn.XLOOKUP(
  A588,
  Repo!A:A,
  Repo!B:B,
  "",
  -1
)</f>
        <v>6</v>
      </c>
      <c r="F588" s="10">
        <f>_xlfn.XLOOKUP(
  A588,
  CPI!D:D,
  CPI!C:C,
  "",
  -1
)</f>
        <v>4.58</v>
      </c>
      <c r="G588">
        <v>31301</v>
      </c>
    </row>
    <row r="589" spans="1:7">
      <c r="A589" s="1">
        <v>43217</v>
      </c>
      <c r="B589">
        <v>31129</v>
      </c>
      <c r="C589">
        <f>_xlfn.XLOOKUP(A589, USD!A:A, USD!B:B, "")</f>
        <v>66.62</v>
      </c>
      <c r="D589">
        <f>_xlfn.XLOOKUP(A589, Brent!A:A, Brent!B:B, "")</f>
        <v>75.33</v>
      </c>
      <c r="E589">
        <f>_xlfn.XLOOKUP(
  A589,
  Repo!A:A,
  Repo!B:B,
  "",
  -1
)</f>
        <v>6</v>
      </c>
      <c r="F589" s="10">
        <f>_xlfn.XLOOKUP(
  A589,
  CPI!D:D,
  CPI!C:C,
  "",
  -1
)</f>
        <v>4.58</v>
      </c>
      <c r="G589">
        <v>31158</v>
      </c>
    </row>
    <row r="590" spans="1:7">
      <c r="A590" s="1">
        <v>43220</v>
      </c>
      <c r="B590">
        <v>30947</v>
      </c>
      <c r="C590">
        <f>_xlfn.XLOOKUP(A590, USD!A:A, USD!B:B, "")</f>
        <v>66.459999999999994</v>
      </c>
      <c r="D590">
        <f>_xlfn.XLOOKUP(A590, Brent!A:A, Brent!B:B, "")</f>
        <v>75.92</v>
      </c>
      <c r="E590">
        <f>_xlfn.XLOOKUP(
  A590,
  Repo!A:A,
  Repo!B:B,
  "",
  -1
)</f>
        <v>6</v>
      </c>
      <c r="F590" s="10">
        <f>_xlfn.XLOOKUP(
  A590,
  CPI!D:D,
  CPI!C:C,
  "",
  -1
)</f>
        <v>4.58</v>
      </c>
      <c r="G590">
        <v>31129</v>
      </c>
    </row>
    <row r="591" spans="1:7">
      <c r="A591" s="1">
        <v>43221</v>
      </c>
      <c r="B591">
        <v>30874</v>
      </c>
      <c r="C591">
        <f>_xlfn.XLOOKUP(A591, USD!A:A, USD!B:B, "")</f>
        <v>66.8</v>
      </c>
      <c r="D591">
        <f>_xlfn.XLOOKUP(A591, Brent!A:A, Brent!B:B, "")</f>
        <v>74.849999999999994</v>
      </c>
      <c r="E591">
        <f>_xlfn.XLOOKUP(
  A591,
  Repo!A:A,
  Repo!B:B,
  "",
  -1
)</f>
        <v>6</v>
      </c>
      <c r="F591" s="10">
        <f>_xlfn.XLOOKUP(
  A591,
  CPI!D:D,
  CPI!C:C,
  "",
  -1
)</f>
        <v>4.87</v>
      </c>
      <c r="G591">
        <v>30947</v>
      </c>
    </row>
    <row r="592" spans="1:7">
      <c r="A592" s="1">
        <v>43222</v>
      </c>
      <c r="B592">
        <v>30926</v>
      </c>
      <c r="C592">
        <f>_xlfn.XLOOKUP(A592, USD!A:A, USD!B:B, "")</f>
        <v>66.69</v>
      </c>
      <c r="D592">
        <f>_xlfn.XLOOKUP(A592, Brent!A:A, Brent!B:B, "")</f>
        <v>73.14</v>
      </c>
      <c r="E592">
        <f>_xlfn.XLOOKUP(
  A592,
  Repo!A:A,
  Repo!B:B,
  "",
  -1
)</f>
        <v>6</v>
      </c>
      <c r="F592" s="10">
        <f>_xlfn.XLOOKUP(
  A592,
  CPI!D:D,
  CPI!C:C,
  "",
  -1
)</f>
        <v>4.87</v>
      </c>
      <c r="G592">
        <v>30874</v>
      </c>
    </row>
    <row r="593" spans="1:7">
      <c r="A593" s="1">
        <v>43223</v>
      </c>
      <c r="B593">
        <v>31003</v>
      </c>
      <c r="C593">
        <f>_xlfn.XLOOKUP(A593, USD!A:A, USD!B:B, "")</f>
        <v>66.67</v>
      </c>
      <c r="D593">
        <f>_xlfn.XLOOKUP(A593, Brent!A:A, Brent!B:B, "")</f>
        <v>73.45</v>
      </c>
      <c r="E593">
        <f>_xlfn.XLOOKUP(
  A593,
  Repo!A:A,
  Repo!B:B,
  "",
  -1
)</f>
        <v>6</v>
      </c>
      <c r="F593" s="10">
        <f>_xlfn.XLOOKUP(
  A593,
  CPI!D:D,
  CPI!C:C,
  "",
  -1
)</f>
        <v>4.87</v>
      </c>
      <c r="G593">
        <v>30926</v>
      </c>
    </row>
    <row r="594" spans="1:7">
      <c r="A594" s="1">
        <v>43224</v>
      </c>
      <c r="B594">
        <v>31068</v>
      </c>
      <c r="C594">
        <f>_xlfn.XLOOKUP(A594, USD!A:A, USD!B:B, "")</f>
        <v>66.819999999999993</v>
      </c>
      <c r="D594">
        <f>_xlfn.XLOOKUP(A594, Brent!A:A, Brent!B:B, "")</f>
        <v>74.75</v>
      </c>
      <c r="E594">
        <f>_xlfn.XLOOKUP(
  A594,
  Repo!A:A,
  Repo!B:B,
  "",
  -1
)</f>
        <v>6</v>
      </c>
      <c r="F594" s="10">
        <f>_xlfn.XLOOKUP(
  A594,
  CPI!D:D,
  CPI!C:C,
  "",
  -1
)</f>
        <v>4.87</v>
      </c>
      <c r="G594">
        <v>31003</v>
      </c>
    </row>
    <row r="595" spans="1:7">
      <c r="A595" s="1">
        <v>43228</v>
      </c>
      <c r="B595">
        <v>31200</v>
      </c>
      <c r="C595">
        <f>_xlfn.XLOOKUP(A595, USD!A:A, USD!B:B, "")</f>
        <v>67.13</v>
      </c>
      <c r="D595">
        <f>_xlfn.XLOOKUP(A595, Brent!A:A, Brent!B:B, "")</f>
        <v>74.16</v>
      </c>
      <c r="E595">
        <f>_xlfn.XLOOKUP(
  A595,
  Repo!A:A,
  Repo!B:B,
  "",
  -1
)</f>
        <v>6</v>
      </c>
      <c r="F595" s="10">
        <f>_xlfn.XLOOKUP(
  A595,
  CPI!D:D,
  CPI!C:C,
  "",
  -1
)</f>
        <v>4.87</v>
      </c>
      <c r="G595">
        <v>31068</v>
      </c>
    </row>
    <row r="596" spans="1:7">
      <c r="A596" s="1">
        <v>43229</v>
      </c>
      <c r="B596">
        <v>31303</v>
      </c>
      <c r="C596">
        <f>_xlfn.XLOOKUP(A596, USD!A:A, USD!B:B, "")</f>
        <v>67.349999999999994</v>
      </c>
      <c r="D596">
        <f>_xlfn.XLOOKUP(A596, Brent!A:A, Brent!B:B, "")</f>
        <v>77.599999999999994</v>
      </c>
      <c r="E596">
        <f>_xlfn.XLOOKUP(
  A596,
  Repo!A:A,
  Repo!B:B,
  "",
  -1
)</f>
        <v>6</v>
      </c>
      <c r="F596" s="10">
        <f>_xlfn.XLOOKUP(
  A596,
  CPI!D:D,
  CPI!C:C,
  "",
  -1
)</f>
        <v>4.87</v>
      </c>
      <c r="G596">
        <v>31200</v>
      </c>
    </row>
    <row r="597" spans="1:7">
      <c r="A597" s="1">
        <v>43230</v>
      </c>
      <c r="B597">
        <v>31352</v>
      </c>
      <c r="C597">
        <f>_xlfn.XLOOKUP(A597, USD!A:A, USD!B:B, "")</f>
        <v>67.245000000000005</v>
      </c>
      <c r="D597">
        <f>_xlfn.XLOOKUP(A597, Brent!A:A, Brent!B:B, "")</f>
        <v>77.59</v>
      </c>
      <c r="E597">
        <f>_xlfn.XLOOKUP(
  A597,
  Repo!A:A,
  Repo!B:B,
  "",
  -1
)</f>
        <v>6</v>
      </c>
      <c r="F597" s="10">
        <f>_xlfn.XLOOKUP(
  A597,
  CPI!D:D,
  CPI!C:C,
  "",
  -1
)</f>
        <v>4.87</v>
      </c>
      <c r="G597">
        <v>31303</v>
      </c>
    </row>
    <row r="598" spans="1:7">
      <c r="A598" s="1">
        <v>43231</v>
      </c>
      <c r="B598">
        <v>31500</v>
      </c>
      <c r="C598">
        <f>_xlfn.XLOOKUP(A598, USD!A:A, USD!B:B, "")</f>
        <v>67.36</v>
      </c>
      <c r="D598">
        <f>_xlfn.XLOOKUP(A598, Brent!A:A, Brent!B:B, "")</f>
        <v>77.37</v>
      </c>
      <c r="E598">
        <f>_xlfn.XLOOKUP(
  A598,
  Repo!A:A,
  Repo!B:B,
  "",
  -1
)</f>
        <v>6</v>
      </c>
      <c r="F598" s="10">
        <f>_xlfn.XLOOKUP(
  A598,
  CPI!D:D,
  CPI!C:C,
  "",
  -1
)</f>
        <v>4.87</v>
      </c>
      <c r="G598">
        <v>31352</v>
      </c>
    </row>
    <row r="599" spans="1:7">
      <c r="A599" s="1">
        <v>43234</v>
      </c>
      <c r="B599">
        <v>31496</v>
      </c>
      <c r="C599">
        <f>_xlfn.XLOOKUP(A599, USD!A:A, USD!B:B, "")</f>
        <v>67.56</v>
      </c>
      <c r="D599">
        <f>_xlfn.XLOOKUP(A599, Brent!A:A, Brent!B:B, "")</f>
        <v>78.17</v>
      </c>
      <c r="E599">
        <f>_xlfn.XLOOKUP(
  A599,
  Repo!A:A,
  Repo!B:B,
  "",
  -1
)</f>
        <v>6</v>
      </c>
      <c r="F599" s="10">
        <f>_xlfn.XLOOKUP(
  A599,
  CPI!D:D,
  CPI!C:C,
  "",
  -1
)</f>
        <v>4.87</v>
      </c>
      <c r="G599">
        <v>31500</v>
      </c>
    </row>
    <row r="600" spans="1:7">
      <c r="A600" s="1">
        <v>43235</v>
      </c>
      <c r="B600">
        <v>31186</v>
      </c>
      <c r="C600">
        <f>_xlfn.XLOOKUP(A600, USD!A:A, USD!B:B, "")</f>
        <v>68.08</v>
      </c>
      <c r="D600">
        <f>_xlfn.XLOOKUP(A600, Brent!A:A, Brent!B:B, "")</f>
        <v>78.94</v>
      </c>
      <c r="E600">
        <f>_xlfn.XLOOKUP(
  A600,
  Repo!A:A,
  Repo!B:B,
  "",
  -1
)</f>
        <v>6</v>
      </c>
      <c r="F600" s="10">
        <f>_xlfn.XLOOKUP(
  A600,
  CPI!D:D,
  CPI!C:C,
  "",
  -1
)</f>
        <v>4.87</v>
      </c>
      <c r="G600">
        <v>31496</v>
      </c>
    </row>
    <row r="601" spans="1:7">
      <c r="A601" s="1">
        <v>43236</v>
      </c>
      <c r="B601">
        <v>31007</v>
      </c>
      <c r="C601">
        <f>_xlfn.XLOOKUP(A601, USD!A:A, USD!B:B, "")</f>
        <v>67.775000000000006</v>
      </c>
      <c r="D601">
        <f>_xlfn.XLOOKUP(A601, Brent!A:A, Brent!B:B, "")</f>
        <v>78.19</v>
      </c>
      <c r="E601">
        <f>_xlfn.XLOOKUP(
  A601,
  Repo!A:A,
  Repo!B:B,
  "",
  -1
)</f>
        <v>6</v>
      </c>
      <c r="F601" s="10">
        <f>_xlfn.XLOOKUP(
  A601,
  CPI!D:D,
  CPI!C:C,
  "",
  -1
)</f>
        <v>4.87</v>
      </c>
      <c r="G601">
        <v>31186</v>
      </c>
    </row>
    <row r="602" spans="1:7">
      <c r="A602" s="1">
        <v>43237</v>
      </c>
      <c r="B602">
        <v>30986</v>
      </c>
      <c r="C602">
        <f>_xlfn.XLOOKUP(A602, USD!A:A, USD!B:B, "")</f>
        <v>67.765000000000001</v>
      </c>
      <c r="D602">
        <f>_xlfn.XLOOKUP(A602, Brent!A:A, Brent!B:B, "")</f>
        <v>80.09</v>
      </c>
      <c r="E602">
        <f>_xlfn.XLOOKUP(
  A602,
  Repo!A:A,
  Repo!B:B,
  "",
  -1
)</f>
        <v>6</v>
      </c>
      <c r="F602" s="10">
        <f>_xlfn.XLOOKUP(
  A602,
  CPI!D:D,
  CPI!C:C,
  "",
  -1
)</f>
        <v>4.87</v>
      </c>
      <c r="G602">
        <v>31007</v>
      </c>
    </row>
    <row r="603" spans="1:7">
      <c r="A603" s="1">
        <v>43238</v>
      </c>
      <c r="B603">
        <v>31093</v>
      </c>
      <c r="C603">
        <f>_xlfn.XLOOKUP(A603, USD!A:A, USD!B:B, "")</f>
        <v>67.989999999999995</v>
      </c>
      <c r="D603">
        <f>_xlfn.XLOOKUP(A603, Brent!A:A, Brent!B:B, "")</f>
        <v>78.38</v>
      </c>
      <c r="E603">
        <f>_xlfn.XLOOKUP(
  A603,
  Repo!A:A,
  Repo!B:B,
  "",
  -1
)</f>
        <v>6</v>
      </c>
      <c r="F603" s="10">
        <f>_xlfn.XLOOKUP(
  A603,
  CPI!D:D,
  CPI!C:C,
  "",
  -1
)</f>
        <v>4.87</v>
      </c>
      <c r="G603">
        <v>30986</v>
      </c>
    </row>
    <row r="604" spans="1:7">
      <c r="A604" s="1">
        <v>43241</v>
      </c>
      <c r="B604">
        <v>31114</v>
      </c>
      <c r="C604">
        <f>_xlfn.XLOOKUP(A604, USD!A:A, USD!B:B, "")</f>
        <v>68.114999999999995</v>
      </c>
      <c r="D604">
        <f>_xlfn.XLOOKUP(A604, Brent!A:A, Brent!B:B, "")</f>
        <v>78.34</v>
      </c>
      <c r="E604">
        <f>_xlfn.XLOOKUP(
  A604,
  Repo!A:A,
  Repo!B:B,
  "",
  -1
)</f>
        <v>6</v>
      </c>
      <c r="F604" s="10">
        <f>_xlfn.XLOOKUP(
  A604,
  CPI!D:D,
  CPI!C:C,
  "",
  -1
)</f>
        <v>4.87</v>
      </c>
      <c r="G604">
        <v>31093</v>
      </c>
    </row>
    <row r="605" spans="1:7">
      <c r="A605" s="1">
        <v>43242</v>
      </c>
      <c r="B605">
        <v>31111</v>
      </c>
      <c r="C605">
        <f>_xlfn.XLOOKUP(A605, USD!A:A, USD!B:B, "")</f>
        <v>68.02</v>
      </c>
      <c r="D605">
        <f>_xlfn.XLOOKUP(A605, Brent!A:A, Brent!B:B, "")</f>
        <v>80.42</v>
      </c>
      <c r="E605">
        <f>_xlfn.XLOOKUP(
  A605,
  Repo!A:A,
  Repo!B:B,
  "",
  -1
)</f>
        <v>6</v>
      </c>
      <c r="F605" s="10">
        <f>_xlfn.XLOOKUP(
  A605,
  CPI!D:D,
  CPI!C:C,
  "",
  -1
)</f>
        <v>4.87</v>
      </c>
      <c r="G605">
        <v>31114</v>
      </c>
    </row>
    <row r="606" spans="1:7">
      <c r="A606" s="1">
        <v>43243</v>
      </c>
      <c r="B606">
        <v>31186</v>
      </c>
      <c r="C606">
        <f>_xlfn.XLOOKUP(A606, USD!A:A, USD!B:B, "")</f>
        <v>68.37</v>
      </c>
      <c r="D606">
        <f>_xlfn.XLOOKUP(A606, Brent!A:A, Brent!B:B, "")</f>
        <v>78.69</v>
      </c>
      <c r="E606">
        <f>_xlfn.XLOOKUP(
  A606,
  Repo!A:A,
  Repo!B:B,
  "",
  -1
)</f>
        <v>6</v>
      </c>
      <c r="F606" s="10">
        <f>_xlfn.XLOOKUP(
  A606,
  CPI!D:D,
  CPI!C:C,
  "",
  -1
)</f>
        <v>4.87</v>
      </c>
      <c r="G606">
        <v>31111</v>
      </c>
    </row>
    <row r="607" spans="1:7">
      <c r="A607" s="1">
        <v>43244</v>
      </c>
      <c r="B607">
        <v>31461</v>
      </c>
      <c r="C607">
        <f>_xlfn.XLOOKUP(A607, USD!A:A, USD!B:B, "")</f>
        <v>68.34</v>
      </c>
      <c r="D607">
        <f>_xlfn.XLOOKUP(A607, Brent!A:A, Brent!B:B, "")</f>
        <v>78.900000000000006</v>
      </c>
      <c r="E607">
        <f>_xlfn.XLOOKUP(
  A607,
  Repo!A:A,
  Repo!B:B,
  "",
  -1
)</f>
        <v>6</v>
      </c>
      <c r="F607" s="10">
        <f>_xlfn.XLOOKUP(
  A607,
  CPI!D:D,
  CPI!C:C,
  "",
  -1
)</f>
        <v>4.87</v>
      </c>
      <c r="G607">
        <v>31186</v>
      </c>
    </row>
    <row r="608" spans="1:7">
      <c r="A608" s="1">
        <v>43245</v>
      </c>
      <c r="B608">
        <v>31194</v>
      </c>
      <c r="C608">
        <f>_xlfn.XLOOKUP(A608, USD!A:A, USD!B:B, "")</f>
        <v>67.73</v>
      </c>
      <c r="D608">
        <f>_xlfn.XLOOKUP(A608, Brent!A:A, Brent!B:B, "")</f>
        <v>76.599999999999994</v>
      </c>
      <c r="E608">
        <f>_xlfn.XLOOKUP(
  A608,
  Repo!A:A,
  Repo!B:B,
  "",
  -1
)</f>
        <v>6</v>
      </c>
      <c r="F608" s="10">
        <f>_xlfn.XLOOKUP(
  A608,
  CPI!D:D,
  CPI!C:C,
  "",
  -1
)</f>
        <v>4.87</v>
      </c>
      <c r="G608">
        <v>31461</v>
      </c>
    </row>
    <row r="609" spans="1:7">
      <c r="A609" s="1">
        <v>43249</v>
      </c>
      <c r="B609">
        <v>31184</v>
      </c>
      <c r="C609">
        <f>_xlfn.XLOOKUP(A609, USD!A:A, USD!B:B, "")</f>
        <v>67.84</v>
      </c>
      <c r="D609">
        <f>_xlfn.XLOOKUP(A609, Brent!A:A, Brent!B:B, "")</f>
        <v>74.510000000000005</v>
      </c>
      <c r="E609">
        <f>_xlfn.XLOOKUP(
  A609,
  Repo!A:A,
  Repo!B:B,
  "",
  -1
)</f>
        <v>6</v>
      </c>
      <c r="F609" s="10">
        <f>_xlfn.XLOOKUP(
  A609,
  CPI!D:D,
  CPI!C:C,
  "",
  -1
)</f>
        <v>4.87</v>
      </c>
      <c r="G609">
        <v>31194</v>
      </c>
    </row>
    <row r="610" spans="1:7">
      <c r="A610" s="1">
        <v>43250</v>
      </c>
      <c r="B610">
        <v>31030</v>
      </c>
      <c r="C610">
        <f>_xlfn.XLOOKUP(A610, USD!A:A, USD!B:B, "")</f>
        <v>67.44</v>
      </c>
      <c r="D610">
        <f>_xlfn.XLOOKUP(A610, Brent!A:A, Brent!B:B, "")</f>
        <v>75.89</v>
      </c>
      <c r="E610">
        <f>_xlfn.XLOOKUP(
  A610,
  Repo!A:A,
  Repo!B:B,
  "",
  -1
)</f>
        <v>6</v>
      </c>
      <c r="F610" s="10">
        <f>_xlfn.XLOOKUP(
  A610,
  CPI!D:D,
  CPI!C:C,
  "",
  -1
)</f>
        <v>4.87</v>
      </c>
      <c r="G610">
        <v>31184</v>
      </c>
    </row>
    <row r="611" spans="1:7">
      <c r="A611" s="1">
        <v>43251</v>
      </c>
      <c r="B611">
        <v>30882</v>
      </c>
      <c r="C611">
        <f>_xlfn.XLOOKUP(A611, USD!A:A, USD!B:B, "")</f>
        <v>67.430000000000007</v>
      </c>
      <c r="D611">
        <f>_xlfn.XLOOKUP(A611, Brent!A:A, Brent!B:B, "")</f>
        <v>76.45</v>
      </c>
      <c r="E611">
        <f>_xlfn.XLOOKUP(
  A611,
  Repo!A:A,
  Repo!B:B,
  "",
  -1
)</f>
        <v>6</v>
      </c>
      <c r="F611" s="10">
        <f>_xlfn.XLOOKUP(
  A611,
  CPI!D:D,
  CPI!C:C,
  "",
  -1
)</f>
        <v>4.87</v>
      </c>
      <c r="G611">
        <v>31030</v>
      </c>
    </row>
    <row r="612" spans="1:7">
      <c r="A612" s="1">
        <v>43252</v>
      </c>
      <c r="B612">
        <v>30568</v>
      </c>
      <c r="C612">
        <f>_xlfn.XLOOKUP(A612, USD!A:A, USD!B:B, "")</f>
        <v>66.995000000000005</v>
      </c>
      <c r="D612">
        <f>_xlfn.XLOOKUP(A612, Brent!A:A, Brent!B:B, "")</f>
        <v>74.540000000000006</v>
      </c>
      <c r="E612">
        <f>_xlfn.XLOOKUP(
  A612,
  Repo!A:A,
  Repo!B:B,
  "",
  -1
)</f>
        <v>6</v>
      </c>
      <c r="F612" s="10">
        <f>_xlfn.XLOOKUP(
  A612,
  CPI!D:D,
  CPI!C:C,
  "",
  -1
)</f>
        <v>4.92</v>
      </c>
      <c r="G612">
        <v>30882</v>
      </c>
    </row>
    <row r="613" spans="1:7">
      <c r="A613" s="1">
        <v>43255</v>
      </c>
      <c r="B613">
        <v>30708</v>
      </c>
      <c r="C613">
        <f>_xlfn.XLOOKUP(A613, USD!A:A, USD!B:B, "")</f>
        <v>67.069999999999993</v>
      </c>
      <c r="D613">
        <f>_xlfn.XLOOKUP(A613, Brent!A:A, Brent!B:B, "")</f>
        <v>73.41</v>
      </c>
      <c r="E613">
        <f>_xlfn.XLOOKUP(
  A613,
  Repo!A:A,
  Repo!B:B,
  "",
  -1
)</f>
        <v>6</v>
      </c>
      <c r="F613" s="10">
        <f>_xlfn.XLOOKUP(
  A613,
  CPI!D:D,
  CPI!C:C,
  "",
  -1
)</f>
        <v>4.92</v>
      </c>
      <c r="G613">
        <v>30568</v>
      </c>
    </row>
    <row r="614" spans="1:7">
      <c r="A614" s="1">
        <v>43256</v>
      </c>
      <c r="B614">
        <v>30699</v>
      </c>
      <c r="C614">
        <f>_xlfn.XLOOKUP(A614, USD!A:A, USD!B:B, "")</f>
        <v>67.099999999999994</v>
      </c>
      <c r="D614">
        <f>_xlfn.XLOOKUP(A614, Brent!A:A, Brent!B:B, "")</f>
        <v>72.91</v>
      </c>
      <c r="E614">
        <f>_xlfn.XLOOKUP(
  A614,
  Repo!A:A,
  Repo!B:B,
  "",
  -1
)</f>
        <v>6</v>
      </c>
      <c r="F614" s="10">
        <f>_xlfn.XLOOKUP(
  A614,
  CPI!D:D,
  CPI!C:C,
  "",
  -1
)</f>
        <v>4.92</v>
      </c>
      <c r="G614">
        <v>30708</v>
      </c>
    </row>
    <row r="615" spans="1:7">
      <c r="A615" s="1">
        <v>43257</v>
      </c>
      <c r="B615">
        <v>30755</v>
      </c>
      <c r="C615">
        <f>_xlfn.XLOOKUP(A615, USD!A:A, USD!B:B, "")</f>
        <v>66.84</v>
      </c>
      <c r="D615">
        <f>_xlfn.XLOOKUP(A615, Brent!A:A, Brent!B:B, "")</f>
        <v>73.23</v>
      </c>
      <c r="E615">
        <f>_xlfn.XLOOKUP(
  A615,
  Repo!A:A,
  Repo!B:B,
  "",
  -1
)</f>
        <v>6</v>
      </c>
      <c r="F615" s="10">
        <f>_xlfn.XLOOKUP(
  A615,
  CPI!D:D,
  CPI!C:C,
  "",
  -1
)</f>
        <v>4.92</v>
      </c>
      <c r="G615">
        <v>30699</v>
      </c>
    </row>
    <row r="616" spans="1:7">
      <c r="A616" s="1">
        <v>43258</v>
      </c>
      <c r="B616">
        <v>31055</v>
      </c>
      <c r="C616">
        <f>_xlfn.XLOOKUP(A616, USD!A:A, USD!B:B, "")</f>
        <v>67.42</v>
      </c>
      <c r="D616">
        <f>_xlfn.XLOOKUP(A616, Brent!A:A, Brent!B:B, "")</f>
        <v>75.23</v>
      </c>
      <c r="E616">
        <f>_xlfn.XLOOKUP(
  A616,
  Repo!A:A,
  Repo!B:B,
  "",
  -1
)</f>
        <v>6</v>
      </c>
      <c r="F616" s="10">
        <f>_xlfn.XLOOKUP(
  A616,
  CPI!D:D,
  CPI!C:C,
  "",
  -1
)</f>
        <v>4.92</v>
      </c>
      <c r="G616">
        <v>30755</v>
      </c>
    </row>
    <row r="617" spans="1:7">
      <c r="A617" s="1">
        <v>43259</v>
      </c>
      <c r="B617">
        <v>31076</v>
      </c>
      <c r="C617">
        <f>_xlfn.XLOOKUP(A617, USD!A:A, USD!B:B, "")</f>
        <v>67.53</v>
      </c>
      <c r="D617">
        <f>_xlfn.XLOOKUP(A617, Brent!A:A, Brent!B:B, "")</f>
        <v>75.11</v>
      </c>
      <c r="E617">
        <f>_xlfn.XLOOKUP(
  A617,
  Repo!A:A,
  Repo!B:B,
  "",
  -1
)</f>
        <v>6</v>
      </c>
      <c r="F617" s="10">
        <f>_xlfn.XLOOKUP(
  A617,
  CPI!D:D,
  CPI!C:C,
  "",
  -1
)</f>
        <v>4.92</v>
      </c>
      <c r="G617">
        <v>31055</v>
      </c>
    </row>
    <row r="618" spans="1:7">
      <c r="A618" s="1">
        <v>43262</v>
      </c>
      <c r="B618">
        <v>31035</v>
      </c>
      <c r="C618">
        <f>_xlfn.XLOOKUP(A618, USD!A:A, USD!B:B, "")</f>
        <v>67.47</v>
      </c>
      <c r="D618">
        <f>_xlfn.XLOOKUP(A618, Brent!A:A, Brent!B:B, "")</f>
        <v>74.58</v>
      </c>
      <c r="E618">
        <f>_xlfn.XLOOKUP(
  A618,
  Repo!A:A,
  Repo!B:B,
  "",
  -1
)</f>
        <v>6</v>
      </c>
      <c r="F618" s="10">
        <f>_xlfn.XLOOKUP(
  A618,
  CPI!D:D,
  CPI!C:C,
  "",
  -1
)</f>
        <v>4.92</v>
      </c>
      <c r="G618">
        <v>31076</v>
      </c>
    </row>
    <row r="619" spans="1:7">
      <c r="A619" s="1">
        <v>43263</v>
      </c>
      <c r="B619">
        <v>30952</v>
      </c>
      <c r="C619">
        <f>_xlfn.XLOOKUP(A619, USD!A:A, USD!B:B, "")</f>
        <v>67.48</v>
      </c>
      <c r="D619">
        <f>_xlfn.XLOOKUP(A619, Brent!A:A, Brent!B:B, "")</f>
        <v>74.86</v>
      </c>
      <c r="E619">
        <f>_xlfn.XLOOKUP(
  A619,
  Repo!A:A,
  Repo!B:B,
  "",
  -1
)</f>
        <v>6</v>
      </c>
      <c r="F619" s="10">
        <f>_xlfn.XLOOKUP(
  A619,
  CPI!D:D,
  CPI!C:C,
  "",
  -1
)</f>
        <v>4.92</v>
      </c>
      <c r="G619">
        <v>31035</v>
      </c>
    </row>
    <row r="620" spans="1:7">
      <c r="A620" s="1">
        <v>43264</v>
      </c>
      <c r="B620">
        <v>30952</v>
      </c>
      <c r="C620">
        <f>_xlfn.XLOOKUP(A620, USD!A:A, USD!B:B, "")</f>
        <v>67.644999999999996</v>
      </c>
      <c r="D620">
        <f>_xlfn.XLOOKUP(A620, Brent!A:A, Brent!B:B, "")</f>
        <v>75.069999999999993</v>
      </c>
      <c r="E620">
        <f>_xlfn.XLOOKUP(
  A620,
  Repo!A:A,
  Repo!B:B,
  "",
  -1
)</f>
        <v>6</v>
      </c>
      <c r="F620" s="10">
        <f>_xlfn.XLOOKUP(
  A620,
  CPI!D:D,
  CPI!C:C,
  "",
  -1
)</f>
        <v>4.92</v>
      </c>
      <c r="G620">
        <v>30952</v>
      </c>
    </row>
    <row r="621" spans="1:7">
      <c r="A621" s="1">
        <v>43265</v>
      </c>
      <c r="B621">
        <v>31145</v>
      </c>
      <c r="C621">
        <f>_xlfn.XLOOKUP(A621, USD!A:A, USD!B:B, "")</f>
        <v>67.69</v>
      </c>
      <c r="D621">
        <f>_xlfn.XLOOKUP(A621, Brent!A:A, Brent!B:B, "")</f>
        <v>74.77</v>
      </c>
      <c r="E621">
        <f>_xlfn.XLOOKUP(
  A621,
  Repo!A:A,
  Repo!B:B,
  "",
  -1
)</f>
        <v>6</v>
      </c>
      <c r="F621" s="10">
        <f>_xlfn.XLOOKUP(
  A621,
  CPI!D:D,
  CPI!C:C,
  "",
  -1
)</f>
        <v>4.92</v>
      </c>
      <c r="G621">
        <v>30952</v>
      </c>
    </row>
    <row r="622" spans="1:7">
      <c r="A622" s="1">
        <v>43266</v>
      </c>
      <c r="B622">
        <v>30804</v>
      </c>
      <c r="C622">
        <f>_xlfn.XLOOKUP(A622, USD!A:A, USD!B:B, "")</f>
        <v>68.06</v>
      </c>
      <c r="D622">
        <f>_xlfn.XLOOKUP(A622, Brent!A:A, Brent!B:B, "")</f>
        <v>72.02</v>
      </c>
      <c r="E622">
        <f>_xlfn.XLOOKUP(
  A622,
  Repo!A:A,
  Repo!B:B,
  "",
  -1
)</f>
        <v>6</v>
      </c>
      <c r="F622" s="10">
        <f>_xlfn.XLOOKUP(
  A622,
  CPI!D:D,
  CPI!C:C,
  "",
  -1
)</f>
        <v>4.92</v>
      </c>
      <c r="G622">
        <v>31145</v>
      </c>
    </row>
    <row r="623" spans="1:7">
      <c r="A623" s="1">
        <v>43269</v>
      </c>
      <c r="B623">
        <v>30773</v>
      </c>
      <c r="C623">
        <f>_xlfn.XLOOKUP(A623, USD!A:A, USD!B:B, "")</f>
        <v>68.040000000000006</v>
      </c>
      <c r="D623">
        <f>_xlfn.XLOOKUP(A623, Brent!A:A, Brent!B:B, "")</f>
        <v>74.87</v>
      </c>
      <c r="E623">
        <f>_xlfn.XLOOKUP(
  A623,
  Repo!A:A,
  Repo!B:B,
  "",
  -1
)</f>
        <v>6</v>
      </c>
      <c r="F623" s="10">
        <f>_xlfn.XLOOKUP(
  A623,
  CPI!D:D,
  CPI!C:C,
  "",
  -1
)</f>
        <v>4.92</v>
      </c>
      <c r="G623">
        <v>30804</v>
      </c>
    </row>
    <row r="624" spans="1:7">
      <c r="A624" s="1">
        <v>43270</v>
      </c>
      <c r="B624">
        <v>30702</v>
      </c>
      <c r="C624">
        <f>_xlfn.XLOOKUP(A624, USD!A:A, USD!B:B, "")</f>
        <v>68.31</v>
      </c>
      <c r="D624">
        <f>_xlfn.XLOOKUP(A624, Brent!A:A, Brent!B:B, "")</f>
        <v>74.92</v>
      </c>
      <c r="E624">
        <f>_xlfn.XLOOKUP(
  A624,
  Repo!A:A,
  Repo!B:B,
  "",
  -1
)</f>
        <v>6</v>
      </c>
      <c r="F624" s="10">
        <f>_xlfn.XLOOKUP(
  A624,
  CPI!D:D,
  CPI!C:C,
  "",
  -1
)</f>
        <v>4.92</v>
      </c>
      <c r="G624">
        <v>30773</v>
      </c>
    </row>
    <row r="625" spans="1:7">
      <c r="A625" s="1">
        <v>43271</v>
      </c>
      <c r="B625">
        <v>30605</v>
      </c>
      <c r="C625">
        <f>_xlfn.XLOOKUP(A625, USD!A:A, USD!B:B, "")</f>
        <v>68.06</v>
      </c>
      <c r="D625">
        <f>_xlfn.XLOOKUP(A625, Brent!A:A, Brent!B:B, "")</f>
        <v>74.25</v>
      </c>
      <c r="E625">
        <f>_xlfn.XLOOKUP(
  A625,
  Repo!A:A,
  Repo!B:B,
  "",
  -1
)</f>
        <v>6</v>
      </c>
      <c r="F625" s="10">
        <f>_xlfn.XLOOKUP(
  A625,
  CPI!D:D,
  CPI!C:C,
  "",
  -1
)</f>
        <v>4.92</v>
      </c>
      <c r="G625">
        <v>30702</v>
      </c>
    </row>
    <row r="626" spans="1:7">
      <c r="A626" s="1">
        <v>43272</v>
      </c>
      <c r="B626">
        <v>30451</v>
      </c>
      <c r="C626">
        <f>_xlfn.XLOOKUP(A626, USD!A:A, USD!B:B, "")</f>
        <v>67.944999999999993</v>
      </c>
      <c r="D626">
        <f>_xlfn.XLOOKUP(A626, Brent!A:A, Brent!B:B, "")</f>
        <v>72.87</v>
      </c>
      <c r="E626">
        <f>_xlfn.XLOOKUP(
  A626,
  Repo!A:A,
  Repo!B:B,
  "",
  -1
)</f>
        <v>6</v>
      </c>
      <c r="F626" s="10">
        <f>_xlfn.XLOOKUP(
  A626,
  CPI!D:D,
  CPI!C:C,
  "",
  -1
)</f>
        <v>4.92</v>
      </c>
      <c r="G626">
        <v>30605</v>
      </c>
    </row>
    <row r="627" spans="1:7">
      <c r="A627" s="1">
        <v>43273</v>
      </c>
      <c r="B627">
        <v>30498</v>
      </c>
      <c r="C627">
        <f>_xlfn.XLOOKUP(A627, USD!A:A, USD!B:B, "")</f>
        <v>67.87</v>
      </c>
      <c r="D627">
        <f>_xlfn.XLOOKUP(A627, Brent!A:A, Brent!B:B, "")</f>
        <v>73.67</v>
      </c>
      <c r="E627">
        <f>_xlfn.XLOOKUP(
  A627,
  Repo!A:A,
  Repo!B:B,
  "",
  -1
)</f>
        <v>6</v>
      </c>
      <c r="F627" s="10">
        <f>_xlfn.XLOOKUP(
  A627,
  CPI!D:D,
  CPI!C:C,
  "",
  -1
)</f>
        <v>4.92</v>
      </c>
      <c r="G627">
        <v>30451</v>
      </c>
    </row>
    <row r="628" spans="1:7">
      <c r="A628" s="1">
        <v>43276</v>
      </c>
      <c r="B628">
        <v>30540</v>
      </c>
      <c r="C628">
        <f>_xlfn.XLOOKUP(A628, USD!A:A, USD!B:B, "")</f>
        <v>68.114999999999995</v>
      </c>
      <c r="D628">
        <f>_xlfn.XLOOKUP(A628, Brent!A:A, Brent!B:B, "")</f>
        <v>72.819999999999993</v>
      </c>
      <c r="E628">
        <f>_xlfn.XLOOKUP(
  A628,
  Repo!A:A,
  Repo!B:B,
  "",
  -1
)</f>
        <v>6</v>
      </c>
      <c r="F628" s="10">
        <f>_xlfn.XLOOKUP(
  A628,
  CPI!D:D,
  CPI!C:C,
  "",
  -1
)</f>
        <v>4.92</v>
      </c>
      <c r="G628">
        <v>30498</v>
      </c>
    </row>
    <row r="629" spans="1:7">
      <c r="A629" s="1">
        <v>43277</v>
      </c>
      <c r="B629">
        <v>30480</v>
      </c>
      <c r="C629">
        <f>_xlfn.XLOOKUP(A629, USD!A:A, USD!B:B, "")</f>
        <v>68.37</v>
      </c>
      <c r="D629">
        <f>_xlfn.XLOOKUP(A629, Brent!A:A, Brent!B:B, "")</f>
        <v>73.58</v>
      </c>
      <c r="E629">
        <f>_xlfn.XLOOKUP(
  A629,
  Repo!A:A,
  Repo!B:B,
  "",
  -1
)</f>
        <v>6</v>
      </c>
      <c r="F629" s="10">
        <f>_xlfn.XLOOKUP(
  A629,
  CPI!D:D,
  CPI!C:C,
  "",
  -1
)</f>
        <v>4.92</v>
      </c>
      <c r="G629">
        <v>30540</v>
      </c>
    </row>
    <row r="630" spans="1:7">
      <c r="A630" s="1">
        <v>43278</v>
      </c>
      <c r="B630">
        <v>30606</v>
      </c>
      <c r="C630">
        <f>_xlfn.XLOOKUP(A630, USD!A:A, USD!B:B, "")</f>
        <v>68.64</v>
      </c>
      <c r="D630">
        <f>_xlfn.XLOOKUP(A630, Brent!A:A, Brent!B:B, "")</f>
        <v>76.09</v>
      </c>
      <c r="E630">
        <f>_xlfn.XLOOKUP(
  A630,
  Repo!A:A,
  Repo!B:B,
  "",
  -1
)</f>
        <v>6</v>
      </c>
      <c r="F630" s="10">
        <f>_xlfn.XLOOKUP(
  A630,
  CPI!D:D,
  CPI!C:C,
  "",
  -1
)</f>
        <v>4.92</v>
      </c>
      <c r="G630">
        <v>30480</v>
      </c>
    </row>
    <row r="631" spans="1:7">
      <c r="A631" s="1">
        <v>43279</v>
      </c>
      <c r="B631">
        <v>30431</v>
      </c>
      <c r="C631">
        <f>_xlfn.XLOOKUP(A631, USD!A:A, USD!B:B, "")</f>
        <v>68.84</v>
      </c>
      <c r="D631">
        <f>_xlfn.XLOOKUP(A631, Brent!A:A, Brent!B:B, "")</f>
        <v>76.260000000000005</v>
      </c>
      <c r="E631">
        <f>_xlfn.XLOOKUP(
  A631,
  Repo!A:A,
  Repo!B:B,
  "",
  -1
)</f>
        <v>6</v>
      </c>
      <c r="F631" s="10">
        <f>_xlfn.XLOOKUP(
  A631,
  CPI!D:D,
  CPI!C:C,
  "",
  -1
)</f>
        <v>4.92</v>
      </c>
      <c r="G631">
        <v>30606</v>
      </c>
    </row>
    <row r="632" spans="1:7">
      <c r="A632" s="1">
        <v>43280</v>
      </c>
      <c r="B632">
        <v>30363</v>
      </c>
      <c r="C632">
        <f>_xlfn.XLOOKUP(A632, USD!A:A, USD!B:B, "")</f>
        <v>68.459999999999994</v>
      </c>
      <c r="D632">
        <f>_xlfn.XLOOKUP(A632, Brent!A:A, Brent!B:B, "")</f>
        <v>77.44</v>
      </c>
      <c r="E632">
        <f>_xlfn.XLOOKUP(
  A632,
  Repo!A:A,
  Repo!B:B,
  "",
  -1
)</f>
        <v>6</v>
      </c>
      <c r="F632" s="10">
        <f>_xlfn.XLOOKUP(
  A632,
  CPI!D:D,
  CPI!C:C,
  "",
  -1
)</f>
        <v>4.92</v>
      </c>
      <c r="G632">
        <v>30431</v>
      </c>
    </row>
    <row r="633" spans="1:7">
      <c r="A633" s="1">
        <v>43283</v>
      </c>
      <c r="B633">
        <v>30153</v>
      </c>
      <c r="C633">
        <f>_xlfn.XLOOKUP(A633, USD!A:A, USD!B:B, "")</f>
        <v>68.72</v>
      </c>
      <c r="D633">
        <f>_xlfn.XLOOKUP(A633, Brent!A:A, Brent!B:B, "")</f>
        <v>76.709999999999994</v>
      </c>
      <c r="E633">
        <f>_xlfn.XLOOKUP(
  A633,
  Repo!A:A,
  Repo!B:B,
  "",
  -1
)</f>
        <v>6.25</v>
      </c>
      <c r="F633" s="10">
        <f>_xlfn.XLOOKUP(
  A633,
  CPI!D:D,
  CPI!C:C,
  "",
  -1
)</f>
        <v>4.17</v>
      </c>
      <c r="G633">
        <v>30363</v>
      </c>
    </row>
    <row r="634" spans="1:7">
      <c r="A634" s="1">
        <v>43284</v>
      </c>
      <c r="B634">
        <v>30469</v>
      </c>
      <c r="C634">
        <f>_xlfn.XLOOKUP(A634, USD!A:A, USD!B:B, "")</f>
        <v>68.55</v>
      </c>
      <c r="D634">
        <f>_xlfn.XLOOKUP(A634, Brent!A:A, Brent!B:B, "")</f>
        <v>75.87</v>
      </c>
      <c r="E634">
        <f>_xlfn.XLOOKUP(
  A634,
  Repo!A:A,
  Repo!B:B,
  "",
  -1
)</f>
        <v>6.25</v>
      </c>
      <c r="F634" s="10">
        <f>_xlfn.XLOOKUP(
  A634,
  CPI!D:D,
  CPI!C:C,
  "",
  -1
)</f>
        <v>4.17</v>
      </c>
      <c r="G634">
        <v>30153</v>
      </c>
    </row>
    <row r="635" spans="1:7">
      <c r="A635" s="1">
        <v>43285</v>
      </c>
      <c r="B635">
        <v>30510</v>
      </c>
      <c r="C635">
        <f>_xlfn.XLOOKUP(A635, USD!A:A, USD!B:B, "")</f>
        <v>68.69</v>
      </c>
      <c r="D635">
        <f>_xlfn.XLOOKUP(A635, Brent!A:A, Brent!B:B, "")</f>
        <v>76.989999999999995</v>
      </c>
      <c r="E635">
        <f>_xlfn.XLOOKUP(
  A635,
  Repo!A:A,
  Repo!B:B,
  "",
  -1
)</f>
        <v>6.25</v>
      </c>
      <c r="F635" s="10">
        <f>_xlfn.XLOOKUP(
  A635,
  CPI!D:D,
  CPI!C:C,
  "",
  -1
)</f>
        <v>4.17</v>
      </c>
      <c r="G635">
        <v>30469</v>
      </c>
    </row>
    <row r="636" spans="1:7">
      <c r="A636" s="1">
        <v>43286</v>
      </c>
      <c r="B636">
        <v>30541</v>
      </c>
      <c r="C636">
        <f>_xlfn.XLOOKUP(A636, USD!A:A, USD!B:B, "")</f>
        <v>68.88</v>
      </c>
      <c r="D636">
        <f>_xlfn.XLOOKUP(A636, Brent!A:A, Brent!B:B, "")</f>
        <v>77.09</v>
      </c>
      <c r="E636">
        <f>_xlfn.XLOOKUP(
  A636,
  Repo!A:A,
  Repo!B:B,
  "",
  -1
)</f>
        <v>6.25</v>
      </c>
      <c r="F636" s="10">
        <f>_xlfn.XLOOKUP(
  A636,
  CPI!D:D,
  CPI!C:C,
  "",
  -1
)</f>
        <v>4.17</v>
      </c>
      <c r="G636">
        <v>30510</v>
      </c>
    </row>
    <row r="637" spans="1:7">
      <c r="A637" s="1">
        <v>43287</v>
      </c>
      <c r="B637">
        <v>30582</v>
      </c>
      <c r="C637">
        <f>_xlfn.XLOOKUP(A637, USD!A:A, USD!B:B, "")</f>
        <v>68.805000000000007</v>
      </c>
      <c r="D637">
        <f>_xlfn.XLOOKUP(A637, Brent!A:A, Brent!B:B, "")</f>
        <v>74.98</v>
      </c>
      <c r="E637">
        <f>_xlfn.XLOOKUP(
  A637,
  Repo!A:A,
  Repo!B:B,
  "",
  -1
)</f>
        <v>6.25</v>
      </c>
      <c r="F637" s="10">
        <f>_xlfn.XLOOKUP(
  A637,
  CPI!D:D,
  CPI!C:C,
  "",
  -1
)</f>
        <v>4.17</v>
      </c>
      <c r="G637">
        <v>30541</v>
      </c>
    </row>
    <row r="638" spans="1:7">
      <c r="A638" s="1">
        <v>43290</v>
      </c>
      <c r="B638">
        <v>30638</v>
      </c>
      <c r="C638">
        <f>_xlfn.XLOOKUP(A638, USD!A:A, USD!B:B, "")</f>
        <v>68.66</v>
      </c>
      <c r="D638">
        <f>_xlfn.XLOOKUP(A638, Brent!A:A, Brent!B:B, "")</f>
        <v>77.08</v>
      </c>
      <c r="E638">
        <f>_xlfn.XLOOKUP(
  A638,
  Repo!A:A,
  Repo!B:B,
  "",
  -1
)</f>
        <v>6.25</v>
      </c>
      <c r="F638" s="10">
        <f>_xlfn.XLOOKUP(
  A638,
  CPI!D:D,
  CPI!C:C,
  "",
  -1
)</f>
        <v>4.17</v>
      </c>
      <c r="G638">
        <v>30582</v>
      </c>
    </row>
    <row r="639" spans="1:7">
      <c r="A639" s="1">
        <v>43291</v>
      </c>
      <c r="B639">
        <v>30551</v>
      </c>
      <c r="C639">
        <f>_xlfn.XLOOKUP(A639, USD!A:A, USD!B:B, "")</f>
        <v>68.754999999999995</v>
      </c>
      <c r="D639">
        <f>_xlfn.XLOOKUP(A639, Brent!A:A, Brent!B:B, "")</f>
        <v>77.8</v>
      </c>
      <c r="E639">
        <f>_xlfn.XLOOKUP(
  A639,
  Repo!A:A,
  Repo!B:B,
  "",
  -1
)</f>
        <v>6.25</v>
      </c>
      <c r="F639" s="10">
        <f>_xlfn.XLOOKUP(
  A639,
  CPI!D:D,
  CPI!C:C,
  "",
  -1
)</f>
        <v>4.17</v>
      </c>
      <c r="G639">
        <v>30638</v>
      </c>
    </row>
    <row r="640" spans="1:7">
      <c r="A640" s="1">
        <v>43292</v>
      </c>
      <c r="B640">
        <v>30344</v>
      </c>
      <c r="C640">
        <f>_xlfn.XLOOKUP(A640, USD!A:A, USD!B:B, "")</f>
        <v>68.73</v>
      </c>
      <c r="D640">
        <f>_xlfn.XLOOKUP(A640, Brent!A:A, Brent!B:B, "")</f>
        <v>75.349999999999994</v>
      </c>
      <c r="E640">
        <f>_xlfn.XLOOKUP(
  A640,
  Repo!A:A,
  Repo!B:B,
  "",
  -1
)</f>
        <v>6.25</v>
      </c>
      <c r="F640" s="10">
        <f>_xlfn.XLOOKUP(
  A640,
  CPI!D:D,
  CPI!C:C,
  "",
  -1
)</f>
        <v>4.17</v>
      </c>
      <c r="G640">
        <v>30551</v>
      </c>
    </row>
    <row r="641" spans="1:7">
      <c r="A641" s="1">
        <v>43293</v>
      </c>
      <c r="B641">
        <v>30175</v>
      </c>
      <c r="C641">
        <f>_xlfn.XLOOKUP(A641, USD!A:A, USD!B:B, "")</f>
        <v>68.52</v>
      </c>
      <c r="D641">
        <f>_xlfn.XLOOKUP(A641, Brent!A:A, Brent!B:B, "")</f>
        <v>72.11</v>
      </c>
      <c r="E641">
        <f>_xlfn.XLOOKUP(
  A641,
  Repo!A:A,
  Repo!B:B,
  "",
  -1
)</f>
        <v>6.25</v>
      </c>
      <c r="F641" s="10">
        <f>_xlfn.XLOOKUP(
  A641,
  CPI!D:D,
  CPI!C:C,
  "",
  -1
)</f>
        <v>4.17</v>
      </c>
      <c r="G641">
        <v>30344</v>
      </c>
    </row>
    <row r="642" spans="1:7">
      <c r="A642" s="1">
        <v>43294</v>
      </c>
      <c r="B642">
        <v>30131</v>
      </c>
      <c r="C642">
        <f>_xlfn.XLOOKUP(A642, USD!A:A, USD!B:B, "")</f>
        <v>68.5</v>
      </c>
      <c r="D642">
        <f>_xlfn.XLOOKUP(A642, Brent!A:A, Brent!B:B, "")</f>
        <v>74.11</v>
      </c>
      <c r="E642">
        <f>_xlfn.XLOOKUP(
  A642,
  Repo!A:A,
  Repo!B:B,
  "",
  -1
)</f>
        <v>6.25</v>
      </c>
      <c r="F642" s="10">
        <f>_xlfn.XLOOKUP(
  A642,
  CPI!D:D,
  CPI!C:C,
  "",
  -1
)</f>
        <v>4.17</v>
      </c>
      <c r="G642">
        <v>30175</v>
      </c>
    </row>
    <row r="643" spans="1:7">
      <c r="A643" s="1">
        <v>43297</v>
      </c>
      <c r="B643">
        <v>30103</v>
      </c>
      <c r="C643">
        <f>_xlfn.XLOOKUP(A643, USD!A:A, USD!B:B, "")</f>
        <v>68.55</v>
      </c>
      <c r="D643">
        <f>_xlfn.XLOOKUP(A643, Brent!A:A, Brent!B:B, "")</f>
        <v>71.03</v>
      </c>
      <c r="E643">
        <f>_xlfn.XLOOKUP(
  A643,
  Repo!A:A,
  Repo!B:B,
  "",
  -1
)</f>
        <v>6.25</v>
      </c>
      <c r="F643" s="10">
        <f>_xlfn.XLOOKUP(
  A643,
  CPI!D:D,
  CPI!C:C,
  "",
  -1
)</f>
        <v>4.17</v>
      </c>
      <c r="G643">
        <v>30131</v>
      </c>
    </row>
    <row r="644" spans="1:7">
      <c r="A644" s="1">
        <v>43298</v>
      </c>
      <c r="B644">
        <v>29757</v>
      </c>
      <c r="C644">
        <f>_xlfn.XLOOKUP(A644, USD!A:A, USD!B:B, "")</f>
        <v>68.430000000000007</v>
      </c>
      <c r="D644">
        <f>_xlfn.XLOOKUP(A644, Brent!A:A, Brent!B:B, "")</f>
        <v>70.87</v>
      </c>
      <c r="E644">
        <f>_xlfn.XLOOKUP(
  A644,
  Repo!A:A,
  Repo!B:B,
  "",
  -1
)</f>
        <v>6.25</v>
      </c>
      <c r="F644" s="10">
        <f>_xlfn.XLOOKUP(
  A644,
  CPI!D:D,
  CPI!C:C,
  "",
  -1
)</f>
        <v>4.17</v>
      </c>
      <c r="G644">
        <v>30103</v>
      </c>
    </row>
    <row r="645" spans="1:7">
      <c r="A645" s="1">
        <v>43299</v>
      </c>
      <c r="B645">
        <v>29799</v>
      </c>
      <c r="C645">
        <f>_xlfn.XLOOKUP(A645, USD!A:A, USD!B:B, "")</f>
        <v>68.625</v>
      </c>
      <c r="D645">
        <f>_xlfn.XLOOKUP(A645, Brent!A:A, Brent!B:B, "")</f>
        <v>70.52</v>
      </c>
      <c r="E645">
        <f>_xlfn.XLOOKUP(
  A645,
  Repo!A:A,
  Repo!B:B,
  "",
  -1
)</f>
        <v>6.25</v>
      </c>
      <c r="F645" s="10">
        <f>_xlfn.XLOOKUP(
  A645,
  CPI!D:D,
  CPI!C:C,
  "",
  -1
)</f>
        <v>4.17</v>
      </c>
      <c r="G645">
        <v>29757</v>
      </c>
    </row>
    <row r="646" spans="1:7">
      <c r="A646" s="1">
        <v>43300</v>
      </c>
      <c r="B646">
        <v>29913</v>
      </c>
      <c r="C646">
        <f>_xlfn.XLOOKUP(A646, USD!A:A, USD!B:B, "")</f>
        <v>69.02</v>
      </c>
      <c r="D646">
        <f>_xlfn.XLOOKUP(A646, Brent!A:A, Brent!B:B, "")</f>
        <v>71.94</v>
      </c>
      <c r="E646">
        <f>_xlfn.XLOOKUP(
  A646,
  Repo!A:A,
  Repo!B:B,
  "",
  -1
)</f>
        <v>6.25</v>
      </c>
      <c r="F646" s="10">
        <f>_xlfn.XLOOKUP(
  A646,
  CPI!D:D,
  CPI!C:C,
  "",
  -1
)</f>
        <v>4.17</v>
      </c>
      <c r="G646">
        <v>29799</v>
      </c>
    </row>
    <row r="647" spans="1:7">
      <c r="A647" s="1">
        <v>43301</v>
      </c>
      <c r="B647">
        <v>29957</v>
      </c>
      <c r="C647">
        <f>_xlfn.XLOOKUP(A647, USD!A:A, USD!B:B, "")</f>
        <v>68.739999999999995</v>
      </c>
      <c r="D647">
        <f>_xlfn.XLOOKUP(A647, Brent!A:A, Brent!B:B, "")</f>
        <v>71.989999999999995</v>
      </c>
      <c r="E647">
        <f>_xlfn.XLOOKUP(
  A647,
  Repo!A:A,
  Repo!B:B,
  "",
  -1
)</f>
        <v>6.25</v>
      </c>
      <c r="F647" s="10">
        <f>_xlfn.XLOOKUP(
  A647,
  CPI!D:D,
  CPI!C:C,
  "",
  -1
)</f>
        <v>4.17</v>
      </c>
      <c r="G647">
        <v>29913</v>
      </c>
    </row>
    <row r="648" spans="1:7">
      <c r="A648" s="1">
        <v>43304</v>
      </c>
      <c r="B648">
        <v>29914</v>
      </c>
      <c r="C648">
        <f>_xlfn.XLOOKUP(A648, USD!A:A, USD!B:B, "")</f>
        <v>68.844999999999999</v>
      </c>
      <c r="D648">
        <f>_xlfn.XLOOKUP(A648, Brent!A:A, Brent!B:B, "")</f>
        <v>73.45</v>
      </c>
      <c r="E648">
        <f>_xlfn.XLOOKUP(
  A648,
  Repo!A:A,
  Repo!B:B,
  "",
  -1
)</f>
        <v>6.25</v>
      </c>
      <c r="F648" s="10">
        <f>_xlfn.XLOOKUP(
  A648,
  CPI!D:D,
  CPI!C:C,
  "",
  -1
)</f>
        <v>4.17</v>
      </c>
      <c r="G648">
        <v>29957</v>
      </c>
    </row>
    <row r="649" spans="1:7">
      <c r="A649" s="1">
        <v>43305</v>
      </c>
      <c r="B649">
        <v>29912</v>
      </c>
      <c r="C649">
        <f>_xlfn.XLOOKUP(A649, USD!A:A, USD!B:B, "")</f>
        <v>68.947000000000003</v>
      </c>
      <c r="D649">
        <f>_xlfn.XLOOKUP(A649, Brent!A:A, Brent!B:B, "")</f>
        <v>73.53</v>
      </c>
      <c r="E649">
        <f>_xlfn.XLOOKUP(
  A649,
  Repo!A:A,
  Repo!B:B,
  "",
  -1
)</f>
        <v>6.25</v>
      </c>
      <c r="F649" s="10">
        <f>_xlfn.XLOOKUP(
  A649,
  CPI!D:D,
  CPI!C:C,
  "",
  -1
)</f>
        <v>4.17</v>
      </c>
      <c r="G649">
        <v>29914</v>
      </c>
    </row>
    <row r="650" spans="1:7">
      <c r="A650" s="1">
        <v>43306</v>
      </c>
      <c r="B650">
        <v>29959</v>
      </c>
      <c r="C650">
        <f>_xlfn.XLOOKUP(A650, USD!A:A, USD!B:B, "")</f>
        <v>68.73</v>
      </c>
      <c r="D650">
        <f>_xlfn.XLOOKUP(A650, Brent!A:A, Brent!B:B, "")</f>
        <v>73.67</v>
      </c>
      <c r="E650">
        <f>_xlfn.XLOOKUP(
  A650,
  Repo!A:A,
  Repo!B:B,
  "",
  -1
)</f>
        <v>6.25</v>
      </c>
      <c r="F650" s="10">
        <f>_xlfn.XLOOKUP(
  A650,
  CPI!D:D,
  CPI!C:C,
  "",
  -1
)</f>
        <v>4.17</v>
      </c>
      <c r="G650">
        <v>29912</v>
      </c>
    </row>
    <row r="651" spans="1:7">
      <c r="A651" s="1">
        <v>43307</v>
      </c>
      <c r="B651">
        <v>29836</v>
      </c>
      <c r="C651">
        <f>_xlfn.XLOOKUP(A651, USD!A:A, USD!B:B, "")</f>
        <v>68.66</v>
      </c>
      <c r="D651">
        <f>_xlfn.XLOOKUP(A651, Brent!A:A, Brent!B:B, "")</f>
        <v>74.510000000000005</v>
      </c>
      <c r="E651">
        <f>_xlfn.XLOOKUP(
  A651,
  Repo!A:A,
  Repo!B:B,
  "",
  -1
)</f>
        <v>6.25</v>
      </c>
      <c r="F651" s="10">
        <f>_xlfn.XLOOKUP(
  A651,
  CPI!D:D,
  CPI!C:C,
  "",
  -1
)</f>
        <v>4.17</v>
      </c>
      <c r="G651">
        <v>29959</v>
      </c>
    </row>
    <row r="652" spans="1:7">
      <c r="A652" s="1">
        <v>43308</v>
      </c>
      <c r="B652">
        <v>29805</v>
      </c>
      <c r="C652">
        <f>_xlfn.XLOOKUP(A652, USD!A:A, USD!B:B, "")</f>
        <v>68.605000000000004</v>
      </c>
      <c r="D652">
        <f>_xlfn.XLOOKUP(A652, Brent!A:A, Brent!B:B, "")</f>
        <v>74.84</v>
      </c>
      <c r="E652">
        <f>_xlfn.XLOOKUP(
  A652,
  Repo!A:A,
  Repo!B:B,
  "",
  -1
)</f>
        <v>6.25</v>
      </c>
      <c r="F652" s="10">
        <f>_xlfn.XLOOKUP(
  A652,
  CPI!D:D,
  CPI!C:C,
  "",
  -1
)</f>
        <v>4.17</v>
      </c>
      <c r="G652">
        <v>29836</v>
      </c>
    </row>
    <row r="653" spans="1:7">
      <c r="A653" s="1">
        <v>43311</v>
      </c>
      <c r="B653">
        <v>29755</v>
      </c>
      <c r="C653">
        <f>_xlfn.XLOOKUP(A653, USD!A:A, USD!B:B, "")</f>
        <v>68.605000000000004</v>
      </c>
      <c r="D653">
        <f>_xlfn.XLOOKUP(A653, Brent!A:A, Brent!B:B, "")</f>
        <v>74.989999999999995</v>
      </c>
      <c r="E653">
        <f>_xlfn.XLOOKUP(
  A653,
  Repo!A:A,
  Repo!B:B,
  "",
  -1
)</f>
        <v>6.25</v>
      </c>
      <c r="F653" s="10">
        <f>_xlfn.XLOOKUP(
  A653,
  CPI!D:D,
  CPI!C:C,
  "",
  -1
)</f>
        <v>4.17</v>
      </c>
      <c r="G653">
        <v>29805</v>
      </c>
    </row>
    <row r="654" spans="1:7">
      <c r="A654" s="1">
        <v>43312</v>
      </c>
      <c r="B654">
        <v>29638</v>
      </c>
      <c r="C654">
        <f>_xlfn.XLOOKUP(A654, USD!A:A, USD!B:B, "")</f>
        <v>68.459999999999994</v>
      </c>
      <c r="D654">
        <f>_xlfn.XLOOKUP(A654, Brent!A:A, Brent!B:B, "")</f>
        <v>74.16</v>
      </c>
      <c r="E654">
        <f>_xlfn.XLOOKUP(
  A654,
  Repo!A:A,
  Repo!B:B,
  "",
  -1
)</f>
        <v>6.25</v>
      </c>
      <c r="F654" s="10">
        <f>_xlfn.XLOOKUP(
  A654,
  CPI!D:D,
  CPI!C:C,
  "",
  -1
)</f>
        <v>4.17</v>
      </c>
      <c r="G654">
        <v>29755</v>
      </c>
    </row>
    <row r="655" spans="1:7">
      <c r="A655" s="1">
        <v>43313</v>
      </c>
      <c r="B655">
        <v>29462</v>
      </c>
      <c r="C655">
        <f>_xlfn.XLOOKUP(A655, USD!A:A, USD!B:B, "")</f>
        <v>68.349999999999994</v>
      </c>
      <c r="D655">
        <f>_xlfn.XLOOKUP(A655, Brent!A:A, Brent!B:B, "")</f>
        <v>72.28</v>
      </c>
      <c r="E655">
        <f>_xlfn.XLOOKUP(
  A655,
  Repo!A:A,
  Repo!B:B,
  "",
  -1
)</f>
        <v>6.25</v>
      </c>
      <c r="F655" s="10">
        <f>_xlfn.XLOOKUP(
  A655,
  CPI!D:D,
  CPI!C:C,
  "",
  -1
)</f>
        <v>3.69</v>
      </c>
      <c r="G655">
        <v>29638</v>
      </c>
    </row>
    <row r="656" spans="1:7">
      <c r="A656" s="1">
        <v>43314</v>
      </c>
      <c r="B656">
        <v>29520</v>
      </c>
      <c r="C656">
        <f>_xlfn.XLOOKUP(A656, USD!A:A, USD!B:B, "")</f>
        <v>68.625</v>
      </c>
      <c r="D656">
        <f>_xlfn.XLOOKUP(A656, Brent!A:A, Brent!B:B, "")</f>
        <v>72.95</v>
      </c>
      <c r="E656">
        <f>_xlfn.XLOOKUP(
  A656,
  Repo!A:A,
  Repo!B:B,
  "",
  -1
)</f>
        <v>6.25</v>
      </c>
      <c r="F656" s="10">
        <f>_xlfn.XLOOKUP(
  A656,
  CPI!D:D,
  CPI!C:C,
  "",
  -1
)</f>
        <v>3.69</v>
      </c>
      <c r="G656">
        <v>29462</v>
      </c>
    </row>
    <row r="657" spans="1:7">
      <c r="A657" s="1">
        <v>43315</v>
      </c>
      <c r="B657">
        <v>29800</v>
      </c>
      <c r="C657">
        <f>_xlfn.XLOOKUP(A657, USD!A:A, USD!B:B, "")</f>
        <v>68.545000000000002</v>
      </c>
      <c r="D657">
        <f>_xlfn.XLOOKUP(A657, Brent!A:A, Brent!B:B, "")</f>
        <v>72.48</v>
      </c>
      <c r="E657">
        <f>_xlfn.XLOOKUP(
  A657,
  Repo!A:A,
  Repo!B:B,
  "",
  -1
)</f>
        <v>6.25</v>
      </c>
      <c r="F657" s="10">
        <f>_xlfn.XLOOKUP(
  A657,
  CPI!D:D,
  CPI!C:C,
  "",
  -1
)</f>
        <v>3.69</v>
      </c>
      <c r="G657">
        <v>29520</v>
      </c>
    </row>
    <row r="658" spans="1:7">
      <c r="A658" s="1">
        <v>43318</v>
      </c>
      <c r="B658">
        <v>29563</v>
      </c>
      <c r="C658">
        <f>_xlfn.XLOOKUP(A658, USD!A:A, USD!B:B, "")</f>
        <v>68.83</v>
      </c>
      <c r="D658">
        <f>_xlfn.XLOOKUP(A658, Brent!A:A, Brent!B:B, "")</f>
        <v>72.510000000000005</v>
      </c>
      <c r="E658">
        <f>_xlfn.XLOOKUP(
  A658,
  Repo!A:A,
  Repo!B:B,
  "",
  -1
)</f>
        <v>6.25</v>
      </c>
      <c r="F658" s="10">
        <f>_xlfn.XLOOKUP(
  A658,
  CPI!D:D,
  CPI!C:C,
  "",
  -1
)</f>
        <v>3.69</v>
      </c>
      <c r="G658">
        <v>29800</v>
      </c>
    </row>
    <row r="659" spans="1:7">
      <c r="A659" s="1">
        <v>43319</v>
      </c>
      <c r="B659">
        <v>29534</v>
      </c>
      <c r="C659">
        <f>_xlfn.XLOOKUP(A659, USD!A:A, USD!B:B, "")</f>
        <v>68.63</v>
      </c>
      <c r="D659">
        <f>_xlfn.XLOOKUP(A659, Brent!A:A, Brent!B:B, "")</f>
        <v>72.31</v>
      </c>
      <c r="E659">
        <f>_xlfn.XLOOKUP(
  A659,
  Repo!A:A,
  Repo!B:B,
  "",
  -1
)</f>
        <v>6.25</v>
      </c>
      <c r="F659" s="10">
        <f>_xlfn.XLOOKUP(
  A659,
  CPI!D:D,
  CPI!C:C,
  "",
  -1
)</f>
        <v>3.69</v>
      </c>
      <c r="G659">
        <v>29563</v>
      </c>
    </row>
    <row r="660" spans="1:7">
      <c r="A660" s="1">
        <v>43320</v>
      </c>
      <c r="B660">
        <v>29544</v>
      </c>
      <c r="C660">
        <f>_xlfn.XLOOKUP(A660, USD!A:A, USD!B:B, "")</f>
        <v>68.66</v>
      </c>
      <c r="D660">
        <f>_xlfn.XLOOKUP(A660, Brent!A:A, Brent!B:B, "")</f>
        <v>70.709999999999994</v>
      </c>
      <c r="E660">
        <f>_xlfn.XLOOKUP(
  A660,
  Repo!A:A,
  Repo!B:B,
  "",
  -1
)</f>
        <v>6.25</v>
      </c>
      <c r="F660" s="10">
        <f>_xlfn.XLOOKUP(
  A660,
  CPI!D:D,
  CPI!C:C,
  "",
  -1
)</f>
        <v>3.69</v>
      </c>
      <c r="G660">
        <v>29534</v>
      </c>
    </row>
    <row r="661" spans="1:7">
      <c r="A661" s="1">
        <v>43321</v>
      </c>
      <c r="B661">
        <v>29605</v>
      </c>
      <c r="C661">
        <f>_xlfn.XLOOKUP(A661, USD!A:A, USD!B:B, "")</f>
        <v>68.760000000000005</v>
      </c>
      <c r="D661">
        <f>_xlfn.XLOOKUP(A661, Brent!A:A, Brent!B:B, "")</f>
        <v>70.55</v>
      </c>
      <c r="E661">
        <f>_xlfn.XLOOKUP(
  A661,
  Repo!A:A,
  Repo!B:B,
  "",
  -1
)</f>
        <v>6.25</v>
      </c>
      <c r="F661" s="10">
        <f>_xlfn.XLOOKUP(
  A661,
  CPI!D:D,
  CPI!C:C,
  "",
  -1
)</f>
        <v>3.69</v>
      </c>
      <c r="G661">
        <v>29544</v>
      </c>
    </row>
    <row r="662" spans="1:7">
      <c r="A662" s="1">
        <v>43322</v>
      </c>
      <c r="B662">
        <v>29706</v>
      </c>
      <c r="C662">
        <f>_xlfn.XLOOKUP(A662, USD!A:A, USD!B:B, "")</f>
        <v>68.89</v>
      </c>
      <c r="D662">
        <f>_xlfn.XLOOKUP(A662, Brent!A:A, Brent!B:B, "")</f>
        <v>71</v>
      </c>
      <c r="E662">
        <f>_xlfn.XLOOKUP(
  A662,
  Repo!A:A,
  Repo!B:B,
  "",
  -1
)</f>
        <v>6.25</v>
      </c>
      <c r="F662" s="10">
        <f>_xlfn.XLOOKUP(
  A662,
  CPI!D:D,
  CPI!C:C,
  "",
  -1
)</f>
        <v>3.69</v>
      </c>
      <c r="G662">
        <v>29605</v>
      </c>
    </row>
    <row r="663" spans="1:7">
      <c r="A663" s="1">
        <v>43325</v>
      </c>
      <c r="B663">
        <v>29665</v>
      </c>
      <c r="C663">
        <f>_xlfn.XLOOKUP(A663, USD!A:A, USD!B:B, "")</f>
        <v>70.02</v>
      </c>
      <c r="D663">
        <f>_xlfn.XLOOKUP(A663, Brent!A:A, Brent!B:B, "")</f>
        <v>70.62</v>
      </c>
      <c r="E663">
        <f>_xlfn.XLOOKUP(
  A663,
  Repo!A:A,
  Repo!B:B,
  "",
  -1
)</f>
        <v>6.25</v>
      </c>
      <c r="F663" s="10">
        <f>_xlfn.XLOOKUP(
  A663,
  CPI!D:D,
  CPI!C:C,
  "",
  -1
)</f>
        <v>3.69</v>
      </c>
      <c r="G663">
        <v>29706</v>
      </c>
    </row>
    <row r="664" spans="1:7">
      <c r="A664" s="1">
        <v>43326</v>
      </c>
      <c r="B664">
        <v>29664</v>
      </c>
      <c r="C664">
        <f>_xlfn.XLOOKUP(A664, USD!A:A, USD!B:B, "")</f>
        <v>69.959999999999994</v>
      </c>
      <c r="D664">
        <f>_xlfn.XLOOKUP(A664, Brent!A:A, Brent!B:B, "")</f>
        <v>70.77</v>
      </c>
      <c r="E664">
        <f>_xlfn.XLOOKUP(
  A664,
  Repo!A:A,
  Repo!B:B,
  "",
  -1
)</f>
        <v>6.25</v>
      </c>
      <c r="F664" s="10">
        <f>_xlfn.XLOOKUP(
  A664,
  CPI!D:D,
  CPI!C:C,
  "",
  -1
)</f>
        <v>3.69</v>
      </c>
      <c r="G664">
        <v>29665</v>
      </c>
    </row>
    <row r="665" spans="1:7">
      <c r="A665" s="1">
        <v>43328</v>
      </c>
      <c r="B665">
        <v>29275</v>
      </c>
      <c r="C665">
        <f>_xlfn.XLOOKUP(A665, USD!A:A, USD!B:B, "")</f>
        <v>70.09</v>
      </c>
      <c r="D665">
        <f>_xlfn.XLOOKUP(A665, Brent!A:A, Brent!B:B, "")</f>
        <v>69.209999999999994</v>
      </c>
      <c r="E665">
        <f>_xlfn.XLOOKUP(
  A665,
  Repo!A:A,
  Repo!B:B,
  "",
  -1
)</f>
        <v>6.25</v>
      </c>
      <c r="F665" s="10">
        <f>_xlfn.XLOOKUP(
  A665,
  CPI!D:D,
  CPI!C:C,
  "",
  -1
)</f>
        <v>3.69</v>
      </c>
      <c r="G665">
        <v>29664</v>
      </c>
    </row>
    <row r="666" spans="1:7">
      <c r="A666" s="1">
        <v>43329</v>
      </c>
      <c r="B666">
        <v>29275</v>
      </c>
      <c r="C666">
        <f>_xlfn.XLOOKUP(A666, USD!A:A, USD!B:B, "")</f>
        <v>70.099999999999994</v>
      </c>
      <c r="D666">
        <f>_xlfn.XLOOKUP(A666, Brent!A:A, Brent!B:B, "")</f>
        <v>70.14</v>
      </c>
      <c r="E666">
        <f>_xlfn.XLOOKUP(
  A666,
  Repo!A:A,
  Repo!B:B,
  "",
  -1
)</f>
        <v>6.25</v>
      </c>
      <c r="F666" s="10">
        <f>_xlfn.XLOOKUP(
  A666,
  CPI!D:D,
  CPI!C:C,
  "",
  -1
)</f>
        <v>3.69</v>
      </c>
      <c r="G666">
        <v>29275</v>
      </c>
    </row>
    <row r="667" spans="1:7">
      <c r="A667" s="1">
        <v>43332</v>
      </c>
      <c r="B667">
        <v>29435</v>
      </c>
      <c r="C667">
        <f>_xlfn.XLOOKUP(A667, USD!A:A, USD!B:B, "")</f>
        <v>69.819999999999993</v>
      </c>
      <c r="D667">
        <f>_xlfn.XLOOKUP(A667, Brent!A:A, Brent!B:B, "")</f>
        <v>71.11</v>
      </c>
      <c r="E667">
        <f>_xlfn.XLOOKUP(
  A667,
  Repo!A:A,
  Repo!B:B,
  "",
  -1
)</f>
        <v>6.25</v>
      </c>
      <c r="F667" s="10">
        <f>_xlfn.XLOOKUP(
  A667,
  CPI!D:D,
  CPI!C:C,
  "",
  -1
)</f>
        <v>3.69</v>
      </c>
      <c r="G667">
        <v>29275</v>
      </c>
    </row>
    <row r="668" spans="1:7">
      <c r="A668" s="1">
        <v>43333</v>
      </c>
      <c r="B668">
        <v>29542</v>
      </c>
      <c r="C668">
        <f>_xlfn.XLOOKUP(A668, USD!A:A, USD!B:B, "")</f>
        <v>69.86</v>
      </c>
      <c r="D668">
        <f>_xlfn.XLOOKUP(A668, Brent!A:A, Brent!B:B, "")</f>
        <v>71.650000000000006</v>
      </c>
      <c r="E668">
        <f>_xlfn.XLOOKUP(
  A668,
  Repo!A:A,
  Repo!B:B,
  "",
  -1
)</f>
        <v>6.25</v>
      </c>
      <c r="F668" s="10">
        <f>_xlfn.XLOOKUP(
  A668,
  CPI!D:D,
  CPI!C:C,
  "",
  -1
)</f>
        <v>3.69</v>
      </c>
      <c r="G668">
        <v>29435</v>
      </c>
    </row>
    <row r="669" spans="1:7">
      <c r="A669" s="1">
        <v>43334</v>
      </c>
      <c r="B669">
        <v>29627</v>
      </c>
      <c r="C669">
        <f>_xlfn.XLOOKUP(A669, USD!A:A, USD!B:B, "")</f>
        <v>69.87</v>
      </c>
      <c r="D669">
        <f>_xlfn.XLOOKUP(A669, Brent!A:A, Brent!B:B, "")</f>
        <v>72.959999999999994</v>
      </c>
      <c r="E669">
        <f>_xlfn.XLOOKUP(
  A669,
  Repo!A:A,
  Repo!B:B,
  "",
  -1
)</f>
        <v>6.25</v>
      </c>
      <c r="F669" s="10">
        <f>_xlfn.XLOOKUP(
  A669,
  CPI!D:D,
  CPI!C:C,
  "",
  -1
)</f>
        <v>3.69</v>
      </c>
      <c r="G669">
        <v>29542</v>
      </c>
    </row>
    <row r="670" spans="1:7">
      <c r="A670" s="1">
        <v>43335</v>
      </c>
      <c r="B670">
        <v>29576</v>
      </c>
      <c r="C670">
        <f>_xlfn.XLOOKUP(A670, USD!A:A, USD!B:B, "")</f>
        <v>70.105000000000004</v>
      </c>
      <c r="D670">
        <f>_xlfn.XLOOKUP(A670, Brent!A:A, Brent!B:B, "")</f>
        <v>73.73</v>
      </c>
      <c r="E670">
        <f>_xlfn.XLOOKUP(
  A670,
  Repo!A:A,
  Repo!B:B,
  "",
  -1
)</f>
        <v>6.25</v>
      </c>
      <c r="F670" s="10">
        <f>_xlfn.XLOOKUP(
  A670,
  CPI!D:D,
  CPI!C:C,
  "",
  -1
)</f>
        <v>3.69</v>
      </c>
      <c r="G670">
        <v>29627</v>
      </c>
    </row>
    <row r="671" spans="1:7">
      <c r="A671" s="1">
        <v>43336</v>
      </c>
      <c r="B671">
        <v>29882</v>
      </c>
      <c r="C671">
        <f>_xlfn.XLOOKUP(A671, USD!A:A, USD!B:B, "")</f>
        <v>69.97</v>
      </c>
      <c r="D671">
        <f>_xlfn.XLOOKUP(A671, Brent!A:A, Brent!B:B, "")</f>
        <v>74.41</v>
      </c>
      <c r="E671">
        <f>_xlfn.XLOOKUP(
  A671,
  Repo!A:A,
  Repo!B:B,
  "",
  -1
)</f>
        <v>6.25</v>
      </c>
      <c r="F671" s="10">
        <f>_xlfn.XLOOKUP(
  A671,
  CPI!D:D,
  CPI!C:C,
  "",
  -1
)</f>
        <v>3.69</v>
      </c>
      <c r="G671">
        <v>29576</v>
      </c>
    </row>
    <row r="672" spans="1:7">
      <c r="A672" s="1">
        <v>43339</v>
      </c>
      <c r="B672">
        <v>29973</v>
      </c>
      <c r="C672">
        <f>_xlfn.XLOOKUP(A672, USD!A:A, USD!B:B, "")</f>
        <v>70.165000000000006</v>
      </c>
      <c r="D672">
        <f>_xlfn.XLOOKUP(A672, Brent!A:A, Brent!B:B, "")</f>
        <v>74.41</v>
      </c>
      <c r="E672">
        <f>_xlfn.XLOOKUP(
  A672,
  Repo!A:A,
  Repo!B:B,
  "",
  -1
)</f>
        <v>6.25</v>
      </c>
      <c r="F672" s="10">
        <f>_xlfn.XLOOKUP(
  A672,
  CPI!D:D,
  CPI!C:C,
  "",
  -1
)</f>
        <v>3.69</v>
      </c>
      <c r="G672">
        <v>29882</v>
      </c>
    </row>
    <row r="673" spans="1:7">
      <c r="A673" s="1">
        <v>43340</v>
      </c>
      <c r="B673">
        <v>29981</v>
      </c>
      <c r="C673">
        <f>_xlfn.XLOOKUP(A673, USD!A:A, USD!B:B, "")</f>
        <v>70.099999999999994</v>
      </c>
      <c r="D673">
        <f>_xlfn.XLOOKUP(A673, Brent!A:A, Brent!B:B, "")</f>
        <v>75.91</v>
      </c>
      <c r="E673">
        <f>_xlfn.XLOOKUP(
  A673,
  Repo!A:A,
  Repo!B:B,
  "",
  -1
)</f>
        <v>6.25</v>
      </c>
      <c r="F673" s="10">
        <f>_xlfn.XLOOKUP(
  A673,
  CPI!D:D,
  CPI!C:C,
  "",
  -1
)</f>
        <v>3.69</v>
      </c>
      <c r="G673">
        <v>29973</v>
      </c>
    </row>
    <row r="674" spans="1:7">
      <c r="A674" s="1">
        <v>43341</v>
      </c>
      <c r="B674">
        <v>30144</v>
      </c>
      <c r="C674">
        <f>_xlfn.XLOOKUP(A674, USD!A:A, USD!B:B, "")</f>
        <v>70.534999999999997</v>
      </c>
      <c r="D674">
        <f>_xlfn.XLOOKUP(A674, Brent!A:A, Brent!B:B, "")</f>
        <v>76.069999999999993</v>
      </c>
      <c r="E674">
        <f>_xlfn.XLOOKUP(
  A674,
  Repo!A:A,
  Repo!B:B,
  "",
  -1
)</f>
        <v>6.25</v>
      </c>
      <c r="F674" s="10">
        <f>_xlfn.XLOOKUP(
  A674,
  CPI!D:D,
  CPI!C:C,
  "",
  -1
)</f>
        <v>3.69</v>
      </c>
      <c r="G674">
        <v>29981</v>
      </c>
    </row>
    <row r="675" spans="1:7">
      <c r="A675" s="1">
        <v>43342</v>
      </c>
      <c r="B675">
        <v>30131</v>
      </c>
      <c r="C675">
        <f>_xlfn.XLOOKUP(A675, USD!A:A, USD!B:B, "")</f>
        <v>70.745000000000005</v>
      </c>
      <c r="D675">
        <f>_xlfn.XLOOKUP(A675, Brent!A:A, Brent!B:B, "")</f>
        <v>77.05</v>
      </c>
      <c r="E675">
        <f>_xlfn.XLOOKUP(
  A675,
  Repo!A:A,
  Repo!B:B,
  "",
  -1
)</f>
        <v>6.25</v>
      </c>
      <c r="F675" s="10">
        <f>_xlfn.XLOOKUP(
  A675,
  CPI!D:D,
  CPI!C:C,
  "",
  -1
)</f>
        <v>3.69</v>
      </c>
      <c r="G675">
        <v>30144</v>
      </c>
    </row>
    <row r="676" spans="1:7">
      <c r="A676" s="1">
        <v>43343</v>
      </c>
      <c r="B676">
        <v>30116</v>
      </c>
      <c r="C676">
        <f>_xlfn.XLOOKUP(A676, USD!A:A, USD!B:B, "")</f>
        <v>71.004999999999995</v>
      </c>
      <c r="D676">
        <f>_xlfn.XLOOKUP(A676, Brent!A:A, Brent!B:B, "")</f>
        <v>76.94</v>
      </c>
      <c r="E676">
        <f>_xlfn.XLOOKUP(
  A676,
  Repo!A:A,
  Repo!B:B,
  "",
  -1
)</f>
        <v>6.5</v>
      </c>
      <c r="F676" s="10">
        <f>_xlfn.XLOOKUP(
  A676,
  CPI!D:D,
  CPI!C:C,
  "",
  -1
)</f>
        <v>3.69</v>
      </c>
      <c r="G676">
        <v>30131</v>
      </c>
    </row>
    <row r="677" spans="1:7">
      <c r="A677" s="1">
        <v>43346</v>
      </c>
      <c r="B677">
        <v>30327</v>
      </c>
      <c r="C677">
        <f>_xlfn.XLOOKUP(A677, USD!A:A, USD!B:B, "")</f>
        <v>71.215000000000003</v>
      </c>
      <c r="D677">
        <f>_xlfn.XLOOKUP(A677, Brent!A:A, Brent!B:B, "")</f>
        <v>77.81</v>
      </c>
      <c r="E677">
        <f>_xlfn.XLOOKUP(
  A677,
  Repo!A:A,
  Repo!B:B,
  "",
  -1
)</f>
        <v>6.5</v>
      </c>
      <c r="F677" s="10">
        <f>_xlfn.XLOOKUP(
  A677,
  CPI!D:D,
  CPI!C:C,
  "",
  -1
)</f>
        <v>3.7</v>
      </c>
      <c r="G677">
        <v>30116</v>
      </c>
    </row>
    <row r="678" spans="1:7">
      <c r="A678" s="1">
        <v>43347</v>
      </c>
      <c r="B678">
        <v>30221</v>
      </c>
      <c r="C678">
        <f>_xlfn.XLOOKUP(A678, USD!A:A, USD!B:B, "")</f>
        <v>71.584999999999994</v>
      </c>
      <c r="D678">
        <f>_xlfn.XLOOKUP(A678, Brent!A:A, Brent!B:B, "")</f>
        <v>77.510000000000005</v>
      </c>
      <c r="E678">
        <f>_xlfn.XLOOKUP(
  A678,
  Repo!A:A,
  Repo!B:B,
  "",
  -1
)</f>
        <v>6.5</v>
      </c>
      <c r="F678" s="10">
        <f>_xlfn.XLOOKUP(
  A678,
  CPI!D:D,
  CPI!C:C,
  "",
  -1
)</f>
        <v>3.7</v>
      </c>
      <c r="G678">
        <v>30327</v>
      </c>
    </row>
    <row r="679" spans="1:7">
      <c r="A679" s="1">
        <v>43348</v>
      </c>
      <c r="B679">
        <v>30310</v>
      </c>
      <c r="C679">
        <f>_xlfn.XLOOKUP(A679, USD!A:A, USD!B:B, "")</f>
        <v>71.754999999999995</v>
      </c>
      <c r="D679">
        <f>_xlfn.XLOOKUP(A679, Brent!A:A, Brent!B:B, "")</f>
        <v>76.680000000000007</v>
      </c>
      <c r="E679">
        <f>_xlfn.XLOOKUP(
  A679,
  Repo!A:A,
  Repo!B:B,
  "",
  -1
)</f>
        <v>6.5</v>
      </c>
      <c r="F679" s="10">
        <f>_xlfn.XLOOKUP(
  A679,
  CPI!D:D,
  CPI!C:C,
  "",
  -1
)</f>
        <v>3.7</v>
      </c>
      <c r="G679">
        <v>30221</v>
      </c>
    </row>
    <row r="680" spans="1:7">
      <c r="A680" s="1">
        <v>43349</v>
      </c>
      <c r="B680">
        <v>30565</v>
      </c>
      <c r="C680">
        <f>_xlfn.XLOOKUP(A680, USD!A:A, USD!B:B, "")</f>
        <v>71.95</v>
      </c>
      <c r="D680">
        <f>_xlfn.XLOOKUP(A680, Brent!A:A, Brent!B:B, "")</f>
        <v>75.67</v>
      </c>
      <c r="E680">
        <f>_xlfn.XLOOKUP(
  A680,
  Repo!A:A,
  Repo!B:B,
  "",
  -1
)</f>
        <v>6.5</v>
      </c>
      <c r="F680" s="10">
        <f>_xlfn.XLOOKUP(
  A680,
  CPI!D:D,
  CPI!C:C,
  "",
  -1
)</f>
        <v>3.7</v>
      </c>
      <c r="G680">
        <v>30310</v>
      </c>
    </row>
    <row r="681" spans="1:7">
      <c r="A681" s="1">
        <v>43350</v>
      </c>
      <c r="B681">
        <v>30509</v>
      </c>
      <c r="C681">
        <f>_xlfn.XLOOKUP(A681, USD!A:A, USD!B:B, "")</f>
        <v>71.790000000000006</v>
      </c>
      <c r="D681">
        <f>_xlfn.XLOOKUP(A681, Brent!A:A, Brent!B:B, "")</f>
        <v>75.55</v>
      </c>
      <c r="E681">
        <f>_xlfn.XLOOKUP(
  A681,
  Repo!A:A,
  Repo!B:B,
  "",
  -1
)</f>
        <v>6.5</v>
      </c>
      <c r="F681" s="10">
        <f>_xlfn.XLOOKUP(
  A681,
  CPI!D:D,
  CPI!C:C,
  "",
  -1
)</f>
        <v>3.7</v>
      </c>
      <c r="G681">
        <v>30565</v>
      </c>
    </row>
    <row r="682" spans="1:7">
      <c r="A682" s="1">
        <v>43353</v>
      </c>
      <c r="B682">
        <v>30725</v>
      </c>
      <c r="C682">
        <f>_xlfn.XLOOKUP(A682, USD!A:A, USD!B:B, "")</f>
        <v>72.454999999999998</v>
      </c>
      <c r="D682">
        <f>_xlfn.XLOOKUP(A682, Brent!A:A, Brent!B:B, "")</f>
        <v>76.77</v>
      </c>
      <c r="E682">
        <f>_xlfn.XLOOKUP(
  A682,
  Repo!A:A,
  Repo!B:B,
  "",
  -1
)</f>
        <v>6.5</v>
      </c>
      <c r="F682" s="10">
        <f>_xlfn.XLOOKUP(
  A682,
  CPI!D:D,
  CPI!C:C,
  "",
  -1
)</f>
        <v>3.7</v>
      </c>
      <c r="G682">
        <v>30509</v>
      </c>
    </row>
    <row r="683" spans="1:7">
      <c r="A683" s="1">
        <v>43354</v>
      </c>
      <c r="B683">
        <v>30732</v>
      </c>
      <c r="C683">
        <f>_xlfn.XLOOKUP(A683, USD!A:A, USD!B:B, "")</f>
        <v>72.64</v>
      </c>
      <c r="D683">
        <f>_xlfn.XLOOKUP(A683, Brent!A:A, Brent!B:B, "")</f>
        <v>78.22</v>
      </c>
      <c r="E683">
        <f>_xlfn.XLOOKUP(
  A683,
  Repo!A:A,
  Repo!B:B,
  "",
  -1
)</f>
        <v>6.5</v>
      </c>
      <c r="F683" s="10">
        <f>_xlfn.XLOOKUP(
  A683,
  CPI!D:D,
  CPI!C:C,
  "",
  -1
)</f>
        <v>3.7</v>
      </c>
      <c r="G683">
        <v>30725</v>
      </c>
    </row>
    <row r="684" spans="1:7">
      <c r="A684" s="1">
        <v>43355</v>
      </c>
      <c r="B684">
        <v>30664</v>
      </c>
      <c r="C684">
        <f>_xlfn.XLOOKUP(A684, USD!A:A, USD!B:B, "")</f>
        <v>72.16</v>
      </c>
      <c r="D684">
        <f>_xlfn.XLOOKUP(A684, Brent!A:A, Brent!B:B, "")</f>
        <v>80.02</v>
      </c>
      <c r="E684">
        <f>_xlfn.XLOOKUP(
  A684,
  Repo!A:A,
  Repo!B:B,
  "",
  -1
)</f>
        <v>6.5</v>
      </c>
      <c r="F684" s="10">
        <f>_xlfn.XLOOKUP(
  A684,
  CPI!D:D,
  CPI!C:C,
  "",
  -1
)</f>
        <v>3.7</v>
      </c>
      <c r="G684">
        <v>30732</v>
      </c>
    </row>
    <row r="685" spans="1:7">
      <c r="A685" s="1">
        <v>43356</v>
      </c>
      <c r="B685">
        <v>30470</v>
      </c>
      <c r="C685">
        <f>_xlfn.XLOOKUP(A685, USD!A:A, USD!B:B, "")</f>
        <v>72.037000000000006</v>
      </c>
      <c r="D685">
        <f>_xlfn.XLOOKUP(A685, Brent!A:A, Brent!B:B, "")</f>
        <v>77.66</v>
      </c>
      <c r="E685">
        <f>_xlfn.XLOOKUP(
  A685,
  Repo!A:A,
  Repo!B:B,
  "",
  -1
)</f>
        <v>6.5</v>
      </c>
      <c r="F685" s="10">
        <f>_xlfn.XLOOKUP(
  A685,
  CPI!D:D,
  CPI!C:C,
  "",
  -1
)</f>
        <v>3.7</v>
      </c>
      <c r="G685">
        <v>30664</v>
      </c>
    </row>
    <row r="686" spans="1:7">
      <c r="A686" s="1">
        <v>43357</v>
      </c>
      <c r="B686">
        <v>30453</v>
      </c>
      <c r="C686">
        <f>_xlfn.XLOOKUP(A686, USD!A:A, USD!B:B, "")</f>
        <v>71.88</v>
      </c>
      <c r="D686">
        <f>_xlfn.XLOOKUP(A686, Brent!A:A, Brent!B:B, "")</f>
        <v>77.87</v>
      </c>
      <c r="E686">
        <f>_xlfn.XLOOKUP(
  A686,
  Repo!A:A,
  Repo!B:B,
  "",
  -1
)</f>
        <v>6.5</v>
      </c>
      <c r="F686" s="10">
        <f>_xlfn.XLOOKUP(
  A686,
  CPI!D:D,
  CPI!C:C,
  "",
  -1
)</f>
        <v>3.7</v>
      </c>
      <c r="G686">
        <v>30470</v>
      </c>
    </row>
    <row r="687" spans="1:7">
      <c r="A687" s="1">
        <v>43360</v>
      </c>
      <c r="B687">
        <v>30778</v>
      </c>
      <c r="C687">
        <f>_xlfn.XLOOKUP(A687, USD!A:A, USD!B:B, "")</f>
        <v>72.540000000000006</v>
      </c>
      <c r="D687">
        <f>_xlfn.XLOOKUP(A687, Brent!A:A, Brent!B:B, "")</f>
        <v>78.22</v>
      </c>
      <c r="E687">
        <f>_xlfn.XLOOKUP(
  A687,
  Repo!A:A,
  Repo!B:B,
  "",
  -1
)</f>
        <v>6.5</v>
      </c>
      <c r="F687" s="10">
        <f>_xlfn.XLOOKUP(
  A687,
  CPI!D:D,
  CPI!C:C,
  "",
  -1
)</f>
        <v>3.7</v>
      </c>
      <c r="G687">
        <v>30453</v>
      </c>
    </row>
    <row r="688" spans="1:7">
      <c r="A688" s="1">
        <v>43361</v>
      </c>
      <c r="B688">
        <v>30811</v>
      </c>
      <c r="C688">
        <f>_xlfn.XLOOKUP(A688, USD!A:A, USD!B:B, "")</f>
        <v>72.709999999999994</v>
      </c>
      <c r="D688">
        <f>_xlfn.XLOOKUP(A688, Brent!A:A, Brent!B:B, "")</f>
        <v>79.25</v>
      </c>
      <c r="E688">
        <f>_xlfn.XLOOKUP(
  A688,
  Repo!A:A,
  Repo!B:B,
  "",
  -1
)</f>
        <v>6.5</v>
      </c>
      <c r="F688" s="10">
        <f>_xlfn.XLOOKUP(
  A688,
  CPI!D:D,
  CPI!C:C,
  "",
  -1
)</f>
        <v>3.7</v>
      </c>
      <c r="G688">
        <v>30778</v>
      </c>
    </row>
    <row r="689" spans="1:7">
      <c r="A689" s="1">
        <v>43362</v>
      </c>
      <c r="B689">
        <v>30649</v>
      </c>
      <c r="C689">
        <f>_xlfn.XLOOKUP(A689, USD!A:A, USD!B:B, "")</f>
        <v>72.36</v>
      </c>
      <c r="D689">
        <f>_xlfn.XLOOKUP(A689, Brent!A:A, Brent!B:B, "")</f>
        <v>79.430000000000007</v>
      </c>
      <c r="E689">
        <f>_xlfn.XLOOKUP(
  A689,
  Repo!A:A,
  Repo!B:B,
  "",
  -1
)</f>
        <v>6.5</v>
      </c>
      <c r="F689" s="10">
        <f>_xlfn.XLOOKUP(
  A689,
  CPI!D:D,
  CPI!C:C,
  "",
  -1
)</f>
        <v>3.7</v>
      </c>
      <c r="G689">
        <v>30811</v>
      </c>
    </row>
    <row r="690" spans="1:7">
      <c r="A690" s="1">
        <v>43363</v>
      </c>
      <c r="B690">
        <v>30623</v>
      </c>
      <c r="C690">
        <f>_xlfn.XLOOKUP(A690, USD!A:A, USD!B:B, "")</f>
        <v>72.015000000000001</v>
      </c>
      <c r="D690">
        <f>_xlfn.XLOOKUP(A690, Brent!A:A, Brent!B:B, "")</f>
        <v>79.03</v>
      </c>
      <c r="E690">
        <f>_xlfn.XLOOKUP(
  A690,
  Repo!A:A,
  Repo!B:B,
  "",
  -1
)</f>
        <v>6.5</v>
      </c>
      <c r="F690" s="10">
        <f>_xlfn.XLOOKUP(
  A690,
  CPI!D:D,
  CPI!C:C,
  "",
  -1
)</f>
        <v>3.7</v>
      </c>
      <c r="G690">
        <v>30649</v>
      </c>
    </row>
    <row r="691" spans="1:7">
      <c r="A691" s="1">
        <v>43364</v>
      </c>
      <c r="B691">
        <v>30609</v>
      </c>
      <c r="C691">
        <f>_xlfn.XLOOKUP(A691, USD!A:A, USD!B:B, "")</f>
        <v>72.239999999999995</v>
      </c>
      <c r="D691">
        <f>_xlfn.XLOOKUP(A691, Brent!A:A, Brent!B:B, "")</f>
        <v>78.900000000000006</v>
      </c>
      <c r="E691">
        <f>_xlfn.XLOOKUP(
  A691,
  Repo!A:A,
  Repo!B:B,
  "",
  -1
)</f>
        <v>6.5</v>
      </c>
      <c r="F691" s="10">
        <f>_xlfn.XLOOKUP(
  A691,
  CPI!D:D,
  CPI!C:C,
  "",
  -1
)</f>
        <v>3.7</v>
      </c>
      <c r="G691">
        <v>30623</v>
      </c>
    </row>
    <row r="692" spans="1:7">
      <c r="A692" s="1">
        <v>43367</v>
      </c>
      <c r="B692">
        <v>30862</v>
      </c>
      <c r="C692">
        <f>_xlfn.XLOOKUP(A692, USD!A:A, USD!B:B, "")</f>
        <v>72.67</v>
      </c>
      <c r="D692">
        <f>_xlfn.XLOOKUP(A692, Brent!A:A, Brent!B:B, "")</f>
        <v>80.89</v>
      </c>
      <c r="E692">
        <f>_xlfn.XLOOKUP(
  A692,
  Repo!A:A,
  Repo!B:B,
  "",
  -1
)</f>
        <v>6.5</v>
      </c>
      <c r="F692" s="10">
        <f>_xlfn.XLOOKUP(
  A692,
  CPI!D:D,
  CPI!C:C,
  "",
  -1
)</f>
        <v>3.7</v>
      </c>
      <c r="G692">
        <v>30609</v>
      </c>
    </row>
    <row r="693" spans="1:7">
      <c r="A693" s="1">
        <v>43368</v>
      </c>
      <c r="B693">
        <v>30838</v>
      </c>
      <c r="C693">
        <f>_xlfn.XLOOKUP(A693, USD!A:A, USD!B:B, "")</f>
        <v>72.685000000000002</v>
      </c>
      <c r="D693">
        <f>_xlfn.XLOOKUP(A693, Brent!A:A, Brent!B:B, "")</f>
        <v>82.21</v>
      </c>
      <c r="E693">
        <f>_xlfn.XLOOKUP(
  A693,
  Repo!A:A,
  Repo!B:B,
  "",
  -1
)</f>
        <v>6.5</v>
      </c>
      <c r="F693" s="10">
        <f>_xlfn.XLOOKUP(
  A693,
  CPI!D:D,
  CPI!C:C,
  "",
  -1
)</f>
        <v>3.7</v>
      </c>
      <c r="G693">
        <v>30862</v>
      </c>
    </row>
    <row r="694" spans="1:7">
      <c r="A694" s="1">
        <v>43369</v>
      </c>
      <c r="B694">
        <v>30608</v>
      </c>
      <c r="C694">
        <f>_xlfn.XLOOKUP(A694, USD!A:A, USD!B:B, "")</f>
        <v>72.599999999999994</v>
      </c>
      <c r="D694">
        <f>_xlfn.XLOOKUP(A694, Brent!A:A, Brent!B:B, "")</f>
        <v>81.87</v>
      </c>
      <c r="E694">
        <f>_xlfn.XLOOKUP(
  A694,
  Repo!A:A,
  Repo!B:B,
  "",
  -1
)</f>
        <v>6.5</v>
      </c>
      <c r="F694" s="10">
        <f>_xlfn.XLOOKUP(
  A694,
  CPI!D:D,
  CPI!C:C,
  "",
  -1
)</f>
        <v>3.7</v>
      </c>
      <c r="G694">
        <v>30838</v>
      </c>
    </row>
    <row r="695" spans="1:7">
      <c r="A695" s="1">
        <v>43370</v>
      </c>
      <c r="B695">
        <v>30356</v>
      </c>
      <c r="C695">
        <f>_xlfn.XLOOKUP(A695, USD!A:A, USD!B:B, "")</f>
        <v>72.569999999999993</v>
      </c>
      <c r="D695">
        <f>_xlfn.XLOOKUP(A695, Brent!A:A, Brent!B:B, "")</f>
        <v>81.540000000000006</v>
      </c>
      <c r="E695">
        <f>_xlfn.XLOOKUP(
  A695,
  Repo!A:A,
  Repo!B:B,
  "",
  -1
)</f>
        <v>6.5</v>
      </c>
      <c r="F695" s="10">
        <f>_xlfn.XLOOKUP(
  A695,
  CPI!D:D,
  CPI!C:C,
  "",
  -1
)</f>
        <v>3.7</v>
      </c>
      <c r="G695">
        <v>30608</v>
      </c>
    </row>
    <row r="696" spans="1:7">
      <c r="A696" s="1">
        <v>43371</v>
      </c>
      <c r="B696">
        <v>30479</v>
      </c>
      <c r="C696">
        <f>_xlfn.XLOOKUP(A696, USD!A:A, USD!B:B, "")</f>
        <v>72.510000000000005</v>
      </c>
      <c r="D696">
        <f>_xlfn.XLOOKUP(A696, Brent!A:A, Brent!B:B, "")</f>
        <v>82.72</v>
      </c>
      <c r="E696">
        <f>_xlfn.XLOOKUP(
  A696,
  Repo!A:A,
  Repo!B:B,
  "",
  -1
)</f>
        <v>6.5</v>
      </c>
      <c r="F696" s="10">
        <f>_xlfn.XLOOKUP(
  A696,
  CPI!D:D,
  CPI!C:C,
  "",
  -1
)</f>
        <v>3.7</v>
      </c>
      <c r="G696">
        <v>30356</v>
      </c>
    </row>
    <row r="697" spans="1:7">
      <c r="A697" s="1">
        <v>43374</v>
      </c>
      <c r="B697">
        <v>30614</v>
      </c>
      <c r="C697">
        <f>_xlfn.XLOOKUP(A697, USD!A:A, USD!B:B, "")</f>
        <v>72.924999999999997</v>
      </c>
      <c r="D697">
        <f>_xlfn.XLOOKUP(A697, Brent!A:A, Brent!B:B, "")</f>
        <v>84.94</v>
      </c>
      <c r="E697">
        <f>_xlfn.XLOOKUP(
  A697,
  Repo!A:A,
  Repo!B:B,
  "",
  -1
)</f>
        <v>6.5</v>
      </c>
      <c r="F697" s="10">
        <f>_xlfn.XLOOKUP(
  A697,
  CPI!D:D,
  CPI!C:C,
  "",
  -1
)</f>
        <v>3.38</v>
      </c>
      <c r="G697">
        <v>30479</v>
      </c>
    </row>
    <row r="698" spans="1:7">
      <c r="A698" s="1">
        <v>43376</v>
      </c>
      <c r="B698">
        <v>31025</v>
      </c>
      <c r="C698">
        <f>_xlfn.XLOOKUP(A698, USD!A:A, USD!B:B, "")</f>
        <v>73.344999999999999</v>
      </c>
      <c r="D698">
        <f>_xlfn.XLOOKUP(A698, Brent!A:A, Brent!B:B, "")</f>
        <v>85.45</v>
      </c>
      <c r="E698">
        <f>_xlfn.XLOOKUP(
  A698,
  Repo!A:A,
  Repo!B:B,
  "",
  -1
)</f>
        <v>6.5</v>
      </c>
      <c r="F698" s="10">
        <f>_xlfn.XLOOKUP(
  A698,
  CPI!D:D,
  CPI!C:C,
  "",
  -1
)</f>
        <v>3.38</v>
      </c>
      <c r="G698">
        <v>30614</v>
      </c>
    </row>
    <row r="699" spans="1:7">
      <c r="A699" s="1">
        <v>43377</v>
      </c>
      <c r="B699">
        <v>31136</v>
      </c>
      <c r="C699">
        <f>_xlfn.XLOOKUP(A699, USD!A:A, USD!B:B, "")</f>
        <v>73.63</v>
      </c>
      <c r="D699">
        <f>_xlfn.XLOOKUP(A699, Brent!A:A, Brent!B:B, "")</f>
        <v>86.07</v>
      </c>
      <c r="E699">
        <f>_xlfn.XLOOKUP(
  A699,
  Repo!A:A,
  Repo!B:B,
  "",
  -1
)</f>
        <v>6.5</v>
      </c>
      <c r="F699" s="10">
        <f>_xlfn.XLOOKUP(
  A699,
  CPI!D:D,
  CPI!C:C,
  "",
  -1
)</f>
        <v>3.38</v>
      </c>
      <c r="G699">
        <v>31025</v>
      </c>
    </row>
    <row r="700" spans="1:7">
      <c r="A700" s="1">
        <v>43378</v>
      </c>
      <c r="B700">
        <v>31233</v>
      </c>
      <c r="C700">
        <f>_xlfn.XLOOKUP(A700, USD!A:A, USD!B:B, "")</f>
        <v>73.77</v>
      </c>
      <c r="D700">
        <f>_xlfn.XLOOKUP(A700, Brent!A:A, Brent!B:B, "")</f>
        <v>85.12</v>
      </c>
      <c r="E700">
        <f>_xlfn.XLOOKUP(
  A700,
  Repo!A:A,
  Repo!B:B,
  "",
  -1
)</f>
        <v>6.5</v>
      </c>
      <c r="F700" s="10">
        <f>_xlfn.XLOOKUP(
  A700,
  CPI!D:D,
  CPI!C:C,
  "",
  -1
)</f>
        <v>3.38</v>
      </c>
      <c r="G700">
        <v>31136</v>
      </c>
    </row>
    <row r="701" spans="1:7">
      <c r="A701" s="1">
        <v>43381</v>
      </c>
      <c r="B701">
        <v>31096</v>
      </c>
      <c r="C701">
        <f>_xlfn.XLOOKUP(A701, USD!A:A, USD!B:B, "")</f>
        <v>74.064999999999998</v>
      </c>
      <c r="D701">
        <f>_xlfn.XLOOKUP(A701, Brent!A:A, Brent!B:B, "")</f>
        <v>84.22</v>
      </c>
      <c r="E701">
        <f>_xlfn.XLOOKUP(
  A701,
  Repo!A:A,
  Repo!B:B,
  "",
  -1
)</f>
        <v>6.5</v>
      </c>
      <c r="F701" s="10">
        <f>_xlfn.XLOOKUP(
  A701,
  CPI!D:D,
  CPI!C:C,
  "",
  -1
)</f>
        <v>3.38</v>
      </c>
      <c r="G701">
        <v>31233</v>
      </c>
    </row>
    <row r="702" spans="1:7">
      <c r="A702" s="1">
        <v>43382</v>
      </c>
      <c r="B702">
        <v>31161</v>
      </c>
      <c r="C702">
        <f>_xlfn.XLOOKUP(A702, USD!A:A, USD!B:B, "")</f>
        <v>74.34</v>
      </c>
      <c r="D702">
        <f>_xlfn.XLOOKUP(A702, Brent!A:A, Brent!B:B, "")</f>
        <v>85.16</v>
      </c>
      <c r="E702">
        <f>_xlfn.XLOOKUP(
  A702,
  Repo!A:A,
  Repo!B:B,
  "",
  -1
)</f>
        <v>6.5</v>
      </c>
      <c r="F702" s="10">
        <f>_xlfn.XLOOKUP(
  A702,
  CPI!D:D,
  CPI!C:C,
  "",
  -1
)</f>
        <v>3.38</v>
      </c>
      <c r="G702">
        <v>31096</v>
      </c>
    </row>
    <row r="703" spans="1:7">
      <c r="A703" s="1">
        <v>43383</v>
      </c>
      <c r="B703">
        <v>31247</v>
      </c>
      <c r="C703">
        <f>_xlfn.XLOOKUP(A703, USD!A:A, USD!B:B, "")</f>
        <v>74.25</v>
      </c>
      <c r="D703">
        <f>_xlfn.XLOOKUP(A703, Brent!A:A, Brent!B:B, "")</f>
        <v>83.82</v>
      </c>
      <c r="E703">
        <f>_xlfn.XLOOKUP(
  A703,
  Repo!A:A,
  Repo!B:B,
  "",
  -1
)</f>
        <v>6.5</v>
      </c>
      <c r="F703" s="10">
        <f>_xlfn.XLOOKUP(
  A703,
  CPI!D:D,
  CPI!C:C,
  "",
  -1
)</f>
        <v>3.38</v>
      </c>
      <c r="G703">
        <v>31161</v>
      </c>
    </row>
    <row r="704" spans="1:7">
      <c r="A704" s="1">
        <v>43384</v>
      </c>
      <c r="B704">
        <v>31793</v>
      </c>
      <c r="C704">
        <f>_xlfn.XLOOKUP(A704, USD!A:A, USD!B:B, "")</f>
        <v>74.05</v>
      </c>
      <c r="D704">
        <f>_xlfn.XLOOKUP(A704, Brent!A:A, Brent!B:B, "")</f>
        <v>81.349999999999994</v>
      </c>
      <c r="E704">
        <f>_xlfn.XLOOKUP(
  A704,
  Repo!A:A,
  Repo!B:B,
  "",
  -1
)</f>
        <v>6.5</v>
      </c>
      <c r="F704" s="10">
        <f>_xlfn.XLOOKUP(
  A704,
  CPI!D:D,
  CPI!C:C,
  "",
  -1
)</f>
        <v>3.38</v>
      </c>
      <c r="G704">
        <v>31247</v>
      </c>
    </row>
    <row r="705" spans="1:7">
      <c r="A705" s="1">
        <v>43385</v>
      </c>
      <c r="B705">
        <v>31670</v>
      </c>
      <c r="C705">
        <f>_xlfn.XLOOKUP(A705, USD!A:A, USD!B:B, "")</f>
        <v>73.61</v>
      </c>
      <c r="D705">
        <f>_xlfn.XLOOKUP(A705, Brent!A:A, Brent!B:B, "")</f>
        <v>80.709999999999994</v>
      </c>
      <c r="E705">
        <f>_xlfn.XLOOKUP(
  A705,
  Repo!A:A,
  Repo!B:B,
  "",
  -1
)</f>
        <v>6.5</v>
      </c>
      <c r="F705" s="10">
        <f>_xlfn.XLOOKUP(
  A705,
  CPI!D:D,
  CPI!C:C,
  "",
  -1
)</f>
        <v>3.38</v>
      </c>
      <c r="G705">
        <v>31793</v>
      </c>
    </row>
    <row r="706" spans="1:7">
      <c r="A706" s="1">
        <v>43388</v>
      </c>
      <c r="B706">
        <v>31877</v>
      </c>
      <c r="C706">
        <f>_xlfn.XLOOKUP(A706, USD!A:A, USD!B:B, "")</f>
        <v>73.77</v>
      </c>
      <c r="D706">
        <f>_xlfn.XLOOKUP(A706, Brent!A:A, Brent!B:B, "")</f>
        <v>80.91</v>
      </c>
      <c r="E706">
        <f>_xlfn.XLOOKUP(
  A706,
  Repo!A:A,
  Repo!B:B,
  "",
  -1
)</f>
        <v>6.5</v>
      </c>
      <c r="F706" s="10">
        <f>_xlfn.XLOOKUP(
  A706,
  CPI!D:D,
  CPI!C:C,
  "",
  -1
)</f>
        <v>3.38</v>
      </c>
      <c r="G706">
        <v>31670</v>
      </c>
    </row>
    <row r="707" spans="1:7">
      <c r="A707" s="1">
        <v>43389</v>
      </c>
      <c r="B707">
        <v>31701</v>
      </c>
      <c r="C707">
        <f>_xlfn.XLOOKUP(A707, USD!A:A, USD!B:B, "")</f>
        <v>73.465000000000003</v>
      </c>
      <c r="D707">
        <f>_xlfn.XLOOKUP(A707, Brent!A:A, Brent!B:B, "")</f>
        <v>80.53</v>
      </c>
      <c r="E707">
        <f>_xlfn.XLOOKUP(
  A707,
  Repo!A:A,
  Repo!B:B,
  "",
  -1
)</f>
        <v>6.5</v>
      </c>
      <c r="F707" s="10">
        <f>_xlfn.XLOOKUP(
  A707,
  CPI!D:D,
  CPI!C:C,
  "",
  -1
)</f>
        <v>3.38</v>
      </c>
      <c r="G707">
        <v>31877</v>
      </c>
    </row>
    <row r="708" spans="1:7">
      <c r="A708" s="1">
        <v>43390</v>
      </c>
      <c r="B708">
        <v>31702</v>
      </c>
      <c r="C708">
        <f>_xlfn.XLOOKUP(A708, USD!A:A, USD!B:B, "")</f>
        <v>73.599999999999994</v>
      </c>
      <c r="D708">
        <f>_xlfn.XLOOKUP(A708, Brent!A:A, Brent!B:B, "")</f>
        <v>79.91</v>
      </c>
      <c r="E708">
        <f>_xlfn.XLOOKUP(
  A708,
  Repo!A:A,
  Repo!B:B,
  "",
  -1
)</f>
        <v>6.5</v>
      </c>
      <c r="F708" s="10">
        <f>_xlfn.XLOOKUP(
  A708,
  CPI!D:D,
  CPI!C:C,
  "",
  -1
)</f>
        <v>3.38</v>
      </c>
      <c r="G708">
        <v>31701</v>
      </c>
    </row>
    <row r="709" spans="1:7">
      <c r="A709" s="1">
        <v>43391</v>
      </c>
      <c r="B709">
        <v>31885</v>
      </c>
      <c r="C709">
        <f>_xlfn.XLOOKUP(A709, USD!A:A, USD!B:B, "")</f>
        <v>73.53</v>
      </c>
      <c r="D709">
        <f>_xlfn.XLOOKUP(A709, Brent!A:A, Brent!B:B, "")</f>
        <v>80.3</v>
      </c>
      <c r="E709">
        <f>_xlfn.XLOOKUP(
  A709,
  Repo!A:A,
  Repo!B:B,
  "",
  -1
)</f>
        <v>6.5</v>
      </c>
      <c r="F709" s="10">
        <f>_xlfn.XLOOKUP(
  A709,
  CPI!D:D,
  CPI!C:C,
  "",
  -1
)</f>
        <v>3.38</v>
      </c>
      <c r="G709">
        <v>31702</v>
      </c>
    </row>
    <row r="710" spans="1:7">
      <c r="A710" s="1">
        <v>43392</v>
      </c>
      <c r="B710">
        <v>31737</v>
      </c>
      <c r="C710">
        <f>_xlfn.XLOOKUP(A710, USD!A:A, USD!B:B, "")</f>
        <v>73.375</v>
      </c>
      <c r="D710">
        <f>_xlfn.XLOOKUP(A710, Brent!A:A, Brent!B:B, "")</f>
        <v>80.38</v>
      </c>
      <c r="E710">
        <f>_xlfn.XLOOKUP(
  A710,
  Repo!A:A,
  Repo!B:B,
  "",
  -1
)</f>
        <v>6.5</v>
      </c>
      <c r="F710" s="10">
        <f>_xlfn.XLOOKUP(
  A710,
  CPI!D:D,
  CPI!C:C,
  "",
  -1
)</f>
        <v>3.38</v>
      </c>
      <c r="G710">
        <v>31885</v>
      </c>
    </row>
    <row r="711" spans="1:7">
      <c r="A711" s="1">
        <v>43395</v>
      </c>
      <c r="B711">
        <v>31729</v>
      </c>
      <c r="C711">
        <f>_xlfn.XLOOKUP(A711, USD!A:A, USD!B:B, "")</f>
        <v>73.56</v>
      </c>
      <c r="D711">
        <f>_xlfn.XLOOKUP(A711, Brent!A:A, Brent!B:B, "")</f>
        <v>80.45</v>
      </c>
      <c r="E711">
        <f>_xlfn.XLOOKUP(
  A711,
  Repo!A:A,
  Repo!B:B,
  "",
  -1
)</f>
        <v>6.5</v>
      </c>
      <c r="F711" s="10">
        <f>_xlfn.XLOOKUP(
  A711,
  CPI!D:D,
  CPI!C:C,
  "",
  -1
)</f>
        <v>3.38</v>
      </c>
      <c r="G711">
        <v>31737</v>
      </c>
    </row>
    <row r="712" spans="1:7">
      <c r="A712" s="1">
        <v>43396</v>
      </c>
      <c r="B712">
        <v>31871</v>
      </c>
      <c r="C712">
        <f>_xlfn.XLOOKUP(A712, USD!A:A, USD!B:B, "")</f>
        <v>73.55</v>
      </c>
      <c r="D712">
        <f>_xlfn.XLOOKUP(A712, Brent!A:A, Brent!B:B, "")</f>
        <v>78.67</v>
      </c>
      <c r="E712">
        <f>_xlfn.XLOOKUP(
  A712,
  Repo!A:A,
  Repo!B:B,
  "",
  -1
)</f>
        <v>6.5</v>
      </c>
      <c r="F712" s="10">
        <f>_xlfn.XLOOKUP(
  A712,
  CPI!D:D,
  CPI!C:C,
  "",
  -1
)</f>
        <v>3.38</v>
      </c>
      <c r="G712">
        <v>31729</v>
      </c>
    </row>
    <row r="713" spans="1:7">
      <c r="A713" s="1">
        <v>43397</v>
      </c>
      <c r="B713">
        <v>31723</v>
      </c>
      <c r="C713">
        <f>_xlfn.XLOOKUP(A713, USD!A:A, USD!B:B, "")</f>
        <v>73.23</v>
      </c>
      <c r="D713">
        <f>_xlfn.XLOOKUP(A713, Brent!A:A, Brent!B:B, "")</f>
        <v>77.34</v>
      </c>
      <c r="E713">
        <f>_xlfn.XLOOKUP(
  A713,
  Repo!A:A,
  Repo!B:B,
  "",
  -1
)</f>
        <v>6.5</v>
      </c>
      <c r="F713" s="10">
        <f>_xlfn.XLOOKUP(
  A713,
  CPI!D:D,
  CPI!C:C,
  "",
  -1
)</f>
        <v>3.38</v>
      </c>
      <c r="G713">
        <v>31871</v>
      </c>
    </row>
    <row r="714" spans="1:7">
      <c r="A714" s="1">
        <v>43398</v>
      </c>
      <c r="B714">
        <v>31683</v>
      </c>
      <c r="C714">
        <f>_xlfn.XLOOKUP(A714, USD!A:A, USD!B:B, "")</f>
        <v>73.23</v>
      </c>
      <c r="D714">
        <f>_xlfn.XLOOKUP(A714, Brent!A:A, Brent!B:B, "")</f>
        <v>77.3</v>
      </c>
      <c r="E714">
        <f>_xlfn.XLOOKUP(
  A714,
  Repo!A:A,
  Repo!B:B,
  "",
  -1
)</f>
        <v>6.5</v>
      </c>
      <c r="F714" s="10">
        <f>_xlfn.XLOOKUP(
  A714,
  CPI!D:D,
  CPI!C:C,
  "",
  -1
)</f>
        <v>3.38</v>
      </c>
      <c r="G714">
        <v>31723</v>
      </c>
    </row>
    <row r="715" spans="1:7">
      <c r="A715" s="1">
        <v>43399</v>
      </c>
      <c r="B715">
        <v>31764</v>
      </c>
      <c r="C715">
        <f>_xlfn.XLOOKUP(A715, USD!A:A, USD!B:B, "")</f>
        <v>73.459999999999994</v>
      </c>
      <c r="D715">
        <f>_xlfn.XLOOKUP(A715, Brent!A:A, Brent!B:B, "")</f>
        <v>77.400000000000006</v>
      </c>
      <c r="E715">
        <f>_xlfn.XLOOKUP(
  A715,
  Repo!A:A,
  Repo!B:B,
  "",
  -1
)</f>
        <v>6.5</v>
      </c>
      <c r="F715" s="10">
        <f>_xlfn.XLOOKUP(
  A715,
  CPI!D:D,
  CPI!C:C,
  "",
  -1
)</f>
        <v>3.38</v>
      </c>
      <c r="G715">
        <v>31683</v>
      </c>
    </row>
    <row r="716" spans="1:7">
      <c r="A716" s="1">
        <v>43402</v>
      </c>
      <c r="B716">
        <v>31730</v>
      </c>
      <c r="C716">
        <f>_xlfn.XLOOKUP(A716, USD!A:A, USD!B:B, "")</f>
        <v>73.400000000000006</v>
      </c>
      <c r="D716">
        <f>_xlfn.XLOOKUP(A716, Brent!A:A, Brent!B:B, "")</f>
        <v>77.56</v>
      </c>
      <c r="E716">
        <f>_xlfn.XLOOKUP(
  A716,
  Repo!A:A,
  Repo!B:B,
  "",
  -1
)</f>
        <v>6.5</v>
      </c>
      <c r="F716" s="10">
        <f>_xlfn.XLOOKUP(
  A716,
  CPI!D:D,
  CPI!C:C,
  "",
  -1
)</f>
        <v>3.38</v>
      </c>
      <c r="G716">
        <v>31764</v>
      </c>
    </row>
    <row r="717" spans="1:7">
      <c r="A717" s="1">
        <v>43403</v>
      </c>
      <c r="B717">
        <v>31725</v>
      </c>
      <c r="C717">
        <f>_xlfn.XLOOKUP(A717, USD!A:A, USD!B:B, "")</f>
        <v>73.680000000000007</v>
      </c>
      <c r="D717">
        <f>_xlfn.XLOOKUP(A717, Brent!A:A, Brent!B:B, "")</f>
        <v>75.680000000000007</v>
      </c>
      <c r="E717">
        <f>_xlfn.XLOOKUP(
  A717,
  Repo!A:A,
  Repo!B:B,
  "",
  -1
)</f>
        <v>6.5</v>
      </c>
      <c r="F717" s="10">
        <f>_xlfn.XLOOKUP(
  A717,
  CPI!D:D,
  CPI!C:C,
  "",
  -1
)</f>
        <v>3.38</v>
      </c>
      <c r="G717">
        <v>31730</v>
      </c>
    </row>
    <row r="718" spans="1:7">
      <c r="A718" s="1">
        <v>43404</v>
      </c>
      <c r="B718">
        <v>31631</v>
      </c>
      <c r="C718">
        <f>_xlfn.XLOOKUP(A718, USD!A:A, USD!B:B, "")</f>
        <v>73.959999999999994</v>
      </c>
      <c r="D718">
        <f>_xlfn.XLOOKUP(A718, Brent!A:A, Brent!B:B, "")</f>
        <v>74.84</v>
      </c>
      <c r="E718">
        <f>_xlfn.XLOOKUP(
  A718,
  Repo!A:A,
  Repo!B:B,
  "",
  -1
)</f>
        <v>6.5</v>
      </c>
      <c r="F718" s="10">
        <f>_xlfn.XLOOKUP(
  A718,
  CPI!D:D,
  CPI!C:C,
  "",
  -1
)</f>
        <v>3.38</v>
      </c>
      <c r="G718">
        <v>31725</v>
      </c>
    </row>
    <row r="719" spans="1:7">
      <c r="A719" s="1">
        <v>43405</v>
      </c>
      <c r="B719">
        <v>31783</v>
      </c>
      <c r="C719">
        <f>_xlfn.XLOOKUP(A719, USD!A:A, USD!B:B, "")</f>
        <v>73.454999999999998</v>
      </c>
      <c r="D719">
        <f>_xlfn.XLOOKUP(A719, Brent!A:A, Brent!B:B, "")</f>
        <v>71.25</v>
      </c>
      <c r="E719">
        <f>_xlfn.XLOOKUP(
  A719,
  Repo!A:A,
  Repo!B:B,
  "",
  -1
)</f>
        <v>6.5</v>
      </c>
      <c r="F719" s="10">
        <f>_xlfn.XLOOKUP(
  A719,
  CPI!D:D,
  CPI!C:C,
  "",
  -1
)</f>
        <v>2.33</v>
      </c>
      <c r="G719">
        <v>31631</v>
      </c>
    </row>
    <row r="720" spans="1:7">
      <c r="A720" s="1">
        <v>43406</v>
      </c>
      <c r="B720">
        <v>31737</v>
      </c>
      <c r="C720">
        <f>_xlfn.XLOOKUP(A720, USD!A:A, USD!B:B, "")</f>
        <v>72.44</v>
      </c>
      <c r="D720">
        <f>_xlfn.XLOOKUP(A720, Brent!A:A, Brent!B:B, "")</f>
        <v>71.11</v>
      </c>
      <c r="E720">
        <f>_xlfn.XLOOKUP(
  A720,
  Repo!A:A,
  Repo!B:B,
  "",
  -1
)</f>
        <v>6.5</v>
      </c>
      <c r="F720" s="10">
        <f>_xlfn.XLOOKUP(
  A720,
  CPI!D:D,
  CPI!C:C,
  "",
  -1
)</f>
        <v>2.33</v>
      </c>
      <c r="G720">
        <v>31783</v>
      </c>
    </row>
    <row r="721" spans="1:7">
      <c r="A721" s="1">
        <v>43409</v>
      </c>
      <c r="B721">
        <v>31783</v>
      </c>
      <c r="C721">
        <f>_xlfn.XLOOKUP(A721, USD!A:A, USD!B:B, "")</f>
        <v>73.08</v>
      </c>
      <c r="D721">
        <f>_xlfn.XLOOKUP(A721, Brent!A:A, Brent!B:B, "")</f>
        <v>72.680000000000007</v>
      </c>
      <c r="E721">
        <f>_xlfn.XLOOKUP(
  A721,
  Repo!A:A,
  Repo!B:B,
  "",
  -1
)</f>
        <v>6.5</v>
      </c>
      <c r="F721" s="10">
        <f>_xlfn.XLOOKUP(
  A721,
  CPI!D:D,
  CPI!C:C,
  "",
  -1
)</f>
        <v>2.33</v>
      </c>
      <c r="G721">
        <v>31737</v>
      </c>
    </row>
    <row r="722" spans="1:7">
      <c r="A722" s="1">
        <v>43410</v>
      </c>
      <c r="B722">
        <v>31657</v>
      </c>
      <c r="C722">
        <f>_xlfn.XLOOKUP(A722, USD!A:A, USD!B:B, "")</f>
        <v>72.954999999999998</v>
      </c>
      <c r="D722">
        <f>_xlfn.XLOOKUP(A722, Brent!A:A, Brent!B:B, "")</f>
        <v>70.64</v>
      </c>
      <c r="E722">
        <f>_xlfn.XLOOKUP(
  A722,
  Repo!A:A,
  Repo!B:B,
  "",
  -1
)</f>
        <v>6.5</v>
      </c>
      <c r="F722" s="10">
        <f>_xlfn.XLOOKUP(
  A722,
  CPI!D:D,
  CPI!C:C,
  "",
  -1
)</f>
        <v>2.33</v>
      </c>
      <c r="G722">
        <v>31783</v>
      </c>
    </row>
    <row r="723" spans="1:7">
      <c r="A723" s="1">
        <v>43411</v>
      </c>
      <c r="B723">
        <v>31602</v>
      </c>
      <c r="C723">
        <f>_xlfn.XLOOKUP(A723, USD!A:A, USD!B:B, "")</f>
        <v>72.45</v>
      </c>
      <c r="D723">
        <f>_xlfn.XLOOKUP(A723, Brent!A:A, Brent!B:B, "")</f>
        <v>70.099999999999994</v>
      </c>
      <c r="E723">
        <f>_xlfn.XLOOKUP(
  A723,
  Repo!A:A,
  Repo!B:B,
  "",
  -1
)</f>
        <v>6.5</v>
      </c>
      <c r="F723" s="10">
        <f>_xlfn.XLOOKUP(
  A723,
  CPI!D:D,
  CPI!C:C,
  "",
  -1
)</f>
        <v>2.33</v>
      </c>
      <c r="G723">
        <v>31657</v>
      </c>
    </row>
    <row r="724" spans="1:7">
      <c r="A724" s="1">
        <v>43412</v>
      </c>
      <c r="B724">
        <v>31408</v>
      </c>
      <c r="C724">
        <f>_xlfn.XLOOKUP(A724, USD!A:A, USD!B:B, "")</f>
        <v>72.38</v>
      </c>
      <c r="D724">
        <f>_xlfn.XLOOKUP(A724, Brent!A:A, Brent!B:B, "")</f>
        <v>69.290000000000006</v>
      </c>
      <c r="E724">
        <f>_xlfn.XLOOKUP(
  A724,
  Repo!A:A,
  Repo!B:B,
  "",
  -1
)</f>
        <v>6.5</v>
      </c>
      <c r="F724" s="10">
        <f>_xlfn.XLOOKUP(
  A724,
  CPI!D:D,
  CPI!C:C,
  "",
  -1
)</f>
        <v>2.33</v>
      </c>
      <c r="G724">
        <v>31602</v>
      </c>
    </row>
    <row r="725" spans="1:7">
      <c r="A725" s="1">
        <v>43413</v>
      </c>
      <c r="B725">
        <v>31023</v>
      </c>
      <c r="C725">
        <f>_xlfn.XLOOKUP(A725, USD!A:A, USD!B:B, "")</f>
        <v>72.48</v>
      </c>
      <c r="D725">
        <f>_xlfn.XLOOKUP(A725, Brent!A:A, Brent!B:B, "")</f>
        <v>69.010000000000005</v>
      </c>
      <c r="E725">
        <f>_xlfn.XLOOKUP(
  A725,
  Repo!A:A,
  Repo!B:B,
  "",
  -1
)</f>
        <v>6.5</v>
      </c>
      <c r="F725" s="10">
        <f>_xlfn.XLOOKUP(
  A725,
  CPI!D:D,
  CPI!C:C,
  "",
  -1
)</f>
        <v>2.33</v>
      </c>
      <c r="G725">
        <v>31408</v>
      </c>
    </row>
    <row r="726" spans="1:7">
      <c r="A726" s="1">
        <v>43416</v>
      </c>
      <c r="B726">
        <v>31014</v>
      </c>
      <c r="C726">
        <f>_xlfn.XLOOKUP(A726, USD!A:A, USD!B:B, "")</f>
        <v>72.86</v>
      </c>
      <c r="D726">
        <f>_xlfn.XLOOKUP(A726, Brent!A:A, Brent!B:B, "")</f>
        <v>69.81</v>
      </c>
      <c r="E726">
        <f>_xlfn.XLOOKUP(
  A726,
  Repo!A:A,
  Repo!B:B,
  "",
  -1
)</f>
        <v>6.5</v>
      </c>
      <c r="F726" s="10">
        <f>_xlfn.XLOOKUP(
  A726,
  CPI!D:D,
  CPI!C:C,
  "",
  -1
)</f>
        <v>2.33</v>
      </c>
      <c r="G726">
        <v>31023</v>
      </c>
    </row>
    <row r="727" spans="1:7">
      <c r="A727" s="1">
        <v>43417</v>
      </c>
      <c r="B727">
        <v>30778</v>
      </c>
      <c r="C727">
        <f>_xlfn.XLOOKUP(A727, USD!A:A, USD!B:B, "")</f>
        <v>72.614999999999995</v>
      </c>
      <c r="D727">
        <f>_xlfn.XLOOKUP(A727, Brent!A:A, Brent!B:B, "")</f>
        <v>65.45</v>
      </c>
      <c r="E727">
        <f>_xlfn.XLOOKUP(
  A727,
  Repo!A:A,
  Repo!B:B,
  "",
  -1
)</f>
        <v>6.5</v>
      </c>
      <c r="F727" s="10">
        <f>_xlfn.XLOOKUP(
  A727,
  CPI!D:D,
  CPI!C:C,
  "",
  -1
)</f>
        <v>2.33</v>
      </c>
      <c r="G727">
        <v>31014</v>
      </c>
    </row>
    <row r="728" spans="1:7">
      <c r="A728" s="1">
        <v>43418</v>
      </c>
      <c r="B728">
        <v>30838</v>
      </c>
      <c r="C728">
        <f>_xlfn.XLOOKUP(A728, USD!A:A, USD!B:B, "")</f>
        <v>72.31</v>
      </c>
      <c r="D728">
        <f>_xlfn.XLOOKUP(A728, Brent!A:A, Brent!B:B, "")</f>
        <v>64.88</v>
      </c>
      <c r="E728">
        <f>_xlfn.XLOOKUP(
  A728,
  Repo!A:A,
  Repo!B:B,
  "",
  -1
)</f>
        <v>6.5</v>
      </c>
      <c r="F728" s="10">
        <f>_xlfn.XLOOKUP(
  A728,
  CPI!D:D,
  CPI!C:C,
  "",
  -1
)</f>
        <v>2.33</v>
      </c>
      <c r="G728">
        <v>30778</v>
      </c>
    </row>
    <row r="729" spans="1:7">
      <c r="A729" s="1">
        <v>43419</v>
      </c>
      <c r="B729">
        <v>30831</v>
      </c>
      <c r="C729">
        <f>_xlfn.XLOOKUP(A729, USD!A:A, USD!B:B, "")</f>
        <v>71.915000000000006</v>
      </c>
      <c r="D729">
        <f>_xlfn.XLOOKUP(A729, Brent!A:A, Brent!B:B, "")</f>
        <v>65.61</v>
      </c>
      <c r="E729">
        <f>_xlfn.XLOOKUP(
  A729,
  Repo!A:A,
  Repo!B:B,
  "",
  -1
)</f>
        <v>6.5</v>
      </c>
      <c r="F729" s="10">
        <f>_xlfn.XLOOKUP(
  A729,
  CPI!D:D,
  CPI!C:C,
  "",
  -1
)</f>
        <v>2.33</v>
      </c>
      <c r="G729">
        <v>30838</v>
      </c>
    </row>
    <row r="730" spans="1:7">
      <c r="A730" s="1">
        <v>43420</v>
      </c>
      <c r="B730">
        <v>31017</v>
      </c>
      <c r="C730">
        <f>_xlfn.XLOOKUP(A730, USD!A:A, USD!B:B, "")</f>
        <v>71.98</v>
      </c>
      <c r="D730">
        <f>_xlfn.XLOOKUP(A730, Brent!A:A, Brent!B:B, "")</f>
        <v>65.290000000000006</v>
      </c>
      <c r="E730">
        <f>_xlfn.XLOOKUP(
  A730,
  Repo!A:A,
  Repo!B:B,
  "",
  -1
)</f>
        <v>6.5</v>
      </c>
      <c r="F730" s="10">
        <f>_xlfn.XLOOKUP(
  A730,
  CPI!D:D,
  CPI!C:C,
  "",
  -1
)</f>
        <v>2.33</v>
      </c>
      <c r="G730">
        <v>30831</v>
      </c>
    </row>
    <row r="731" spans="1:7">
      <c r="A731" s="1">
        <v>43423</v>
      </c>
      <c r="B731">
        <v>30888</v>
      </c>
      <c r="C731">
        <f>_xlfn.XLOOKUP(A731, USD!A:A, USD!B:B, "")</f>
        <v>71.61</v>
      </c>
      <c r="D731">
        <f>_xlfn.XLOOKUP(A731, Brent!A:A, Brent!B:B, "")</f>
        <v>64.14</v>
      </c>
      <c r="E731">
        <f>_xlfn.XLOOKUP(
  A731,
  Repo!A:A,
  Repo!B:B,
  "",
  -1
)</f>
        <v>6.5</v>
      </c>
      <c r="F731" s="10">
        <f>_xlfn.XLOOKUP(
  A731,
  CPI!D:D,
  CPI!C:C,
  "",
  -1
)</f>
        <v>2.33</v>
      </c>
      <c r="G731">
        <v>31017</v>
      </c>
    </row>
    <row r="732" spans="1:7">
      <c r="A732" s="1">
        <v>43424</v>
      </c>
      <c r="B732">
        <v>30830</v>
      </c>
      <c r="C732">
        <f>_xlfn.XLOOKUP(A732, USD!A:A, USD!B:B, "")</f>
        <v>71.430000000000007</v>
      </c>
      <c r="D732">
        <f>_xlfn.XLOOKUP(A732, Brent!A:A, Brent!B:B, "")</f>
        <v>61.5</v>
      </c>
      <c r="E732">
        <f>_xlfn.XLOOKUP(
  A732,
  Repo!A:A,
  Repo!B:B,
  "",
  -1
)</f>
        <v>6.5</v>
      </c>
      <c r="F732" s="10">
        <f>_xlfn.XLOOKUP(
  A732,
  CPI!D:D,
  CPI!C:C,
  "",
  -1
)</f>
        <v>2.33</v>
      </c>
      <c r="G732">
        <v>30888</v>
      </c>
    </row>
    <row r="733" spans="1:7">
      <c r="A733" s="1">
        <v>43425</v>
      </c>
      <c r="B733">
        <v>30839</v>
      </c>
      <c r="C733">
        <f>_xlfn.XLOOKUP(A733, USD!A:A, USD!B:B, "")</f>
        <v>71.305000000000007</v>
      </c>
      <c r="D733">
        <f>_xlfn.XLOOKUP(A733, Brent!A:A, Brent!B:B, "")</f>
        <v>61.65</v>
      </c>
      <c r="E733">
        <f>_xlfn.XLOOKUP(
  A733,
  Repo!A:A,
  Repo!B:B,
  "",
  -1
)</f>
        <v>6.5</v>
      </c>
      <c r="F733" s="10">
        <f>_xlfn.XLOOKUP(
  A733,
  CPI!D:D,
  CPI!C:C,
  "",
  -1
)</f>
        <v>2.33</v>
      </c>
      <c r="G733">
        <v>30830</v>
      </c>
    </row>
    <row r="734" spans="1:7">
      <c r="A734" s="1">
        <v>43426</v>
      </c>
      <c r="B734">
        <v>30613</v>
      </c>
      <c r="C734">
        <f>_xlfn.XLOOKUP(A734, USD!A:A, USD!B:B, "")</f>
        <v>70.69</v>
      </c>
      <c r="D734">
        <f>_xlfn.XLOOKUP(A734, Brent!A:A, Brent!B:B, "")</f>
        <v>61.11</v>
      </c>
      <c r="E734">
        <f>_xlfn.XLOOKUP(
  A734,
  Repo!A:A,
  Repo!B:B,
  "",
  -1
)</f>
        <v>6.5</v>
      </c>
      <c r="F734" s="10">
        <f>_xlfn.XLOOKUP(
  A734,
  CPI!D:D,
  CPI!C:C,
  "",
  -1
)</f>
        <v>2.33</v>
      </c>
      <c r="G734">
        <v>30839</v>
      </c>
    </row>
    <row r="735" spans="1:7">
      <c r="A735" s="1">
        <v>43427</v>
      </c>
      <c r="B735">
        <v>30513</v>
      </c>
      <c r="C735">
        <f>_xlfn.XLOOKUP(A735, USD!A:A, USD!B:B, "")</f>
        <v>70.655000000000001</v>
      </c>
      <c r="D735">
        <f>_xlfn.XLOOKUP(A735, Brent!A:A, Brent!B:B, "")</f>
        <v>57.69</v>
      </c>
      <c r="E735">
        <f>_xlfn.XLOOKUP(
  A735,
  Repo!A:A,
  Repo!B:B,
  "",
  -1
)</f>
        <v>6.5</v>
      </c>
      <c r="F735" s="10">
        <f>_xlfn.XLOOKUP(
  A735,
  CPI!D:D,
  CPI!C:C,
  "",
  -1
)</f>
        <v>2.33</v>
      </c>
      <c r="G735">
        <v>30613</v>
      </c>
    </row>
    <row r="736" spans="1:7">
      <c r="A736" s="1">
        <v>43430</v>
      </c>
      <c r="B736">
        <v>30574</v>
      </c>
      <c r="C736">
        <f>_xlfn.XLOOKUP(A736, USD!A:A, USD!B:B, "")</f>
        <v>70.819999999999993</v>
      </c>
      <c r="D736">
        <f>_xlfn.XLOOKUP(A736, Brent!A:A, Brent!B:B, "")</f>
        <v>59.7</v>
      </c>
      <c r="E736">
        <f>_xlfn.XLOOKUP(
  A736,
  Repo!A:A,
  Repo!B:B,
  "",
  -1
)</f>
        <v>6.5</v>
      </c>
      <c r="F736" s="10">
        <f>_xlfn.XLOOKUP(
  A736,
  CPI!D:D,
  CPI!C:C,
  "",
  -1
)</f>
        <v>2.33</v>
      </c>
      <c r="G736">
        <v>30513</v>
      </c>
    </row>
    <row r="737" spans="1:7">
      <c r="A737" s="1">
        <v>43431</v>
      </c>
      <c r="B737">
        <v>30423</v>
      </c>
      <c r="C737">
        <f>_xlfn.XLOOKUP(A737, USD!A:A, USD!B:B, "")</f>
        <v>70.784999999999997</v>
      </c>
      <c r="D737">
        <f>_xlfn.XLOOKUP(A737, Brent!A:A, Brent!B:B, "")</f>
        <v>59.58</v>
      </c>
      <c r="E737">
        <f>_xlfn.XLOOKUP(
  A737,
  Repo!A:A,
  Repo!B:B,
  "",
  -1
)</f>
        <v>6.5</v>
      </c>
      <c r="F737" s="10">
        <f>_xlfn.XLOOKUP(
  A737,
  CPI!D:D,
  CPI!C:C,
  "",
  -1
)</f>
        <v>2.33</v>
      </c>
      <c r="G737">
        <v>30574</v>
      </c>
    </row>
    <row r="738" spans="1:7">
      <c r="A738" s="1">
        <v>43432</v>
      </c>
      <c r="B738">
        <v>30457</v>
      </c>
      <c r="C738">
        <f>_xlfn.XLOOKUP(A738, USD!A:A, USD!B:B, "")</f>
        <v>70.64</v>
      </c>
      <c r="D738">
        <f>_xlfn.XLOOKUP(A738, Brent!A:A, Brent!B:B, "")</f>
        <v>57.97</v>
      </c>
      <c r="E738">
        <f>_xlfn.XLOOKUP(
  A738,
  Repo!A:A,
  Repo!B:B,
  "",
  -1
)</f>
        <v>6.5</v>
      </c>
      <c r="F738" s="10">
        <f>_xlfn.XLOOKUP(
  A738,
  CPI!D:D,
  CPI!C:C,
  "",
  -1
)</f>
        <v>2.33</v>
      </c>
      <c r="G738">
        <v>30423</v>
      </c>
    </row>
    <row r="739" spans="1:7">
      <c r="A739" s="1">
        <v>43433</v>
      </c>
      <c r="B739">
        <v>30253</v>
      </c>
      <c r="C739">
        <f>_xlfn.XLOOKUP(A739, USD!A:A, USD!B:B, "")</f>
        <v>69.78</v>
      </c>
      <c r="D739">
        <f>_xlfn.XLOOKUP(A739, Brent!A:A, Brent!B:B, "")</f>
        <v>58.29</v>
      </c>
      <c r="E739">
        <f>_xlfn.XLOOKUP(
  A739,
  Repo!A:A,
  Repo!B:B,
  "",
  -1
)</f>
        <v>6.5</v>
      </c>
      <c r="F739" s="10">
        <f>_xlfn.XLOOKUP(
  A739,
  CPI!D:D,
  CPI!C:C,
  "",
  -1
)</f>
        <v>2.33</v>
      </c>
      <c r="G739">
        <v>30457</v>
      </c>
    </row>
    <row r="740" spans="1:7">
      <c r="A740" s="1">
        <v>43434</v>
      </c>
      <c r="B740">
        <v>30186</v>
      </c>
      <c r="C740">
        <f>_xlfn.XLOOKUP(A740, USD!A:A, USD!B:B, "")</f>
        <v>69.650000000000006</v>
      </c>
      <c r="D740">
        <f>_xlfn.XLOOKUP(A740, Brent!A:A, Brent!B:B, "")</f>
        <v>57.71</v>
      </c>
      <c r="E740">
        <f>_xlfn.XLOOKUP(
  A740,
  Repo!A:A,
  Repo!B:B,
  "",
  -1
)</f>
        <v>6.5</v>
      </c>
      <c r="F740" s="10">
        <f>_xlfn.XLOOKUP(
  A740,
  CPI!D:D,
  CPI!C:C,
  "",
  -1
)</f>
        <v>2.33</v>
      </c>
      <c r="G740">
        <v>30253</v>
      </c>
    </row>
    <row r="741" spans="1:7">
      <c r="A741" s="1">
        <v>43437</v>
      </c>
      <c r="B741">
        <v>30787</v>
      </c>
      <c r="C741">
        <f>_xlfn.XLOOKUP(A741, USD!A:A, USD!B:B, "")</f>
        <v>70.44</v>
      </c>
      <c r="D741">
        <f>_xlfn.XLOOKUP(A741, Brent!A:A, Brent!B:B, "")</f>
        <v>60.17</v>
      </c>
      <c r="E741">
        <f>_xlfn.XLOOKUP(
  A741,
  Repo!A:A,
  Repo!B:B,
  "",
  -1
)</f>
        <v>6.5</v>
      </c>
      <c r="F741" s="10">
        <f>_xlfn.XLOOKUP(
  A741,
  CPI!D:D,
  CPI!C:C,
  "",
  -1
)</f>
        <v>2.11</v>
      </c>
      <c r="G741">
        <v>30186</v>
      </c>
    </row>
    <row r="742" spans="1:7">
      <c r="A742" s="1">
        <v>43438</v>
      </c>
      <c r="B742">
        <v>30964</v>
      </c>
      <c r="C742">
        <f>_xlfn.XLOOKUP(A742, USD!A:A, USD!B:B, "")</f>
        <v>70.53</v>
      </c>
      <c r="D742">
        <f>_xlfn.XLOOKUP(A742, Brent!A:A, Brent!B:B, "")</f>
        <v>61.22</v>
      </c>
      <c r="E742">
        <f>_xlfn.XLOOKUP(
  A742,
  Repo!A:A,
  Repo!B:B,
  "",
  -1
)</f>
        <v>6.5</v>
      </c>
      <c r="F742" s="10">
        <f>_xlfn.XLOOKUP(
  A742,
  CPI!D:D,
  CPI!C:C,
  "",
  -1
)</f>
        <v>2.11</v>
      </c>
      <c r="G742">
        <v>30787</v>
      </c>
    </row>
    <row r="743" spans="1:7">
      <c r="A743" s="1">
        <v>43439</v>
      </c>
      <c r="B743">
        <v>30926</v>
      </c>
      <c r="C743">
        <f>_xlfn.XLOOKUP(A743, USD!A:A, USD!B:B, "")</f>
        <v>70.56</v>
      </c>
      <c r="D743">
        <f>_xlfn.XLOOKUP(A743, Brent!A:A, Brent!B:B, "")</f>
        <v>61.4</v>
      </c>
      <c r="E743">
        <f>_xlfn.XLOOKUP(
  A743,
  Repo!A:A,
  Repo!B:B,
  "",
  -1
)</f>
        <v>6.5</v>
      </c>
      <c r="F743" s="10">
        <f>_xlfn.XLOOKUP(
  A743,
  CPI!D:D,
  CPI!C:C,
  "",
  -1
)</f>
        <v>2.11</v>
      </c>
      <c r="G743">
        <v>30964</v>
      </c>
    </row>
    <row r="744" spans="1:7">
      <c r="A744" s="1">
        <v>43440</v>
      </c>
      <c r="B744">
        <v>31005</v>
      </c>
      <c r="C744">
        <f>_xlfn.XLOOKUP(A744, USD!A:A, USD!B:B, "")</f>
        <v>70.849999999999994</v>
      </c>
      <c r="D744">
        <f>_xlfn.XLOOKUP(A744, Brent!A:A, Brent!B:B, "")</f>
        <v>57.83</v>
      </c>
      <c r="E744">
        <f>_xlfn.XLOOKUP(
  A744,
  Repo!A:A,
  Repo!B:B,
  "",
  -1
)</f>
        <v>6.5</v>
      </c>
      <c r="F744" s="10">
        <f>_xlfn.XLOOKUP(
  A744,
  CPI!D:D,
  CPI!C:C,
  "",
  -1
)</f>
        <v>2.11</v>
      </c>
      <c r="G744">
        <v>30926</v>
      </c>
    </row>
    <row r="745" spans="1:7">
      <c r="A745" s="1">
        <v>43441</v>
      </c>
      <c r="B745">
        <v>31440</v>
      </c>
      <c r="C745">
        <f>_xlfn.XLOOKUP(A745, USD!A:A, USD!B:B, "")</f>
        <v>70.86</v>
      </c>
      <c r="D745">
        <f>_xlfn.XLOOKUP(A745, Brent!A:A, Brent!B:B, "")</f>
        <v>61.71</v>
      </c>
      <c r="E745">
        <f>_xlfn.XLOOKUP(
  A745,
  Repo!A:A,
  Repo!B:B,
  "",
  -1
)</f>
        <v>6.5</v>
      </c>
      <c r="F745" s="10">
        <f>_xlfn.XLOOKUP(
  A745,
  CPI!D:D,
  CPI!C:C,
  "",
  -1
)</f>
        <v>2.11</v>
      </c>
      <c r="G745">
        <v>31005</v>
      </c>
    </row>
    <row r="746" spans="1:7">
      <c r="A746" s="1">
        <v>43444</v>
      </c>
      <c r="B746">
        <v>31895</v>
      </c>
      <c r="C746">
        <f>_xlfn.XLOOKUP(A746, USD!A:A, USD!B:B, "")</f>
        <v>72.52</v>
      </c>
      <c r="D746">
        <f>_xlfn.XLOOKUP(A746, Brent!A:A, Brent!B:B, "")</f>
        <v>60.29</v>
      </c>
      <c r="E746">
        <f>_xlfn.XLOOKUP(
  A746,
  Repo!A:A,
  Repo!B:B,
  "",
  -1
)</f>
        <v>6.5</v>
      </c>
      <c r="F746" s="10">
        <f>_xlfn.XLOOKUP(
  A746,
  CPI!D:D,
  CPI!C:C,
  "",
  -1
)</f>
        <v>2.11</v>
      </c>
      <c r="G746">
        <v>31440</v>
      </c>
    </row>
    <row r="747" spans="1:7">
      <c r="A747" s="1">
        <v>43445</v>
      </c>
      <c r="B747">
        <v>31812</v>
      </c>
      <c r="C747">
        <f>_xlfn.XLOOKUP(A747, USD!A:A, USD!B:B, "")</f>
        <v>72.290999999999997</v>
      </c>
      <c r="D747">
        <f>_xlfn.XLOOKUP(A747, Brent!A:A, Brent!B:B, "")</f>
        <v>59.73</v>
      </c>
      <c r="E747">
        <f>_xlfn.XLOOKUP(
  A747,
  Repo!A:A,
  Repo!B:B,
  "",
  -1
)</f>
        <v>6.5</v>
      </c>
      <c r="F747" s="10">
        <f>_xlfn.XLOOKUP(
  A747,
  CPI!D:D,
  CPI!C:C,
  "",
  -1
)</f>
        <v>2.11</v>
      </c>
      <c r="G747">
        <v>31895</v>
      </c>
    </row>
    <row r="748" spans="1:7">
      <c r="A748" s="1">
        <v>43446</v>
      </c>
      <c r="B748">
        <v>31626</v>
      </c>
      <c r="C748">
        <f>_xlfn.XLOOKUP(A748, USD!A:A, USD!B:B, "")</f>
        <v>71.84</v>
      </c>
      <c r="D748">
        <f>_xlfn.XLOOKUP(A748, Brent!A:A, Brent!B:B, "")</f>
        <v>59.94</v>
      </c>
      <c r="E748">
        <f>_xlfn.XLOOKUP(
  A748,
  Repo!A:A,
  Repo!B:B,
  "",
  -1
)</f>
        <v>6.5</v>
      </c>
      <c r="F748" s="10">
        <f>_xlfn.XLOOKUP(
  A748,
  CPI!D:D,
  CPI!C:C,
  "",
  -1
)</f>
        <v>2.11</v>
      </c>
      <c r="G748">
        <v>31812</v>
      </c>
    </row>
    <row r="749" spans="1:7">
      <c r="A749" s="1">
        <v>43447</v>
      </c>
      <c r="B749">
        <v>31414</v>
      </c>
      <c r="C749">
        <f>_xlfn.XLOOKUP(A749, USD!A:A, USD!B:B, "")</f>
        <v>71.53</v>
      </c>
      <c r="D749">
        <f>_xlfn.XLOOKUP(A749, Brent!A:A, Brent!B:B, "")</f>
        <v>59.03</v>
      </c>
      <c r="E749">
        <f>_xlfn.XLOOKUP(
  A749,
  Repo!A:A,
  Repo!B:B,
  "",
  -1
)</f>
        <v>6.5</v>
      </c>
      <c r="F749" s="10">
        <f>_xlfn.XLOOKUP(
  A749,
  CPI!D:D,
  CPI!C:C,
  "",
  -1
)</f>
        <v>2.11</v>
      </c>
      <c r="G749">
        <v>31626</v>
      </c>
    </row>
    <row r="750" spans="1:7">
      <c r="A750" s="1">
        <v>43448</v>
      </c>
      <c r="B750">
        <v>31437</v>
      </c>
      <c r="C750">
        <f>_xlfn.XLOOKUP(A750, USD!A:A, USD!B:B, "")</f>
        <v>71.92</v>
      </c>
      <c r="D750">
        <f>_xlfn.XLOOKUP(A750, Brent!A:A, Brent!B:B, "")</f>
        <v>58.56</v>
      </c>
      <c r="E750">
        <f>_xlfn.XLOOKUP(
  A750,
  Repo!A:A,
  Repo!B:B,
  "",
  -1
)</f>
        <v>6.5</v>
      </c>
      <c r="F750" s="10">
        <f>_xlfn.XLOOKUP(
  A750,
  CPI!D:D,
  CPI!C:C,
  "",
  -1
)</f>
        <v>2.11</v>
      </c>
      <c r="G750">
        <v>31414</v>
      </c>
    </row>
    <row r="751" spans="1:7">
      <c r="A751" s="1">
        <v>43451</v>
      </c>
      <c r="B751">
        <v>31501</v>
      </c>
      <c r="C751">
        <f>_xlfn.XLOOKUP(A751, USD!A:A, USD!B:B, "")</f>
        <v>71.61</v>
      </c>
      <c r="D751">
        <f>_xlfn.XLOOKUP(A751, Brent!A:A, Brent!B:B, "")</f>
        <v>57.59</v>
      </c>
      <c r="E751">
        <f>_xlfn.XLOOKUP(
  A751,
  Repo!A:A,
  Repo!B:B,
  "",
  -1
)</f>
        <v>6.5</v>
      </c>
      <c r="F751" s="10">
        <f>_xlfn.XLOOKUP(
  A751,
  CPI!D:D,
  CPI!C:C,
  "",
  -1
)</f>
        <v>2.11</v>
      </c>
      <c r="G751">
        <v>31437</v>
      </c>
    </row>
    <row r="752" spans="1:7">
      <c r="A752" s="1">
        <v>43452</v>
      </c>
      <c r="B752">
        <v>31075</v>
      </c>
      <c r="C752">
        <f>_xlfn.XLOOKUP(A752, USD!A:A, USD!B:B, "")</f>
        <v>70.62</v>
      </c>
      <c r="D752">
        <f>_xlfn.XLOOKUP(A752, Brent!A:A, Brent!B:B, "")</f>
        <v>55.26</v>
      </c>
      <c r="E752">
        <f>_xlfn.XLOOKUP(
  A752,
  Repo!A:A,
  Repo!B:B,
  "",
  -1
)</f>
        <v>6.5</v>
      </c>
      <c r="F752" s="10">
        <f>_xlfn.XLOOKUP(
  A752,
  CPI!D:D,
  CPI!C:C,
  "",
  -1
)</f>
        <v>2.11</v>
      </c>
      <c r="G752">
        <v>31501</v>
      </c>
    </row>
    <row r="753" spans="1:7">
      <c r="A753" s="1">
        <v>43453</v>
      </c>
      <c r="B753">
        <v>31139</v>
      </c>
      <c r="C753">
        <f>_xlfn.XLOOKUP(A753, USD!A:A, USD!B:B, "")</f>
        <v>70.278999999999996</v>
      </c>
      <c r="D753">
        <f>_xlfn.XLOOKUP(A753, Brent!A:A, Brent!B:B, "")</f>
        <v>55.6</v>
      </c>
      <c r="E753">
        <f>_xlfn.XLOOKUP(
  A753,
  Repo!A:A,
  Repo!B:B,
  "",
  -1
)</f>
        <v>6.5</v>
      </c>
      <c r="F753" s="10">
        <f>_xlfn.XLOOKUP(
  A753,
  CPI!D:D,
  CPI!C:C,
  "",
  -1
)</f>
        <v>2.11</v>
      </c>
      <c r="G753">
        <v>31075</v>
      </c>
    </row>
    <row r="754" spans="1:7">
      <c r="A754" s="1">
        <v>43454</v>
      </c>
      <c r="B754">
        <v>31219</v>
      </c>
      <c r="C754">
        <f>_xlfn.XLOOKUP(A754, USD!A:A, USD!B:B, "")</f>
        <v>69.98</v>
      </c>
      <c r="D754">
        <f>_xlfn.XLOOKUP(A754, Brent!A:A, Brent!B:B, "")</f>
        <v>52.84</v>
      </c>
      <c r="E754">
        <f>_xlfn.XLOOKUP(
  A754,
  Repo!A:A,
  Repo!B:B,
  "",
  -1
)</f>
        <v>6.5</v>
      </c>
      <c r="F754" s="10">
        <f>_xlfn.XLOOKUP(
  A754,
  CPI!D:D,
  CPI!C:C,
  "",
  -1
)</f>
        <v>2.11</v>
      </c>
      <c r="G754">
        <v>31139</v>
      </c>
    </row>
    <row r="755" spans="1:7">
      <c r="A755" s="1">
        <v>43455</v>
      </c>
      <c r="B755">
        <v>31126</v>
      </c>
      <c r="C755">
        <f>_xlfn.XLOOKUP(A755, USD!A:A, USD!B:B, "")</f>
        <v>70.14</v>
      </c>
      <c r="D755">
        <f>_xlfn.XLOOKUP(A755, Brent!A:A, Brent!B:B, "")</f>
        <v>51.93</v>
      </c>
      <c r="E755">
        <f>_xlfn.XLOOKUP(
  A755,
  Repo!A:A,
  Repo!B:B,
  "",
  -1
)</f>
        <v>6.5</v>
      </c>
      <c r="F755" s="10">
        <f>_xlfn.XLOOKUP(
  A755,
  CPI!D:D,
  CPI!C:C,
  "",
  -1
)</f>
        <v>2.11</v>
      </c>
      <c r="G755">
        <v>31219</v>
      </c>
    </row>
    <row r="756" spans="1:7">
      <c r="A756" s="1">
        <v>43461</v>
      </c>
      <c r="B756">
        <v>31611</v>
      </c>
      <c r="C756">
        <f>_xlfn.XLOOKUP(A756, USD!A:A, USD!B:B, "")</f>
        <v>70.361000000000004</v>
      </c>
      <c r="D756">
        <f>_xlfn.XLOOKUP(A756, Brent!A:A, Brent!B:B, "")</f>
        <v>51.49</v>
      </c>
      <c r="E756">
        <f>_xlfn.XLOOKUP(
  A756,
  Repo!A:A,
  Repo!B:B,
  "",
  -1
)</f>
        <v>6.5</v>
      </c>
      <c r="F756" s="10">
        <f>_xlfn.XLOOKUP(
  A756,
  CPI!D:D,
  CPI!C:C,
  "",
  -1
)</f>
        <v>2.11</v>
      </c>
      <c r="G756">
        <v>31126</v>
      </c>
    </row>
    <row r="757" spans="1:7">
      <c r="A757" s="1">
        <v>43462</v>
      </c>
      <c r="B757">
        <v>31506</v>
      </c>
      <c r="C757">
        <f>_xlfn.XLOOKUP(A757, USD!A:A, USD!B:B, "")</f>
        <v>69.933000000000007</v>
      </c>
      <c r="D757">
        <f>_xlfn.XLOOKUP(A757, Brent!A:A, Brent!B:B, "")</f>
        <v>50.57</v>
      </c>
      <c r="E757">
        <f>_xlfn.XLOOKUP(
  A757,
  Repo!A:A,
  Repo!B:B,
  "",
  -1
)</f>
        <v>6.5</v>
      </c>
      <c r="F757" s="10">
        <f>_xlfn.XLOOKUP(
  A757,
  CPI!D:D,
  CPI!C:C,
  "",
  -1
)</f>
        <v>2.11</v>
      </c>
      <c r="G757">
        <v>31611</v>
      </c>
    </row>
    <row r="758" spans="1:7">
      <c r="A758" s="1">
        <v>43467</v>
      </c>
      <c r="B758">
        <v>31934</v>
      </c>
      <c r="C758">
        <f>_xlfn.XLOOKUP(A758, USD!A:A, USD!B:B, "")</f>
        <v>70</v>
      </c>
      <c r="D758">
        <f>_xlfn.XLOOKUP(A758, Brent!A:A, Brent!B:B, "")</f>
        <v>54.06</v>
      </c>
      <c r="E758">
        <f>_xlfn.XLOOKUP(
  A758,
  Repo!A:A,
  Repo!B:B,
  "",
  -1
)</f>
        <v>6.5</v>
      </c>
      <c r="F758" s="10">
        <f>_xlfn.XLOOKUP(
  A758,
  CPI!D:D,
  CPI!C:C,
  "",
  -1
)</f>
        <v>1.97</v>
      </c>
      <c r="G758">
        <v>31506</v>
      </c>
    </row>
    <row r="759" spans="1:7">
      <c r="A759" s="1">
        <v>43468</v>
      </c>
      <c r="B759">
        <v>31939</v>
      </c>
      <c r="C759">
        <f>_xlfn.XLOOKUP(A759, USD!A:A, USD!B:B, "")</f>
        <v>70.11</v>
      </c>
      <c r="D759">
        <f>_xlfn.XLOOKUP(A759, Brent!A:A, Brent!B:B, "")</f>
        <v>53.23</v>
      </c>
      <c r="E759">
        <f>_xlfn.XLOOKUP(
  A759,
  Repo!A:A,
  Repo!B:B,
  "",
  -1
)</f>
        <v>6.5</v>
      </c>
      <c r="F759" s="10">
        <f>_xlfn.XLOOKUP(
  A759,
  CPI!D:D,
  CPI!C:C,
  "",
  -1
)</f>
        <v>1.97</v>
      </c>
      <c r="G759">
        <v>31934</v>
      </c>
    </row>
    <row r="760" spans="1:7">
      <c r="A760" s="1">
        <v>43469</v>
      </c>
      <c r="B760">
        <v>31679</v>
      </c>
      <c r="C760">
        <f>_xlfn.XLOOKUP(A760, USD!A:A, USD!B:B, "")</f>
        <v>69.55</v>
      </c>
      <c r="D760">
        <f>_xlfn.XLOOKUP(A760, Brent!A:A, Brent!B:B, "")</f>
        <v>55.64</v>
      </c>
      <c r="E760">
        <f>_xlfn.XLOOKUP(
  A760,
  Repo!A:A,
  Repo!B:B,
  "",
  -1
)</f>
        <v>6.5</v>
      </c>
      <c r="F760" s="10">
        <f>_xlfn.XLOOKUP(
  A760,
  CPI!D:D,
  CPI!C:C,
  "",
  -1
)</f>
        <v>1.97</v>
      </c>
      <c r="G760">
        <v>31939</v>
      </c>
    </row>
    <row r="761" spans="1:7">
      <c r="A761" s="1">
        <v>43472</v>
      </c>
      <c r="B761">
        <v>31652</v>
      </c>
      <c r="C761">
        <f>_xlfn.XLOOKUP(A761, USD!A:A, USD!B:B, "")</f>
        <v>69.802999999999997</v>
      </c>
      <c r="D761">
        <f>_xlfn.XLOOKUP(A761, Brent!A:A, Brent!B:B, "")</f>
        <v>57.1</v>
      </c>
      <c r="E761">
        <f>_xlfn.XLOOKUP(
  A761,
  Repo!A:A,
  Repo!B:B,
  "",
  -1
)</f>
        <v>6.5</v>
      </c>
      <c r="F761" s="10">
        <f>_xlfn.XLOOKUP(
  A761,
  CPI!D:D,
  CPI!C:C,
  "",
  -1
)</f>
        <v>1.97</v>
      </c>
      <c r="G761">
        <v>31679</v>
      </c>
    </row>
    <row r="762" spans="1:7">
      <c r="A762" s="1">
        <v>43473</v>
      </c>
      <c r="B762">
        <v>31736</v>
      </c>
      <c r="C762">
        <f>_xlfn.XLOOKUP(A762, USD!A:A, USD!B:B, "")</f>
        <v>70.14</v>
      </c>
      <c r="D762">
        <f>_xlfn.XLOOKUP(A762, Brent!A:A, Brent!B:B, "")</f>
        <v>56.91</v>
      </c>
      <c r="E762">
        <f>_xlfn.XLOOKUP(
  A762,
  Repo!A:A,
  Repo!B:B,
  "",
  -1
)</f>
        <v>6.5</v>
      </c>
      <c r="F762" s="10">
        <f>_xlfn.XLOOKUP(
  A762,
  CPI!D:D,
  CPI!C:C,
  "",
  -1
)</f>
        <v>1.97</v>
      </c>
      <c r="G762">
        <v>31652</v>
      </c>
    </row>
    <row r="763" spans="1:7">
      <c r="A763" s="1">
        <v>43474</v>
      </c>
      <c r="B763">
        <v>31993</v>
      </c>
      <c r="C763">
        <f>_xlfn.XLOOKUP(A763, USD!A:A, USD!B:B, "")</f>
        <v>70.56</v>
      </c>
      <c r="D763">
        <f>_xlfn.XLOOKUP(A763, Brent!A:A, Brent!B:B, "")</f>
        <v>59.46</v>
      </c>
      <c r="E763">
        <f>_xlfn.XLOOKUP(
  A763,
  Repo!A:A,
  Repo!B:B,
  "",
  -1
)</f>
        <v>6.5</v>
      </c>
      <c r="F763" s="10">
        <f>_xlfn.XLOOKUP(
  A763,
  CPI!D:D,
  CPI!C:C,
  "",
  -1
)</f>
        <v>1.97</v>
      </c>
      <c r="G763">
        <v>31736</v>
      </c>
    </row>
    <row r="764" spans="1:7">
      <c r="A764" s="1">
        <v>43475</v>
      </c>
      <c r="B764">
        <v>31878</v>
      </c>
      <c r="C764">
        <f>_xlfn.XLOOKUP(A764, USD!A:A, USD!B:B, "")</f>
        <v>70.42</v>
      </c>
      <c r="D764">
        <f>_xlfn.XLOOKUP(A764, Brent!A:A, Brent!B:B, "")</f>
        <v>60.47</v>
      </c>
      <c r="E764">
        <f>_xlfn.XLOOKUP(
  A764,
  Repo!A:A,
  Repo!B:B,
  "",
  -1
)</f>
        <v>6.5</v>
      </c>
      <c r="F764" s="10">
        <f>_xlfn.XLOOKUP(
  A764,
  CPI!D:D,
  CPI!C:C,
  "",
  -1
)</f>
        <v>1.97</v>
      </c>
      <c r="G764">
        <v>31993</v>
      </c>
    </row>
    <row r="765" spans="1:7">
      <c r="A765" s="1">
        <v>43476</v>
      </c>
      <c r="B765">
        <v>31924</v>
      </c>
      <c r="C765">
        <f>_xlfn.XLOOKUP(A765, USD!A:A, USD!B:B, "")</f>
        <v>70.399000000000001</v>
      </c>
      <c r="D765">
        <f>_xlfn.XLOOKUP(A765, Brent!A:A, Brent!B:B, "")</f>
        <v>59.24</v>
      </c>
      <c r="E765">
        <f>_xlfn.XLOOKUP(
  A765,
  Repo!A:A,
  Repo!B:B,
  "",
  -1
)</f>
        <v>6.5</v>
      </c>
      <c r="F765" s="10">
        <f>_xlfn.XLOOKUP(
  A765,
  CPI!D:D,
  CPI!C:C,
  "",
  -1
)</f>
        <v>1.97</v>
      </c>
      <c r="G765">
        <v>31878</v>
      </c>
    </row>
    <row r="766" spans="1:7">
      <c r="A766" s="1">
        <v>43479</v>
      </c>
      <c r="B766">
        <v>32130</v>
      </c>
      <c r="C766">
        <f>_xlfn.XLOOKUP(A766, USD!A:A, USD!B:B, "")</f>
        <v>70.760000000000005</v>
      </c>
      <c r="D766">
        <f>_xlfn.XLOOKUP(A766, Brent!A:A, Brent!B:B, "")</f>
        <v>58.8</v>
      </c>
      <c r="E766">
        <f>_xlfn.XLOOKUP(
  A766,
  Repo!A:A,
  Repo!B:B,
  "",
  -1
)</f>
        <v>6.5</v>
      </c>
      <c r="F766" s="10">
        <f>_xlfn.XLOOKUP(
  A766,
  CPI!D:D,
  CPI!C:C,
  "",
  -1
)</f>
        <v>1.97</v>
      </c>
      <c r="G766">
        <v>31924</v>
      </c>
    </row>
    <row r="767" spans="1:7">
      <c r="A767" s="1">
        <v>43480</v>
      </c>
      <c r="B767">
        <v>32169</v>
      </c>
      <c r="C767">
        <f>_xlfn.XLOOKUP(A767, USD!A:A, USD!B:B, "")</f>
        <v>71.099999999999994</v>
      </c>
      <c r="D767">
        <f>_xlfn.XLOOKUP(A767, Brent!A:A, Brent!B:B, "")</f>
        <v>58.65</v>
      </c>
      <c r="E767">
        <f>_xlfn.XLOOKUP(
  A767,
  Repo!A:A,
  Repo!B:B,
  "",
  -1
)</f>
        <v>6.5</v>
      </c>
      <c r="F767" s="10">
        <f>_xlfn.XLOOKUP(
  A767,
  CPI!D:D,
  CPI!C:C,
  "",
  -1
)</f>
        <v>1.97</v>
      </c>
      <c r="G767">
        <v>32130</v>
      </c>
    </row>
    <row r="768" spans="1:7">
      <c r="A768" s="1">
        <v>43481</v>
      </c>
      <c r="B768">
        <v>32272</v>
      </c>
      <c r="C768">
        <f>_xlfn.XLOOKUP(A768, USD!A:A, USD!B:B, "")</f>
        <v>70.98</v>
      </c>
      <c r="D768">
        <f>_xlfn.XLOOKUP(A768, Brent!A:A, Brent!B:B, "")</f>
        <v>59.81</v>
      </c>
      <c r="E768">
        <f>_xlfn.XLOOKUP(
  A768,
  Repo!A:A,
  Repo!B:B,
  "",
  -1
)</f>
        <v>6.5</v>
      </c>
      <c r="F768" s="10">
        <f>_xlfn.XLOOKUP(
  A768,
  CPI!D:D,
  CPI!C:C,
  "",
  -1
)</f>
        <v>1.97</v>
      </c>
      <c r="G768">
        <v>32169</v>
      </c>
    </row>
    <row r="769" spans="1:7">
      <c r="A769" s="1">
        <v>43482</v>
      </c>
      <c r="B769">
        <v>32253</v>
      </c>
      <c r="C769">
        <f>_xlfn.XLOOKUP(A769, USD!A:A, USD!B:B, "")</f>
        <v>71.05</v>
      </c>
      <c r="D769">
        <f>_xlfn.XLOOKUP(A769, Brent!A:A, Brent!B:B, "")</f>
        <v>59.85</v>
      </c>
      <c r="E769">
        <f>_xlfn.XLOOKUP(
  A769,
  Repo!A:A,
  Repo!B:B,
  "",
  -1
)</f>
        <v>6.5</v>
      </c>
      <c r="F769" s="10">
        <f>_xlfn.XLOOKUP(
  A769,
  CPI!D:D,
  CPI!C:C,
  "",
  -1
)</f>
        <v>1.97</v>
      </c>
      <c r="G769">
        <v>32272</v>
      </c>
    </row>
    <row r="770" spans="1:7">
      <c r="A770" s="1">
        <v>43483</v>
      </c>
      <c r="B770">
        <v>32089</v>
      </c>
      <c r="C770">
        <f>_xlfn.XLOOKUP(A770, USD!A:A, USD!B:B, "")</f>
        <v>71.209999999999994</v>
      </c>
      <c r="D770">
        <f>_xlfn.XLOOKUP(A770, Brent!A:A, Brent!B:B, "")</f>
        <v>62.04</v>
      </c>
      <c r="E770">
        <f>_xlfn.XLOOKUP(
  A770,
  Repo!A:A,
  Repo!B:B,
  "",
  -1
)</f>
        <v>6.5</v>
      </c>
      <c r="F770" s="10">
        <f>_xlfn.XLOOKUP(
  A770,
  CPI!D:D,
  CPI!C:C,
  "",
  -1
)</f>
        <v>1.97</v>
      </c>
      <c r="G770">
        <v>32253</v>
      </c>
    </row>
    <row r="771" spans="1:7">
      <c r="A771" s="1">
        <v>43486</v>
      </c>
      <c r="B771">
        <v>32039</v>
      </c>
      <c r="C771">
        <f>_xlfn.XLOOKUP(A771, USD!A:A, USD!B:B, "")</f>
        <v>71.188000000000002</v>
      </c>
      <c r="D771">
        <f>_xlfn.XLOOKUP(A771, Brent!A:A, Brent!B:B, "")</f>
        <v>62.18</v>
      </c>
      <c r="E771">
        <f>_xlfn.XLOOKUP(
  A771,
  Repo!A:A,
  Repo!B:B,
  "",
  -1
)</f>
        <v>6.5</v>
      </c>
      <c r="F771" s="10">
        <f>_xlfn.XLOOKUP(
  A771,
  CPI!D:D,
  CPI!C:C,
  "",
  -1
)</f>
        <v>1.97</v>
      </c>
      <c r="G771">
        <v>32089</v>
      </c>
    </row>
    <row r="772" spans="1:7">
      <c r="A772" s="1">
        <v>43487</v>
      </c>
      <c r="B772">
        <v>32154</v>
      </c>
      <c r="C772">
        <f>_xlfn.XLOOKUP(A772, USD!A:A, USD!B:B, "")</f>
        <v>71.260000000000005</v>
      </c>
      <c r="D772">
        <f>_xlfn.XLOOKUP(A772, Brent!A:A, Brent!B:B, "")</f>
        <v>60.9</v>
      </c>
      <c r="E772">
        <f>_xlfn.XLOOKUP(
  A772,
  Repo!A:A,
  Repo!B:B,
  "",
  -1
)</f>
        <v>6.5</v>
      </c>
      <c r="F772" s="10">
        <f>_xlfn.XLOOKUP(
  A772,
  CPI!D:D,
  CPI!C:C,
  "",
  -1
)</f>
        <v>1.97</v>
      </c>
      <c r="G772">
        <v>32039</v>
      </c>
    </row>
    <row r="773" spans="1:7">
      <c r="A773" s="1">
        <v>43488</v>
      </c>
      <c r="B773">
        <v>32135</v>
      </c>
      <c r="C773">
        <f>_xlfn.XLOOKUP(A773, USD!A:A, USD!B:B, "")</f>
        <v>71.19</v>
      </c>
      <c r="D773">
        <f>_xlfn.XLOOKUP(A773, Brent!A:A, Brent!B:B, "")</f>
        <v>61.05</v>
      </c>
      <c r="E773">
        <f>_xlfn.XLOOKUP(
  A773,
  Repo!A:A,
  Repo!B:B,
  "",
  -1
)</f>
        <v>6.5</v>
      </c>
      <c r="F773" s="10">
        <f>_xlfn.XLOOKUP(
  A773,
  CPI!D:D,
  CPI!C:C,
  "",
  -1
)</f>
        <v>1.97</v>
      </c>
      <c r="G773">
        <v>32154</v>
      </c>
    </row>
    <row r="774" spans="1:7">
      <c r="A774" s="1">
        <v>43489</v>
      </c>
      <c r="B774">
        <v>32016</v>
      </c>
      <c r="C774">
        <f>_xlfn.XLOOKUP(A774, USD!A:A, USD!B:B, "")</f>
        <v>71</v>
      </c>
      <c r="D774">
        <f>_xlfn.XLOOKUP(A774, Brent!A:A, Brent!B:B, "")</f>
        <v>61.09</v>
      </c>
      <c r="E774">
        <f>_xlfn.XLOOKUP(
  A774,
  Repo!A:A,
  Repo!B:B,
  "",
  -1
)</f>
        <v>6.5</v>
      </c>
      <c r="F774" s="10">
        <f>_xlfn.XLOOKUP(
  A774,
  CPI!D:D,
  CPI!C:C,
  "",
  -1
)</f>
        <v>1.97</v>
      </c>
      <c r="G774">
        <v>32135</v>
      </c>
    </row>
    <row r="775" spans="1:7">
      <c r="A775" s="1">
        <v>43490</v>
      </c>
      <c r="B775">
        <v>32339</v>
      </c>
      <c r="C775">
        <f>_xlfn.XLOOKUP(A775, USD!A:A, USD!B:B, "")</f>
        <v>70.900000000000006</v>
      </c>
      <c r="D775">
        <f>_xlfn.XLOOKUP(A775, Brent!A:A, Brent!B:B, "")</f>
        <v>61.49</v>
      </c>
      <c r="E775">
        <f>_xlfn.XLOOKUP(
  A775,
  Repo!A:A,
  Repo!B:B,
  "",
  -1
)</f>
        <v>6.5</v>
      </c>
      <c r="F775" s="10">
        <f>_xlfn.XLOOKUP(
  A775,
  CPI!D:D,
  CPI!C:C,
  "",
  -1
)</f>
        <v>1.97</v>
      </c>
      <c r="G775">
        <v>32016</v>
      </c>
    </row>
    <row r="776" spans="1:7">
      <c r="A776" s="1">
        <v>43493</v>
      </c>
      <c r="B776">
        <v>32536</v>
      </c>
      <c r="C776">
        <f>_xlfn.XLOOKUP(A776, USD!A:A, USD!B:B, "")</f>
        <v>71.069999999999993</v>
      </c>
      <c r="D776">
        <f>_xlfn.XLOOKUP(A776, Brent!A:A, Brent!B:B, "")</f>
        <v>59.71</v>
      </c>
      <c r="E776">
        <f>_xlfn.XLOOKUP(
  A776,
  Repo!A:A,
  Repo!B:B,
  "",
  -1
)</f>
        <v>6.5</v>
      </c>
      <c r="F776" s="10">
        <f>_xlfn.XLOOKUP(
  A776,
  CPI!D:D,
  CPI!C:C,
  "",
  -1
)</f>
        <v>1.97</v>
      </c>
      <c r="G776">
        <v>32339</v>
      </c>
    </row>
    <row r="777" spans="1:7">
      <c r="A777" s="1">
        <v>43494</v>
      </c>
      <c r="B777">
        <v>32891</v>
      </c>
      <c r="C777">
        <f>_xlfn.XLOOKUP(A777, USD!A:A, USD!B:B, "")</f>
        <v>71.39</v>
      </c>
      <c r="D777">
        <f>_xlfn.XLOOKUP(A777, Brent!A:A, Brent!B:B, "")</f>
        <v>60.98</v>
      </c>
      <c r="E777">
        <f>_xlfn.XLOOKUP(
  A777,
  Repo!A:A,
  Repo!B:B,
  "",
  -1
)</f>
        <v>6.5</v>
      </c>
      <c r="F777" s="10">
        <f>_xlfn.XLOOKUP(
  A777,
  CPI!D:D,
  CPI!C:C,
  "",
  -1
)</f>
        <v>1.97</v>
      </c>
      <c r="G777">
        <v>32536</v>
      </c>
    </row>
    <row r="778" spans="1:7">
      <c r="A778" s="1">
        <v>43495</v>
      </c>
      <c r="B778">
        <v>32903</v>
      </c>
      <c r="C778">
        <f>_xlfn.XLOOKUP(A778, USD!A:A, USD!B:B, "")</f>
        <v>71.234999999999999</v>
      </c>
      <c r="D778">
        <f>_xlfn.XLOOKUP(A778, Brent!A:A, Brent!B:B, "")</f>
        <v>61.89</v>
      </c>
      <c r="E778">
        <f>_xlfn.XLOOKUP(
  A778,
  Repo!A:A,
  Repo!B:B,
  "",
  -1
)</f>
        <v>6.5</v>
      </c>
      <c r="F778" s="10">
        <f>_xlfn.XLOOKUP(
  A778,
  CPI!D:D,
  CPI!C:C,
  "",
  -1
)</f>
        <v>1.97</v>
      </c>
      <c r="G778">
        <v>32891</v>
      </c>
    </row>
    <row r="779" spans="1:7">
      <c r="A779" s="1">
        <v>43496</v>
      </c>
      <c r="B779">
        <v>33100</v>
      </c>
      <c r="C779">
        <f>_xlfn.XLOOKUP(A779, USD!A:A, USD!B:B, "")</f>
        <v>70.959999999999994</v>
      </c>
      <c r="D779">
        <f>_xlfn.XLOOKUP(A779, Brent!A:A, Brent!B:B, "")</f>
        <v>62.46</v>
      </c>
      <c r="E779">
        <f>_xlfn.XLOOKUP(
  A779,
  Repo!A:A,
  Repo!B:B,
  "",
  -1
)</f>
        <v>6.5</v>
      </c>
      <c r="F779" s="10">
        <f>_xlfn.XLOOKUP(
  A779,
  CPI!D:D,
  CPI!C:C,
  "",
  -1
)</f>
        <v>1.97</v>
      </c>
      <c r="G779">
        <v>32903</v>
      </c>
    </row>
    <row r="780" spans="1:7">
      <c r="A780" s="1">
        <v>43497</v>
      </c>
      <c r="B780">
        <v>33405</v>
      </c>
      <c r="C780">
        <f>_xlfn.XLOOKUP(A780, USD!A:A, USD!B:B, "")</f>
        <v>71.435000000000002</v>
      </c>
      <c r="D780">
        <f>_xlfn.XLOOKUP(A780, Brent!A:A, Brent!B:B, "")</f>
        <v>61.86</v>
      </c>
      <c r="E780">
        <f>_xlfn.XLOOKUP(
  A780,
  Repo!A:A,
  Repo!B:B,
  "",
  -1
)</f>
        <v>6.5</v>
      </c>
      <c r="F780" s="10">
        <f>_xlfn.XLOOKUP(
  A780,
  CPI!D:D,
  CPI!C:C,
  "",
  -1
)</f>
        <v>2.57</v>
      </c>
      <c r="G780">
        <v>33100</v>
      </c>
    </row>
    <row r="781" spans="1:7">
      <c r="A781" s="1">
        <v>43500</v>
      </c>
      <c r="B781">
        <v>33455</v>
      </c>
      <c r="C781">
        <f>_xlfn.XLOOKUP(A781, USD!A:A, USD!B:B, "")</f>
        <v>71.709999999999994</v>
      </c>
      <c r="D781">
        <f>_xlfn.XLOOKUP(A781, Brent!A:A, Brent!B:B, "")</f>
        <v>62.26</v>
      </c>
      <c r="E781">
        <f>_xlfn.XLOOKUP(
  A781,
  Repo!A:A,
  Repo!B:B,
  "",
  -1
)</f>
        <v>6.5</v>
      </c>
      <c r="F781" s="10">
        <f>_xlfn.XLOOKUP(
  A781,
  CPI!D:D,
  CPI!C:C,
  "",
  -1
)</f>
        <v>2.57</v>
      </c>
      <c r="G781">
        <v>33405</v>
      </c>
    </row>
    <row r="782" spans="1:7">
      <c r="A782" s="1">
        <v>43501</v>
      </c>
      <c r="B782">
        <v>33381</v>
      </c>
      <c r="C782">
        <f>_xlfn.XLOOKUP(A782, USD!A:A, USD!B:B, "")</f>
        <v>71.53</v>
      </c>
      <c r="D782">
        <f>_xlfn.XLOOKUP(A782, Brent!A:A, Brent!B:B, "")</f>
        <v>61.67</v>
      </c>
      <c r="E782">
        <f>_xlfn.XLOOKUP(
  A782,
  Repo!A:A,
  Repo!B:B,
  "",
  -1
)</f>
        <v>6.5</v>
      </c>
      <c r="F782" s="10">
        <f>_xlfn.XLOOKUP(
  A782,
  CPI!D:D,
  CPI!C:C,
  "",
  -1
)</f>
        <v>2.57</v>
      </c>
      <c r="G782">
        <v>33455</v>
      </c>
    </row>
    <row r="783" spans="1:7">
      <c r="A783" s="1">
        <v>43502</v>
      </c>
      <c r="B783">
        <v>33222</v>
      </c>
      <c r="C783">
        <f>_xlfn.XLOOKUP(A783, USD!A:A, USD!B:B, "")</f>
        <v>71.55</v>
      </c>
      <c r="D783">
        <f>_xlfn.XLOOKUP(A783, Brent!A:A, Brent!B:B, "")</f>
        <v>62.22</v>
      </c>
      <c r="E783">
        <f>_xlfn.XLOOKUP(
  A783,
  Repo!A:A,
  Repo!B:B,
  "",
  -1
)</f>
        <v>6.5</v>
      </c>
      <c r="F783" s="10">
        <f>_xlfn.XLOOKUP(
  A783,
  CPI!D:D,
  CPI!C:C,
  "",
  -1
)</f>
        <v>2.57</v>
      </c>
      <c r="G783">
        <v>33381</v>
      </c>
    </row>
    <row r="784" spans="1:7">
      <c r="A784" s="1">
        <v>43503</v>
      </c>
      <c r="B784">
        <v>33056</v>
      </c>
      <c r="C784">
        <f>_xlfn.XLOOKUP(A784, USD!A:A, USD!B:B, "")</f>
        <v>71.3</v>
      </c>
      <c r="D784">
        <f>_xlfn.XLOOKUP(A784, Brent!A:A, Brent!B:B, "")</f>
        <v>61.01</v>
      </c>
      <c r="E784">
        <f>_xlfn.XLOOKUP(
  A784,
  Repo!A:A,
  Repo!B:B,
  "",
  -1
)</f>
        <v>6.5</v>
      </c>
      <c r="F784" s="10">
        <f>_xlfn.XLOOKUP(
  A784,
  CPI!D:D,
  CPI!C:C,
  "",
  -1
)</f>
        <v>2.57</v>
      </c>
      <c r="G784">
        <v>33222</v>
      </c>
    </row>
    <row r="785" spans="1:7">
      <c r="A785" s="1">
        <v>43504</v>
      </c>
      <c r="B785">
        <v>33125</v>
      </c>
      <c r="C785">
        <f>_xlfn.XLOOKUP(A785, USD!A:A, USD!B:B, "")</f>
        <v>71.174999999999997</v>
      </c>
      <c r="D785">
        <f>_xlfn.XLOOKUP(A785, Brent!A:A, Brent!B:B, "")</f>
        <v>61.37</v>
      </c>
      <c r="E785">
        <f>_xlfn.XLOOKUP(
  A785,
  Repo!A:A,
  Repo!B:B,
  "",
  -1
)</f>
        <v>6.5</v>
      </c>
      <c r="F785" s="10">
        <f>_xlfn.XLOOKUP(
  A785,
  CPI!D:D,
  CPI!C:C,
  "",
  -1
)</f>
        <v>2.57</v>
      </c>
      <c r="G785">
        <v>33056</v>
      </c>
    </row>
    <row r="786" spans="1:7">
      <c r="A786" s="1">
        <v>43507</v>
      </c>
      <c r="B786">
        <v>32931</v>
      </c>
      <c r="C786">
        <f>_xlfn.XLOOKUP(A786, USD!A:A, USD!B:B, "")</f>
        <v>71.14</v>
      </c>
      <c r="D786">
        <f>_xlfn.XLOOKUP(A786, Brent!A:A, Brent!B:B, "")</f>
        <v>61.3</v>
      </c>
      <c r="E786">
        <f>_xlfn.XLOOKUP(
  A786,
  Repo!A:A,
  Repo!B:B,
  "",
  -1
)</f>
        <v>6.5</v>
      </c>
      <c r="F786" s="10">
        <f>_xlfn.XLOOKUP(
  A786,
  CPI!D:D,
  CPI!C:C,
  "",
  -1
)</f>
        <v>2.57</v>
      </c>
      <c r="G786">
        <v>33125</v>
      </c>
    </row>
    <row r="787" spans="1:7">
      <c r="A787" s="1">
        <v>43508</v>
      </c>
      <c r="B787">
        <v>32747</v>
      </c>
      <c r="C787">
        <f>_xlfn.XLOOKUP(A787, USD!A:A, USD!B:B, "")</f>
        <v>70.534999999999997</v>
      </c>
      <c r="D787">
        <f>_xlfn.XLOOKUP(A787, Brent!A:A, Brent!B:B, "")</f>
        <v>62.58</v>
      </c>
      <c r="E787">
        <f>_xlfn.XLOOKUP(
  A787,
  Repo!A:A,
  Repo!B:B,
  "",
  -1
)</f>
        <v>6.5</v>
      </c>
      <c r="F787" s="10">
        <f>_xlfn.XLOOKUP(
  A787,
  CPI!D:D,
  CPI!C:C,
  "",
  -1
)</f>
        <v>2.57</v>
      </c>
      <c r="G787">
        <v>32931</v>
      </c>
    </row>
    <row r="788" spans="1:7">
      <c r="A788" s="1">
        <v>43509</v>
      </c>
      <c r="B788">
        <v>32909</v>
      </c>
      <c r="C788">
        <f>_xlfn.XLOOKUP(A788, USD!A:A, USD!B:B, "")</f>
        <v>70.875</v>
      </c>
      <c r="D788">
        <f>_xlfn.XLOOKUP(A788, Brent!A:A, Brent!B:B, "")</f>
        <v>63.27</v>
      </c>
      <c r="E788">
        <f>_xlfn.XLOOKUP(
  A788,
  Repo!A:A,
  Repo!B:B,
  "",
  -1
)</f>
        <v>6.5</v>
      </c>
      <c r="F788" s="10">
        <f>_xlfn.XLOOKUP(
  A788,
  CPI!D:D,
  CPI!C:C,
  "",
  -1
)</f>
        <v>2.57</v>
      </c>
      <c r="G788">
        <v>32747</v>
      </c>
    </row>
    <row r="789" spans="1:7">
      <c r="A789" s="1">
        <v>43510</v>
      </c>
      <c r="B789">
        <v>32970</v>
      </c>
      <c r="C789">
        <f>_xlfn.XLOOKUP(A789, USD!A:A, USD!B:B, "")</f>
        <v>71.02</v>
      </c>
      <c r="D789">
        <f>_xlfn.XLOOKUP(A789, Brent!A:A, Brent!B:B, "")</f>
        <v>64</v>
      </c>
      <c r="E789">
        <f>_xlfn.XLOOKUP(
  A789,
  Repo!A:A,
  Repo!B:B,
  "",
  -1
)</f>
        <v>6.5</v>
      </c>
      <c r="F789" s="10">
        <f>_xlfn.XLOOKUP(
  A789,
  CPI!D:D,
  CPI!C:C,
  "",
  -1
)</f>
        <v>2.57</v>
      </c>
      <c r="G789">
        <v>32909</v>
      </c>
    </row>
    <row r="790" spans="1:7">
      <c r="A790" s="1">
        <v>43511</v>
      </c>
      <c r="B790">
        <v>33263</v>
      </c>
      <c r="C790">
        <f>_xlfn.XLOOKUP(A790, USD!A:A, USD!B:B, "")</f>
        <v>71.33</v>
      </c>
      <c r="D790">
        <f>_xlfn.XLOOKUP(A790, Brent!A:A, Brent!B:B, "")</f>
        <v>65.650000000000006</v>
      </c>
      <c r="E790">
        <f>_xlfn.XLOOKUP(
  A790,
  Repo!A:A,
  Repo!B:B,
  "",
  -1
)</f>
        <v>6.5</v>
      </c>
      <c r="F790" s="10">
        <f>_xlfn.XLOOKUP(
  A790,
  CPI!D:D,
  CPI!C:C,
  "",
  -1
)</f>
        <v>2.57</v>
      </c>
      <c r="G790">
        <v>32970</v>
      </c>
    </row>
    <row r="791" spans="1:7">
      <c r="A791" s="1">
        <v>43514</v>
      </c>
      <c r="B791">
        <v>33463</v>
      </c>
      <c r="C791">
        <f>_xlfn.XLOOKUP(A791, USD!A:A, USD!B:B, "")</f>
        <v>71.387</v>
      </c>
      <c r="D791">
        <f>_xlfn.XLOOKUP(A791, Brent!A:A, Brent!B:B, "")</f>
        <v>66.41</v>
      </c>
      <c r="E791">
        <f>_xlfn.XLOOKUP(
  A791,
  Repo!A:A,
  Repo!B:B,
  "",
  -1
)</f>
        <v>6.5</v>
      </c>
      <c r="F791" s="10">
        <f>_xlfn.XLOOKUP(
  A791,
  CPI!D:D,
  CPI!C:C,
  "",
  -1
)</f>
        <v>2.57</v>
      </c>
      <c r="G791">
        <v>33263</v>
      </c>
    </row>
    <row r="792" spans="1:7">
      <c r="A792" s="1">
        <v>43515</v>
      </c>
      <c r="B792">
        <v>33753</v>
      </c>
      <c r="C792">
        <f>_xlfn.XLOOKUP(A792, USD!A:A, USD!B:B, "")</f>
        <v>71.3</v>
      </c>
      <c r="D792">
        <f>_xlfn.XLOOKUP(A792, Brent!A:A, Brent!B:B, "")</f>
        <v>65.86</v>
      </c>
      <c r="E792">
        <f>_xlfn.XLOOKUP(
  A792,
  Repo!A:A,
  Repo!B:B,
  "",
  -1
)</f>
        <v>6.5</v>
      </c>
      <c r="F792" s="10">
        <f>_xlfn.XLOOKUP(
  A792,
  CPI!D:D,
  CPI!C:C,
  "",
  -1
)</f>
        <v>2.57</v>
      </c>
      <c r="G792">
        <v>33463</v>
      </c>
    </row>
    <row r="793" spans="1:7">
      <c r="A793" s="1">
        <v>43516</v>
      </c>
      <c r="B793">
        <v>33719</v>
      </c>
      <c r="C793">
        <f>_xlfn.XLOOKUP(A793, USD!A:A, USD!B:B, "")</f>
        <v>71.010000000000005</v>
      </c>
      <c r="D793">
        <f>_xlfn.XLOOKUP(A793, Brent!A:A, Brent!B:B, "")</f>
        <v>66.819999999999993</v>
      </c>
      <c r="E793">
        <f>_xlfn.XLOOKUP(
  A793,
  Repo!A:A,
  Repo!B:B,
  "",
  -1
)</f>
        <v>6.5</v>
      </c>
      <c r="F793" s="10">
        <f>_xlfn.XLOOKUP(
  A793,
  CPI!D:D,
  CPI!C:C,
  "",
  -1
)</f>
        <v>2.57</v>
      </c>
      <c r="G793">
        <v>33753</v>
      </c>
    </row>
    <row r="794" spans="1:7">
      <c r="A794" s="1">
        <v>43517</v>
      </c>
      <c r="B794">
        <v>33302</v>
      </c>
      <c r="C794">
        <f>_xlfn.XLOOKUP(A794, USD!A:A, USD!B:B, "")</f>
        <v>71.165000000000006</v>
      </c>
      <c r="D794">
        <f>_xlfn.XLOOKUP(A794, Brent!A:A, Brent!B:B, "")</f>
        <v>66.91</v>
      </c>
      <c r="E794">
        <f>_xlfn.XLOOKUP(
  A794,
  Repo!A:A,
  Repo!B:B,
  "",
  -1
)</f>
        <v>6.5</v>
      </c>
      <c r="F794" s="10">
        <f>_xlfn.XLOOKUP(
  A794,
  CPI!D:D,
  CPI!C:C,
  "",
  -1
)</f>
        <v>2.57</v>
      </c>
      <c r="G794">
        <v>33719</v>
      </c>
    </row>
    <row r="795" spans="1:7">
      <c r="A795" s="1">
        <v>43518</v>
      </c>
      <c r="B795">
        <v>33369</v>
      </c>
      <c r="C795">
        <f>_xlfn.XLOOKUP(A795, USD!A:A, USD!B:B, "")</f>
        <v>71.034999999999997</v>
      </c>
      <c r="D795">
        <f>_xlfn.XLOOKUP(A795, Brent!A:A, Brent!B:B, "")</f>
        <v>66.91</v>
      </c>
      <c r="E795">
        <f>_xlfn.XLOOKUP(
  A795,
  Repo!A:A,
  Repo!B:B,
  "",
  -1
)</f>
        <v>6.5</v>
      </c>
      <c r="F795" s="10">
        <f>_xlfn.XLOOKUP(
  A795,
  CPI!D:D,
  CPI!C:C,
  "",
  -1
)</f>
        <v>2.57</v>
      </c>
      <c r="G795">
        <v>33302</v>
      </c>
    </row>
    <row r="796" spans="1:7">
      <c r="A796" s="1">
        <v>43521</v>
      </c>
      <c r="B796">
        <v>33159</v>
      </c>
      <c r="C796">
        <f>_xlfn.XLOOKUP(A796, USD!A:A, USD!B:B, "")</f>
        <v>70.834000000000003</v>
      </c>
      <c r="D796">
        <f>_xlfn.XLOOKUP(A796, Brent!A:A, Brent!B:B, "")</f>
        <v>64.02</v>
      </c>
      <c r="E796">
        <f>_xlfn.XLOOKUP(
  A796,
  Repo!A:A,
  Repo!B:B,
  "",
  -1
)</f>
        <v>6.5</v>
      </c>
      <c r="F796" s="10">
        <f>_xlfn.XLOOKUP(
  A796,
  CPI!D:D,
  CPI!C:C,
  "",
  -1
)</f>
        <v>2.57</v>
      </c>
      <c r="G796">
        <v>33369</v>
      </c>
    </row>
    <row r="797" spans="1:7">
      <c r="A797" s="1">
        <v>43522</v>
      </c>
      <c r="B797">
        <v>33228</v>
      </c>
      <c r="C797">
        <f>_xlfn.XLOOKUP(A797, USD!A:A, USD!B:B, "")</f>
        <v>70.959999999999994</v>
      </c>
      <c r="D797">
        <f>_xlfn.XLOOKUP(A797, Brent!A:A, Brent!B:B, "")</f>
        <v>64.510000000000005</v>
      </c>
      <c r="E797">
        <f>_xlfn.XLOOKUP(
  A797,
  Repo!A:A,
  Repo!B:B,
  "",
  -1
)</f>
        <v>6.5</v>
      </c>
      <c r="F797" s="10">
        <f>_xlfn.XLOOKUP(
  A797,
  CPI!D:D,
  CPI!C:C,
  "",
  -1
)</f>
        <v>2.57</v>
      </c>
      <c r="G797">
        <v>33159</v>
      </c>
    </row>
    <row r="798" spans="1:7">
      <c r="A798" s="1">
        <v>43523</v>
      </c>
      <c r="B798">
        <v>33171</v>
      </c>
      <c r="C798">
        <f>_xlfn.XLOOKUP(A798, USD!A:A, USD!B:B, "")</f>
        <v>71.2</v>
      </c>
      <c r="D798">
        <f>_xlfn.XLOOKUP(A798, Brent!A:A, Brent!B:B, "")</f>
        <v>65.55</v>
      </c>
      <c r="E798">
        <f>_xlfn.XLOOKUP(
  A798,
  Repo!A:A,
  Repo!B:B,
  "",
  -1
)</f>
        <v>6.5</v>
      </c>
      <c r="F798" s="10">
        <f>_xlfn.XLOOKUP(
  A798,
  CPI!D:D,
  CPI!C:C,
  "",
  -1
)</f>
        <v>2.57</v>
      </c>
      <c r="G798">
        <v>33228</v>
      </c>
    </row>
    <row r="799" spans="1:7">
      <c r="A799" s="1">
        <v>43524</v>
      </c>
      <c r="B799">
        <v>32902</v>
      </c>
      <c r="C799">
        <f>_xlfn.XLOOKUP(A799, USD!A:A, USD!B:B, "")</f>
        <v>70.84</v>
      </c>
      <c r="D799">
        <f>_xlfn.XLOOKUP(A799, Brent!A:A, Brent!B:B, "")</f>
        <v>65.03</v>
      </c>
      <c r="E799">
        <f>_xlfn.XLOOKUP(
  A799,
  Repo!A:A,
  Repo!B:B,
  "",
  -1
)</f>
        <v>6.25</v>
      </c>
      <c r="F799" s="10">
        <f>_xlfn.XLOOKUP(
  A799,
  CPI!D:D,
  CPI!C:C,
  "",
  -1
)</f>
        <v>2.57</v>
      </c>
      <c r="G799">
        <v>33171</v>
      </c>
    </row>
    <row r="800" spans="1:7">
      <c r="A800" s="1">
        <v>43525</v>
      </c>
      <c r="B800">
        <v>32533</v>
      </c>
      <c r="C800">
        <f>_xlfn.XLOOKUP(A800, USD!A:A, USD!B:B, "")</f>
        <v>71</v>
      </c>
      <c r="D800">
        <f>_xlfn.XLOOKUP(A800, Brent!A:A, Brent!B:B, "")</f>
        <v>63.71</v>
      </c>
      <c r="E800">
        <f>_xlfn.XLOOKUP(
  A800,
  Repo!A:A,
  Repo!B:B,
  "",
  -1
)</f>
        <v>6.25</v>
      </c>
      <c r="F800" s="10">
        <f>_xlfn.XLOOKUP(
  A800,
  CPI!D:D,
  CPI!C:C,
  "",
  -1
)</f>
        <v>2.86</v>
      </c>
      <c r="G800">
        <v>32902</v>
      </c>
    </row>
    <row r="801" spans="1:7">
      <c r="A801" s="1">
        <v>43528</v>
      </c>
      <c r="B801">
        <v>32505</v>
      </c>
      <c r="C801">
        <f>_xlfn.XLOOKUP(A801, USD!A:A, USD!B:B, "")</f>
        <v>70.91</v>
      </c>
      <c r="D801">
        <f>_xlfn.XLOOKUP(A801, Brent!A:A, Brent!B:B, "")</f>
        <v>64.44</v>
      </c>
      <c r="E801">
        <f>_xlfn.XLOOKUP(
  A801,
  Repo!A:A,
  Repo!B:B,
  "",
  -1
)</f>
        <v>6.25</v>
      </c>
      <c r="F801" s="10">
        <f>_xlfn.XLOOKUP(
  A801,
  CPI!D:D,
  CPI!C:C,
  "",
  -1
)</f>
        <v>2.86</v>
      </c>
      <c r="G801">
        <v>32533</v>
      </c>
    </row>
    <row r="802" spans="1:7">
      <c r="A802" s="1">
        <v>43529</v>
      </c>
      <c r="B802">
        <v>32015</v>
      </c>
      <c r="C802">
        <f>_xlfn.XLOOKUP(A802, USD!A:A, USD!B:B, "")</f>
        <v>70.489999999999995</v>
      </c>
      <c r="D802">
        <f>_xlfn.XLOOKUP(A802, Brent!A:A, Brent!B:B, "")</f>
        <v>64.239999999999995</v>
      </c>
      <c r="E802">
        <f>_xlfn.XLOOKUP(
  A802,
  Repo!A:A,
  Repo!B:B,
  "",
  -1
)</f>
        <v>6.25</v>
      </c>
      <c r="F802" s="10">
        <f>_xlfn.XLOOKUP(
  A802,
  CPI!D:D,
  CPI!C:C,
  "",
  -1
)</f>
        <v>2.86</v>
      </c>
      <c r="G802">
        <v>32505</v>
      </c>
    </row>
    <row r="803" spans="1:7">
      <c r="A803" s="1">
        <v>43530</v>
      </c>
      <c r="B803">
        <v>31954</v>
      </c>
      <c r="C803">
        <f>_xlfn.XLOOKUP(A803, USD!A:A, USD!B:B, "")</f>
        <v>70.08</v>
      </c>
      <c r="D803">
        <f>_xlfn.XLOOKUP(A803, Brent!A:A, Brent!B:B, "")</f>
        <v>64.510000000000005</v>
      </c>
      <c r="E803">
        <f>_xlfn.XLOOKUP(
  A803,
  Repo!A:A,
  Repo!B:B,
  "",
  -1
)</f>
        <v>6.25</v>
      </c>
      <c r="F803" s="10">
        <f>_xlfn.XLOOKUP(
  A803,
  CPI!D:D,
  CPI!C:C,
  "",
  -1
)</f>
        <v>2.86</v>
      </c>
      <c r="G803">
        <v>32015</v>
      </c>
    </row>
    <row r="804" spans="1:7">
      <c r="A804" s="1">
        <v>43531</v>
      </c>
      <c r="B804">
        <v>31946</v>
      </c>
      <c r="C804">
        <f>_xlfn.XLOOKUP(A804, USD!A:A, USD!B:B, "")</f>
        <v>70.116</v>
      </c>
      <c r="D804">
        <f>_xlfn.XLOOKUP(A804, Brent!A:A, Brent!B:B, "")</f>
        <v>64.819999999999993</v>
      </c>
      <c r="E804">
        <f>_xlfn.XLOOKUP(
  A804,
  Repo!A:A,
  Repo!B:B,
  "",
  -1
)</f>
        <v>6.25</v>
      </c>
      <c r="F804" s="10">
        <f>_xlfn.XLOOKUP(
  A804,
  CPI!D:D,
  CPI!C:C,
  "",
  -1
)</f>
        <v>2.86</v>
      </c>
      <c r="G804">
        <v>31954</v>
      </c>
    </row>
    <row r="805" spans="1:7">
      <c r="A805" s="1">
        <v>43532</v>
      </c>
      <c r="B805">
        <v>32174</v>
      </c>
      <c r="C805">
        <f>_xlfn.XLOOKUP(A805, USD!A:A, USD!B:B, "")</f>
        <v>70.012</v>
      </c>
      <c r="D805">
        <f>_xlfn.XLOOKUP(A805, Brent!A:A, Brent!B:B, "")</f>
        <v>65.66</v>
      </c>
      <c r="E805">
        <f>_xlfn.XLOOKUP(
  A805,
  Repo!A:A,
  Repo!B:B,
  "",
  -1
)</f>
        <v>6.25</v>
      </c>
      <c r="F805" s="10">
        <f>_xlfn.XLOOKUP(
  A805,
  CPI!D:D,
  CPI!C:C,
  "",
  -1
)</f>
        <v>2.86</v>
      </c>
      <c r="G805">
        <v>31946</v>
      </c>
    </row>
    <row r="806" spans="1:7">
      <c r="A806" s="1">
        <v>43535</v>
      </c>
      <c r="B806">
        <v>31915</v>
      </c>
      <c r="C806">
        <f>_xlfn.XLOOKUP(A806, USD!A:A, USD!B:B, "")</f>
        <v>69.849999999999994</v>
      </c>
      <c r="D806">
        <f>_xlfn.XLOOKUP(A806, Brent!A:A, Brent!B:B, "")</f>
        <v>65.06</v>
      </c>
      <c r="E806">
        <f>_xlfn.XLOOKUP(
  A806,
  Repo!A:A,
  Repo!B:B,
  "",
  -1
)</f>
        <v>6.25</v>
      </c>
      <c r="F806" s="10">
        <f>_xlfn.XLOOKUP(
  A806,
  CPI!D:D,
  CPI!C:C,
  "",
  -1
)</f>
        <v>2.86</v>
      </c>
      <c r="G806">
        <v>32174</v>
      </c>
    </row>
    <row r="807" spans="1:7">
      <c r="A807" s="1">
        <v>43536</v>
      </c>
      <c r="B807">
        <v>32015</v>
      </c>
      <c r="C807">
        <f>_xlfn.XLOOKUP(A807, USD!A:A, USD!B:B, "")</f>
        <v>69.625</v>
      </c>
      <c r="D807">
        <f>_xlfn.XLOOKUP(A807, Brent!A:A, Brent!B:B, "")</f>
        <v>65.33</v>
      </c>
      <c r="E807">
        <f>_xlfn.XLOOKUP(
  A807,
  Repo!A:A,
  Repo!B:B,
  "",
  -1
)</f>
        <v>6.25</v>
      </c>
      <c r="F807" s="10">
        <f>_xlfn.XLOOKUP(
  A807,
  CPI!D:D,
  CPI!C:C,
  "",
  -1
)</f>
        <v>2.86</v>
      </c>
      <c r="G807">
        <v>31915</v>
      </c>
    </row>
    <row r="808" spans="1:7">
      <c r="A808" s="1">
        <v>43537</v>
      </c>
      <c r="B808">
        <v>32225</v>
      </c>
      <c r="C808">
        <f>_xlfn.XLOOKUP(A808, USD!A:A, USD!B:B, "")</f>
        <v>69.528999999999996</v>
      </c>
      <c r="D808">
        <f>_xlfn.XLOOKUP(A808, Brent!A:A, Brent!B:B, "")</f>
        <v>65.89</v>
      </c>
      <c r="E808">
        <f>_xlfn.XLOOKUP(
  A808,
  Repo!A:A,
  Repo!B:B,
  "",
  -1
)</f>
        <v>6.25</v>
      </c>
      <c r="F808" s="10">
        <f>_xlfn.XLOOKUP(
  A808,
  CPI!D:D,
  CPI!C:C,
  "",
  -1
)</f>
        <v>2.86</v>
      </c>
      <c r="G808">
        <v>32015</v>
      </c>
    </row>
    <row r="809" spans="1:7">
      <c r="A809" s="1">
        <v>43538</v>
      </c>
      <c r="B809">
        <v>31832</v>
      </c>
      <c r="C809">
        <f>_xlfn.XLOOKUP(A809, USD!A:A, USD!B:B, "")</f>
        <v>69.364999999999995</v>
      </c>
      <c r="D809">
        <f>_xlfn.XLOOKUP(A809, Brent!A:A, Brent!B:B, "")</f>
        <v>66.180000000000007</v>
      </c>
      <c r="E809">
        <f>_xlfn.XLOOKUP(
  A809,
  Repo!A:A,
  Repo!B:B,
  "",
  -1
)</f>
        <v>6.25</v>
      </c>
      <c r="F809" s="10">
        <f>_xlfn.XLOOKUP(
  A809,
  CPI!D:D,
  CPI!C:C,
  "",
  -1
)</f>
        <v>2.86</v>
      </c>
      <c r="G809">
        <v>32225</v>
      </c>
    </row>
    <row r="810" spans="1:7">
      <c r="A810" s="1">
        <v>43539</v>
      </c>
      <c r="B810">
        <v>31853</v>
      </c>
      <c r="C810">
        <f>_xlfn.XLOOKUP(A810, USD!A:A, USD!B:B, "")</f>
        <v>68.962999999999994</v>
      </c>
      <c r="D810">
        <f>_xlfn.XLOOKUP(A810, Brent!A:A, Brent!B:B, "")</f>
        <v>66.11</v>
      </c>
      <c r="E810">
        <f>_xlfn.XLOOKUP(
  A810,
  Repo!A:A,
  Repo!B:B,
  "",
  -1
)</f>
        <v>6.25</v>
      </c>
      <c r="F810" s="10">
        <f>_xlfn.XLOOKUP(
  A810,
  CPI!D:D,
  CPI!C:C,
  "",
  -1
)</f>
        <v>2.86</v>
      </c>
      <c r="G810">
        <v>31832</v>
      </c>
    </row>
    <row r="811" spans="1:7">
      <c r="A811" s="1">
        <v>43542</v>
      </c>
      <c r="B811">
        <v>31685</v>
      </c>
      <c r="C811">
        <f>_xlfn.XLOOKUP(A811, USD!A:A, USD!B:B, "")</f>
        <v>68.625</v>
      </c>
      <c r="D811">
        <f>_xlfn.XLOOKUP(A811, Brent!A:A, Brent!B:B, "")</f>
        <v>66.650000000000006</v>
      </c>
      <c r="E811">
        <f>_xlfn.XLOOKUP(
  A811,
  Repo!A:A,
  Repo!B:B,
  "",
  -1
)</f>
        <v>6.25</v>
      </c>
      <c r="F811" s="10">
        <f>_xlfn.XLOOKUP(
  A811,
  CPI!D:D,
  CPI!C:C,
  "",
  -1
)</f>
        <v>2.86</v>
      </c>
      <c r="G811">
        <v>31853</v>
      </c>
    </row>
    <row r="812" spans="1:7">
      <c r="A812" s="1">
        <v>43543</v>
      </c>
      <c r="B812">
        <v>31985</v>
      </c>
      <c r="C812">
        <f>_xlfn.XLOOKUP(A812, USD!A:A, USD!B:B, "")</f>
        <v>69.015000000000001</v>
      </c>
      <c r="D812">
        <f>_xlfn.XLOOKUP(A812, Brent!A:A, Brent!B:B, "")</f>
        <v>67.13</v>
      </c>
      <c r="E812">
        <f>_xlfn.XLOOKUP(
  A812,
  Repo!A:A,
  Repo!B:B,
  "",
  -1
)</f>
        <v>6.25</v>
      </c>
      <c r="F812" s="10">
        <f>_xlfn.XLOOKUP(
  A812,
  CPI!D:D,
  CPI!C:C,
  "",
  -1
)</f>
        <v>2.86</v>
      </c>
      <c r="G812">
        <v>31685</v>
      </c>
    </row>
    <row r="813" spans="1:7">
      <c r="A813" s="1">
        <v>43544</v>
      </c>
      <c r="B813">
        <v>31740</v>
      </c>
      <c r="C813">
        <f>_xlfn.XLOOKUP(A813, USD!A:A, USD!B:B, "")</f>
        <v>68.790000000000006</v>
      </c>
      <c r="D813">
        <f>_xlfn.XLOOKUP(A813, Brent!A:A, Brent!B:B, "")</f>
        <v>68.349999999999994</v>
      </c>
      <c r="E813">
        <f>_xlfn.XLOOKUP(
  A813,
  Repo!A:A,
  Repo!B:B,
  "",
  -1
)</f>
        <v>6.25</v>
      </c>
      <c r="F813" s="10">
        <f>_xlfn.XLOOKUP(
  A813,
  CPI!D:D,
  CPI!C:C,
  "",
  -1
)</f>
        <v>2.86</v>
      </c>
      <c r="G813">
        <v>31985</v>
      </c>
    </row>
    <row r="814" spans="1:7">
      <c r="A814" s="1">
        <v>43545</v>
      </c>
      <c r="B814">
        <v>31842</v>
      </c>
      <c r="C814">
        <f>_xlfn.XLOOKUP(A814, USD!A:A, USD!B:B, "")</f>
        <v>68.81</v>
      </c>
      <c r="D814">
        <f>_xlfn.XLOOKUP(A814, Brent!A:A, Brent!B:B, "")</f>
        <v>68.3</v>
      </c>
      <c r="E814">
        <f>_xlfn.XLOOKUP(
  A814,
  Repo!A:A,
  Repo!B:B,
  "",
  -1
)</f>
        <v>6.25</v>
      </c>
      <c r="F814" s="10">
        <f>_xlfn.XLOOKUP(
  A814,
  CPI!D:D,
  CPI!C:C,
  "",
  -1
)</f>
        <v>2.86</v>
      </c>
      <c r="G814">
        <v>31740</v>
      </c>
    </row>
    <row r="815" spans="1:7">
      <c r="A815" s="1">
        <v>43546</v>
      </c>
      <c r="B815">
        <v>32155</v>
      </c>
      <c r="C815">
        <f>_xlfn.XLOOKUP(A815, USD!A:A, USD!B:B, "")</f>
        <v>69.17</v>
      </c>
      <c r="D815">
        <f>_xlfn.XLOOKUP(A815, Brent!A:A, Brent!B:B, "")</f>
        <v>66.290000000000006</v>
      </c>
      <c r="E815">
        <f>_xlfn.XLOOKUP(
  A815,
  Repo!A:A,
  Repo!B:B,
  "",
  -1
)</f>
        <v>6.25</v>
      </c>
      <c r="F815" s="10">
        <f>_xlfn.XLOOKUP(
  A815,
  CPI!D:D,
  CPI!C:C,
  "",
  -1
)</f>
        <v>2.86</v>
      </c>
      <c r="G815">
        <v>31842</v>
      </c>
    </row>
    <row r="816" spans="1:7">
      <c r="A816" s="1">
        <v>43549</v>
      </c>
      <c r="B816">
        <v>32223</v>
      </c>
      <c r="C816">
        <f>_xlfn.XLOOKUP(A816, USD!A:A, USD!B:B, "")</f>
        <v>68.89</v>
      </c>
      <c r="D816">
        <f>_xlfn.XLOOKUP(A816, Brent!A:A, Brent!B:B, "")</f>
        <v>67.37</v>
      </c>
      <c r="E816">
        <f>_xlfn.XLOOKUP(
  A816,
  Repo!A:A,
  Repo!B:B,
  "",
  -1
)</f>
        <v>6.25</v>
      </c>
      <c r="F816" s="10">
        <f>_xlfn.XLOOKUP(
  A816,
  CPI!D:D,
  CPI!C:C,
  "",
  -1
)</f>
        <v>2.86</v>
      </c>
      <c r="G816">
        <v>32155</v>
      </c>
    </row>
    <row r="817" spans="1:7">
      <c r="A817" s="1">
        <v>43550</v>
      </c>
      <c r="B817">
        <v>32113</v>
      </c>
      <c r="C817">
        <f>_xlfn.XLOOKUP(A817, USD!A:A, USD!B:B, "")</f>
        <v>68.995999999999995</v>
      </c>
      <c r="D817">
        <f>_xlfn.XLOOKUP(A817, Brent!A:A, Brent!B:B, "")</f>
        <v>67.510000000000005</v>
      </c>
      <c r="E817">
        <f>_xlfn.XLOOKUP(
  A817,
  Repo!A:A,
  Repo!B:B,
  "",
  -1
)</f>
        <v>6.25</v>
      </c>
      <c r="F817" s="10">
        <f>_xlfn.XLOOKUP(
  A817,
  CPI!D:D,
  CPI!C:C,
  "",
  -1
)</f>
        <v>2.86</v>
      </c>
      <c r="G817">
        <v>32223</v>
      </c>
    </row>
    <row r="818" spans="1:7">
      <c r="A818" s="1">
        <v>43551</v>
      </c>
      <c r="B818">
        <v>32019</v>
      </c>
      <c r="C818">
        <f>_xlfn.XLOOKUP(A818, USD!A:A, USD!B:B, "")</f>
        <v>69.099999999999994</v>
      </c>
      <c r="D818">
        <f>_xlfn.XLOOKUP(A818, Brent!A:A, Brent!B:B, "")</f>
        <v>67.349999999999994</v>
      </c>
      <c r="E818">
        <f>_xlfn.XLOOKUP(
  A818,
  Repo!A:A,
  Repo!B:B,
  "",
  -1
)</f>
        <v>6.25</v>
      </c>
      <c r="F818" s="10">
        <f>_xlfn.XLOOKUP(
  A818,
  CPI!D:D,
  CPI!C:C,
  "",
  -1
)</f>
        <v>2.86</v>
      </c>
      <c r="G818">
        <v>32113</v>
      </c>
    </row>
    <row r="819" spans="1:7">
      <c r="A819" s="1">
        <v>43552</v>
      </c>
      <c r="B819">
        <v>31624</v>
      </c>
      <c r="C819">
        <f>_xlfn.XLOOKUP(A819, USD!A:A, USD!B:B, "")</f>
        <v>69.19</v>
      </c>
      <c r="D819">
        <f>_xlfn.XLOOKUP(A819, Brent!A:A, Brent!B:B, "")</f>
        <v>66.08</v>
      </c>
      <c r="E819">
        <f>_xlfn.XLOOKUP(
  A819,
  Repo!A:A,
  Repo!B:B,
  "",
  -1
)</f>
        <v>6.25</v>
      </c>
      <c r="F819" s="10">
        <f>_xlfn.XLOOKUP(
  A819,
  CPI!D:D,
  CPI!C:C,
  "",
  -1
)</f>
        <v>2.86</v>
      </c>
      <c r="G819">
        <v>32019</v>
      </c>
    </row>
    <row r="820" spans="1:7">
      <c r="A820" s="1">
        <v>43553</v>
      </c>
      <c r="B820">
        <v>31703</v>
      </c>
      <c r="C820">
        <f>_xlfn.XLOOKUP(A820, USD!A:A, USD!B:B, "")</f>
        <v>69.185000000000002</v>
      </c>
      <c r="D820">
        <f>_xlfn.XLOOKUP(A820, Brent!A:A, Brent!B:B, "")</f>
        <v>67.930000000000007</v>
      </c>
      <c r="E820">
        <f>_xlfn.XLOOKUP(
  A820,
  Repo!A:A,
  Repo!B:B,
  "",
  -1
)</f>
        <v>6.25</v>
      </c>
      <c r="F820" s="10">
        <f>_xlfn.XLOOKUP(
  A820,
  CPI!D:D,
  CPI!C:C,
  "",
  -1
)</f>
        <v>2.86</v>
      </c>
      <c r="G820">
        <v>31624</v>
      </c>
    </row>
    <row r="821" spans="1:7">
      <c r="A821" s="1">
        <v>43556</v>
      </c>
      <c r="B821">
        <v>31570</v>
      </c>
      <c r="C821">
        <f>_xlfn.XLOOKUP(A821, USD!A:A, USD!B:B, "")</f>
        <v>69.204999999999998</v>
      </c>
      <c r="D821">
        <f>_xlfn.XLOOKUP(A821, Brent!A:A, Brent!B:B, "")</f>
        <v>69.08</v>
      </c>
      <c r="E821">
        <f>_xlfn.XLOOKUP(
  A821,
  Repo!A:A,
  Repo!B:B,
  "",
  -1
)</f>
        <v>6.25</v>
      </c>
      <c r="F821" s="10">
        <f>_xlfn.XLOOKUP(
  A821,
  CPI!D:D,
  CPI!C:C,
  "",
  -1
)</f>
        <v>2.99</v>
      </c>
      <c r="G821">
        <v>31703</v>
      </c>
    </row>
    <row r="822" spans="1:7">
      <c r="A822" s="1">
        <v>43557</v>
      </c>
      <c r="B822">
        <v>31535</v>
      </c>
      <c r="C822">
        <f>_xlfn.XLOOKUP(A822, USD!A:A, USD!B:B, "")</f>
        <v>68.92</v>
      </c>
      <c r="D822">
        <f>_xlfn.XLOOKUP(A822, Brent!A:A, Brent!B:B, "")</f>
        <v>69.680000000000007</v>
      </c>
      <c r="E822">
        <f>_xlfn.XLOOKUP(
  A822,
  Repo!A:A,
  Repo!B:B,
  "",
  -1
)</f>
        <v>6.25</v>
      </c>
      <c r="F822" s="10">
        <f>_xlfn.XLOOKUP(
  A822,
  CPI!D:D,
  CPI!C:C,
  "",
  -1
)</f>
        <v>2.99</v>
      </c>
      <c r="G822">
        <v>31570</v>
      </c>
    </row>
    <row r="823" spans="1:7">
      <c r="A823" s="1">
        <v>43558</v>
      </c>
      <c r="B823">
        <v>31450</v>
      </c>
      <c r="C823">
        <f>_xlfn.XLOOKUP(A823, USD!A:A, USD!B:B, "")</f>
        <v>68.45</v>
      </c>
      <c r="D823">
        <f>_xlfn.XLOOKUP(A823, Brent!A:A, Brent!B:B, "")</f>
        <v>69.209999999999994</v>
      </c>
      <c r="E823">
        <f>_xlfn.XLOOKUP(
  A823,
  Repo!A:A,
  Repo!B:B,
  "",
  -1
)</f>
        <v>6.25</v>
      </c>
      <c r="F823" s="10">
        <f>_xlfn.XLOOKUP(
  A823,
  CPI!D:D,
  CPI!C:C,
  "",
  -1
)</f>
        <v>2.99</v>
      </c>
      <c r="G823">
        <v>31535</v>
      </c>
    </row>
    <row r="824" spans="1:7">
      <c r="A824" s="1">
        <v>43559</v>
      </c>
      <c r="B824">
        <v>31503</v>
      </c>
      <c r="C824">
        <f>_xlfn.XLOOKUP(A824, USD!A:A, USD!B:B, "")</f>
        <v>68.98</v>
      </c>
      <c r="D824">
        <f>_xlfn.XLOOKUP(A824, Brent!A:A, Brent!B:B, "")</f>
        <v>69.8</v>
      </c>
      <c r="E824">
        <f>_xlfn.XLOOKUP(
  A824,
  Repo!A:A,
  Repo!B:B,
  "",
  -1
)</f>
        <v>6.25</v>
      </c>
      <c r="F824" s="10">
        <f>_xlfn.XLOOKUP(
  A824,
  CPI!D:D,
  CPI!C:C,
  "",
  -1
)</f>
        <v>2.99</v>
      </c>
      <c r="G824">
        <v>31450</v>
      </c>
    </row>
    <row r="825" spans="1:7">
      <c r="A825" s="1">
        <v>43560</v>
      </c>
      <c r="B825">
        <v>31566</v>
      </c>
      <c r="C825">
        <f>_xlfn.XLOOKUP(A825, USD!A:A, USD!B:B, "")</f>
        <v>69.17</v>
      </c>
      <c r="D825">
        <f>_xlfn.XLOOKUP(A825, Brent!A:A, Brent!B:B, "")</f>
        <v>69.930000000000007</v>
      </c>
      <c r="E825">
        <f>_xlfn.XLOOKUP(
  A825,
  Repo!A:A,
  Repo!B:B,
  "",
  -1
)</f>
        <v>6.25</v>
      </c>
      <c r="F825" s="10">
        <f>_xlfn.XLOOKUP(
  A825,
  CPI!D:D,
  CPI!C:C,
  "",
  -1
)</f>
        <v>2.99</v>
      </c>
      <c r="G825">
        <v>31503</v>
      </c>
    </row>
    <row r="826" spans="1:7">
      <c r="A826" s="1">
        <v>43563</v>
      </c>
      <c r="B826">
        <v>32076</v>
      </c>
      <c r="C826">
        <f>_xlfn.XLOOKUP(A826, USD!A:A, USD!B:B, "")</f>
        <v>69.555000000000007</v>
      </c>
      <c r="D826">
        <f>_xlfn.XLOOKUP(A826, Brent!A:A, Brent!B:B, "")</f>
        <v>71.12</v>
      </c>
      <c r="E826">
        <f>_xlfn.XLOOKUP(
  A826,
  Repo!A:A,
  Repo!B:B,
  "",
  -1
)</f>
        <v>6.25</v>
      </c>
      <c r="F826" s="10">
        <f>_xlfn.XLOOKUP(
  A826,
  CPI!D:D,
  CPI!C:C,
  "",
  -1
)</f>
        <v>2.99</v>
      </c>
      <c r="G826">
        <v>31566</v>
      </c>
    </row>
    <row r="827" spans="1:7">
      <c r="A827" s="1">
        <v>43564</v>
      </c>
      <c r="B827">
        <v>32098</v>
      </c>
      <c r="C827">
        <f>_xlfn.XLOOKUP(A827, USD!A:A, USD!B:B, "")</f>
        <v>69.28</v>
      </c>
      <c r="D827">
        <f>_xlfn.XLOOKUP(A827, Brent!A:A, Brent!B:B, "")</f>
        <v>71.02</v>
      </c>
      <c r="E827">
        <f>_xlfn.XLOOKUP(
  A827,
  Repo!A:A,
  Repo!B:B,
  "",
  -1
)</f>
        <v>6.25</v>
      </c>
      <c r="F827" s="10">
        <f>_xlfn.XLOOKUP(
  A827,
  CPI!D:D,
  CPI!C:C,
  "",
  -1
)</f>
        <v>2.99</v>
      </c>
      <c r="G827">
        <v>32076</v>
      </c>
    </row>
    <row r="828" spans="1:7">
      <c r="A828" s="1">
        <v>43565</v>
      </c>
      <c r="B828">
        <v>32174</v>
      </c>
      <c r="C828">
        <f>_xlfn.XLOOKUP(A828, USD!A:A, USD!B:B, "")</f>
        <v>69.150000000000006</v>
      </c>
      <c r="D828">
        <f>_xlfn.XLOOKUP(A828, Brent!A:A, Brent!B:B, "")</f>
        <v>71.63</v>
      </c>
      <c r="E828">
        <f>_xlfn.XLOOKUP(
  A828,
  Repo!A:A,
  Repo!B:B,
  "",
  -1
)</f>
        <v>6.25</v>
      </c>
      <c r="F828" s="10">
        <f>_xlfn.XLOOKUP(
  A828,
  CPI!D:D,
  CPI!C:C,
  "",
  -1
)</f>
        <v>2.99</v>
      </c>
      <c r="G828">
        <v>32098</v>
      </c>
    </row>
    <row r="829" spans="1:7">
      <c r="A829" s="1">
        <v>43566</v>
      </c>
      <c r="B829">
        <v>31663</v>
      </c>
      <c r="C829">
        <f>_xlfn.XLOOKUP(A829, USD!A:A, USD!B:B, "")</f>
        <v>69.02</v>
      </c>
      <c r="D829">
        <f>_xlfn.XLOOKUP(A829, Brent!A:A, Brent!B:B, "")</f>
        <v>71.3</v>
      </c>
      <c r="E829">
        <f>_xlfn.XLOOKUP(
  A829,
  Repo!A:A,
  Repo!B:B,
  "",
  -1
)</f>
        <v>6.25</v>
      </c>
      <c r="F829" s="10">
        <f>_xlfn.XLOOKUP(
  A829,
  CPI!D:D,
  CPI!C:C,
  "",
  -1
)</f>
        <v>2.99</v>
      </c>
      <c r="G829">
        <v>32174</v>
      </c>
    </row>
    <row r="830" spans="1:7">
      <c r="A830" s="1">
        <v>43567</v>
      </c>
      <c r="B830">
        <v>31760</v>
      </c>
      <c r="C830">
        <f>_xlfn.XLOOKUP(A830, USD!A:A, USD!B:B, "")</f>
        <v>69.19</v>
      </c>
      <c r="D830">
        <f>_xlfn.XLOOKUP(A830, Brent!A:A, Brent!B:B, "")</f>
        <v>71.569999999999993</v>
      </c>
      <c r="E830">
        <f>_xlfn.XLOOKUP(
  A830,
  Repo!A:A,
  Repo!B:B,
  "",
  -1
)</f>
        <v>6.25</v>
      </c>
      <c r="F830" s="10">
        <f>_xlfn.XLOOKUP(
  A830,
  CPI!D:D,
  CPI!C:C,
  "",
  -1
)</f>
        <v>2.99</v>
      </c>
      <c r="G830">
        <v>31663</v>
      </c>
    </row>
    <row r="831" spans="1:7">
      <c r="A831" s="1">
        <v>43570</v>
      </c>
      <c r="B831">
        <v>31760</v>
      </c>
      <c r="C831">
        <f>_xlfn.XLOOKUP(A831, USD!A:A, USD!B:B, "")</f>
        <v>69.394999999999996</v>
      </c>
      <c r="D831">
        <f>_xlfn.XLOOKUP(A831, Brent!A:A, Brent!B:B, "")</f>
        <v>70.900000000000006</v>
      </c>
      <c r="E831">
        <f>_xlfn.XLOOKUP(
  A831,
  Repo!A:A,
  Repo!B:B,
  "",
  -1
)</f>
        <v>6.25</v>
      </c>
      <c r="F831" s="10">
        <f>_xlfn.XLOOKUP(
  A831,
  CPI!D:D,
  CPI!C:C,
  "",
  -1
)</f>
        <v>2.99</v>
      </c>
      <c r="G831">
        <v>31760</v>
      </c>
    </row>
    <row r="832" spans="1:7">
      <c r="A832" s="1">
        <v>43571</v>
      </c>
      <c r="B832">
        <v>31474</v>
      </c>
      <c r="C832">
        <f>_xlfn.XLOOKUP(A832, USD!A:A, USD!B:B, "")</f>
        <v>69.53</v>
      </c>
      <c r="D832">
        <f>_xlfn.XLOOKUP(A832, Brent!A:A, Brent!B:B, "")</f>
        <v>70.739999999999995</v>
      </c>
      <c r="E832">
        <f>_xlfn.XLOOKUP(
  A832,
  Repo!A:A,
  Repo!B:B,
  "",
  -1
)</f>
        <v>6.25</v>
      </c>
      <c r="F832" s="10">
        <f>_xlfn.XLOOKUP(
  A832,
  CPI!D:D,
  CPI!C:C,
  "",
  -1
)</f>
        <v>2.99</v>
      </c>
      <c r="G832">
        <v>31760</v>
      </c>
    </row>
    <row r="833" spans="1:7">
      <c r="A833" s="1">
        <v>43572</v>
      </c>
      <c r="B833">
        <v>31410</v>
      </c>
      <c r="C833">
        <f>_xlfn.XLOOKUP(A833, USD!A:A, USD!B:B, "")</f>
        <v>69.430999999999997</v>
      </c>
      <c r="D833">
        <f>_xlfn.XLOOKUP(A833, Brent!A:A, Brent!B:B, "")</f>
        <v>71.14</v>
      </c>
      <c r="E833">
        <f>_xlfn.XLOOKUP(
  A833,
  Repo!A:A,
  Repo!B:B,
  "",
  -1
)</f>
        <v>6.25</v>
      </c>
      <c r="F833" s="10">
        <f>_xlfn.XLOOKUP(
  A833,
  CPI!D:D,
  CPI!C:C,
  "",
  -1
)</f>
        <v>2.99</v>
      </c>
      <c r="G833">
        <v>31474</v>
      </c>
    </row>
    <row r="834" spans="1:7">
      <c r="A834" s="1">
        <v>43573</v>
      </c>
      <c r="B834">
        <v>31403</v>
      </c>
      <c r="C834">
        <f>_xlfn.XLOOKUP(A834, USD!A:A, USD!B:B, "")</f>
        <v>69.394999999999996</v>
      </c>
      <c r="D834">
        <f>_xlfn.XLOOKUP(A834, Brent!A:A, Brent!B:B, "")</f>
        <v>70.709999999999994</v>
      </c>
      <c r="E834">
        <f>_xlfn.XLOOKUP(
  A834,
  Repo!A:A,
  Repo!B:B,
  "",
  -1
)</f>
        <v>6.25</v>
      </c>
      <c r="F834" s="10">
        <f>_xlfn.XLOOKUP(
  A834,
  CPI!D:D,
  CPI!C:C,
  "",
  -1
)</f>
        <v>2.99</v>
      </c>
      <c r="G834">
        <v>31410</v>
      </c>
    </row>
    <row r="835" spans="1:7">
      <c r="A835" s="1">
        <v>43577</v>
      </c>
      <c r="B835">
        <v>31531</v>
      </c>
      <c r="C835">
        <f>_xlfn.XLOOKUP(A835, USD!A:A, USD!B:B, "")</f>
        <v>69.7</v>
      </c>
      <c r="D835">
        <f>_xlfn.XLOOKUP(A835, Brent!A:A, Brent!B:B, "")</f>
        <v>70.709999999999994</v>
      </c>
      <c r="E835">
        <f>_xlfn.XLOOKUP(
  A835,
  Repo!A:A,
  Repo!B:B,
  "",
  -1
)</f>
        <v>6.25</v>
      </c>
      <c r="F835" s="10">
        <f>_xlfn.XLOOKUP(
  A835,
  CPI!D:D,
  CPI!C:C,
  "",
  -1
)</f>
        <v>2.99</v>
      </c>
      <c r="G835">
        <v>31403</v>
      </c>
    </row>
    <row r="836" spans="1:7">
      <c r="A836" s="1">
        <v>43578</v>
      </c>
      <c r="B836">
        <v>31525</v>
      </c>
      <c r="C836">
        <f>_xlfn.XLOOKUP(A836, USD!A:A, USD!B:B, "")</f>
        <v>69.77</v>
      </c>
      <c r="D836">
        <f>_xlfn.XLOOKUP(A836, Brent!A:A, Brent!B:B, "")</f>
        <v>74.39</v>
      </c>
      <c r="E836">
        <f>_xlfn.XLOOKUP(
  A836,
  Repo!A:A,
  Repo!B:B,
  "",
  -1
)</f>
        <v>6.25</v>
      </c>
      <c r="F836" s="10">
        <f>_xlfn.XLOOKUP(
  A836,
  CPI!D:D,
  CPI!C:C,
  "",
  -1
)</f>
        <v>2.99</v>
      </c>
      <c r="G836">
        <v>31531</v>
      </c>
    </row>
    <row r="837" spans="1:7">
      <c r="A837" s="1">
        <v>43579</v>
      </c>
      <c r="B837">
        <v>31759</v>
      </c>
      <c r="C837">
        <f>_xlfn.XLOOKUP(A837, USD!A:A, USD!B:B, "")</f>
        <v>69.959999999999994</v>
      </c>
      <c r="D837">
        <f>_xlfn.XLOOKUP(A837, Brent!A:A, Brent!B:B, "")</f>
        <v>73.59</v>
      </c>
      <c r="E837">
        <f>_xlfn.XLOOKUP(
  A837,
  Repo!A:A,
  Repo!B:B,
  "",
  -1
)</f>
        <v>6.25</v>
      </c>
      <c r="F837" s="10">
        <f>_xlfn.XLOOKUP(
  A837,
  CPI!D:D,
  CPI!C:C,
  "",
  -1
)</f>
        <v>2.99</v>
      </c>
      <c r="G837">
        <v>31525</v>
      </c>
    </row>
    <row r="838" spans="1:7">
      <c r="A838" s="1">
        <v>43580</v>
      </c>
      <c r="B838">
        <v>31843</v>
      </c>
      <c r="C838">
        <f>_xlfn.XLOOKUP(A838, USD!A:A, USD!B:B, "")</f>
        <v>70.17</v>
      </c>
      <c r="D838">
        <f>_xlfn.XLOOKUP(A838, Brent!A:A, Brent!B:B, "")</f>
        <v>74.94</v>
      </c>
      <c r="E838">
        <f>_xlfn.XLOOKUP(
  A838,
  Repo!A:A,
  Repo!B:B,
  "",
  -1
)</f>
        <v>6.25</v>
      </c>
      <c r="F838" s="10">
        <f>_xlfn.XLOOKUP(
  A838,
  CPI!D:D,
  CPI!C:C,
  "",
  -1
)</f>
        <v>2.99</v>
      </c>
      <c r="G838">
        <v>31759</v>
      </c>
    </row>
    <row r="839" spans="1:7">
      <c r="A839" s="1">
        <v>43581</v>
      </c>
      <c r="B839">
        <v>31868</v>
      </c>
      <c r="C839">
        <f>_xlfn.XLOOKUP(A839, USD!A:A, USD!B:B, "")</f>
        <v>69.849999999999994</v>
      </c>
      <c r="D839">
        <f>_xlfn.XLOOKUP(A839, Brent!A:A, Brent!B:B, "")</f>
        <v>71.03</v>
      </c>
      <c r="E839">
        <f>_xlfn.XLOOKUP(
  A839,
  Repo!A:A,
  Repo!B:B,
  "",
  -1
)</f>
        <v>6.25</v>
      </c>
      <c r="F839" s="10">
        <f>_xlfn.XLOOKUP(
  A839,
  CPI!D:D,
  CPI!C:C,
  "",
  -1
)</f>
        <v>2.99</v>
      </c>
      <c r="G839">
        <v>31843</v>
      </c>
    </row>
    <row r="840" spans="1:7">
      <c r="A840" s="1">
        <v>43585</v>
      </c>
      <c r="B840">
        <v>31625</v>
      </c>
      <c r="C840">
        <f>_xlfn.XLOOKUP(A840, USD!A:A, USD!B:B, "")</f>
        <v>69.647000000000006</v>
      </c>
      <c r="D840">
        <f>_xlfn.XLOOKUP(A840, Brent!A:A, Brent!B:B, "")</f>
        <v>72.19</v>
      </c>
      <c r="E840">
        <f>_xlfn.XLOOKUP(
  A840,
  Repo!A:A,
  Repo!B:B,
  "",
  -1
)</f>
        <v>6</v>
      </c>
      <c r="F840" s="10">
        <f>_xlfn.XLOOKUP(
  A840,
  CPI!D:D,
  CPI!C:C,
  "",
  -1
)</f>
        <v>2.99</v>
      </c>
      <c r="G840">
        <v>31868</v>
      </c>
    </row>
    <row r="841" spans="1:7">
      <c r="A841" s="1">
        <v>43586</v>
      </c>
      <c r="B841">
        <v>31563</v>
      </c>
      <c r="C841">
        <f>_xlfn.XLOOKUP(A841, USD!A:A, USD!B:B, "")</f>
        <v>69.545000000000002</v>
      </c>
      <c r="D841">
        <f>_xlfn.XLOOKUP(A841, Brent!A:A, Brent!B:B, "")</f>
        <v>72.010000000000005</v>
      </c>
      <c r="E841">
        <f>_xlfn.XLOOKUP(
  A841,
  Repo!A:A,
  Repo!B:B,
  "",
  -1
)</f>
        <v>6</v>
      </c>
      <c r="F841" s="10">
        <f>_xlfn.XLOOKUP(
  A841,
  CPI!D:D,
  CPI!C:C,
  "",
  -1
)</f>
        <v>3.05</v>
      </c>
      <c r="G841">
        <v>31625</v>
      </c>
    </row>
    <row r="842" spans="1:7">
      <c r="A842" s="1">
        <v>43587</v>
      </c>
      <c r="B842">
        <v>31203</v>
      </c>
      <c r="C842">
        <f>_xlfn.XLOOKUP(A842, USD!A:A, USD!B:B, "")</f>
        <v>69.41</v>
      </c>
      <c r="D842">
        <f>_xlfn.XLOOKUP(A842, Brent!A:A, Brent!B:B, "")</f>
        <v>70.56</v>
      </c>
      <c r="E842">
        <f>_xlfn.XLOOKUP(
  A842,
  Repo!A:A,
  Repo!B:B,
  "",
  -1
)</f>
        <v>6</v>
      </c>
      <c r="F842" s="10">
        <f>_xlfn.XLOOKUP(
  A842,
  CPI!D:D,
  CPI!C:C,
  "",
  -1
)</f>
        <v>3.05</v>
      </c>
      <c r="G842">
        <v>31563</v>
      </c>
    </row>
    <row r="843" spans="1:7">
      <c r="A843" s="1">
        <v>43588</v>
      </c>
      <c r="B843">
        <v>31341</v>
      </c>
      <c r="C843">
        <f>_xlfn.XLOOKUP(A843, USD!A:A, USD!B:B, "")</f>
        <v>69.094999999999999</v>
      </c>
      <c r="D843">
        <f>_xlfn.XLOOKUP(A843, Brent!A:A, Brent!B:B, "")</f>
        <v>71.95</v>
      </c>
      <c r="E843">
        <f>_xlfn.XLOOKUP(
  A843,
  Repo!A:A,
  Repo!B:B,
  "",
  -1
)</f>
        <v>6</v>
      </c>
      <c r="F843" s="10">
        <f>_xlfn.XLOOKUP(
  A843,
  CPI!D:D,
  CPI!C:C,
  "",
  -1
)</f>
        <v>3.05</v>
      </c>
      <c r="G843">
        <v>31203</v>
      </c>
    </row>
    <row r="844" spans="1:7">
      <c r="A844" s="1">
        <v>43591</v>
      </c>
      <c r="B844">
        <v>31578</v>
      </c>
      <c r="C844">
        <f>_xlfn.XLOOKUP(A844, USD!A:A, USD!B:B, "")</f>
        <v>69.38</v>
      </c>
      <c r="D844">
        <f>_xlfn.XLOOKUP(A844, Brent!A:A, Brent!B:B, "")</f>
        <v>71.95</v>
      </c>
      <c r="E844">
        <f>_xlfn.XLOOKUP(
  A844,
  Repo!A:A,
  Repo!B:B,
  "",
  -1
)</f>
        <v>6</v>
      </c>
      <c r="F844" s="10">
        <f>_xlfn.XLOOKUP(
  A844,
  CPI!D:D,
  CPI!C:C,
  "",
  -1
)</f>
        <v>3.05</v>
      </c>
      <c r="G844">
        <v>31341</v>
      </c>
    </row>
    <row r="845" spans="1:7">
      <c r="A845" s="1">
        <v>43592</v>
      </c>
      <c r="B845">
        <v>31739</v>
      </c>
      <c r="C845">
        <f>_xlfn.XLOOKUP(A845, USD!A:A, USD!B:B, "")</f>
        <v>69.644999999999996</v>
      </c>
      <c r="D845">
        <f>_xlfn.XLOOKUP(A845, Brent!A:A, Brent!B:B, "")</f>
        <v>70.98</v>
      </c>
      <c r="E845">
        <f>_xlfn.XLOOKUP(
  A845,
  Repo!A:A,
  Repo!B:B,
  "",
  -1
)</f>
        <v>6</v>
      </c>
      <c r="F845" s="10">
        <f>_xlfn.XLOOKUP(
  A845,
  CPI!D:D,
  CPI!C:C,
  "",
  -1
)</f>
        <v>3.05</v>
      </c>
      <c r="G845">
        <v>31578</v>
      </c>
    </row>
    <row r="846" spans="1:7">
      <c r="A846" s="1">
        <v>43593</v>
      </c>
      <c r="B846">
        <v>31697</v>
      </c>
      <c r="C846">
        <f>_xlfn.XLOOKUP(A846, USD!A:A, USD!B:B, "")</f>
        <v>69.72</v>
      </c>
      <c r="D846">
        <f>_xlfn.XLOOKUP(A846, Brent!A:A, Brent!B:B, "")</f>
        <v>71.09</v>
      </c>
      <c r="E846">
        <f>_xlfn.XLOOKUP(
  A846,
  Repo!A:A,
  Repo!B:B,
  "",
  -1
)</f>
        <v>6</v>
      </c>
      <c r="F846" s="10">
        <f>_xlfn.XLOOKUP(
  A846,
  CPI!D:D,
  CPI!C:C,
  "",
  -1
)</f>
        <v>3.05</v>
      </c>
      <c r="G846">
        <v>31739</v>
      </c>
    </row>
    <row r="847" spans="1:7">
      <c r="A847" s="1">
        <v>43594</v>
      </c>
      <c r="B847">
        <v>31926</v>
      </c>
      <c r="C847">
        <f>_xlfn.XLOOKUP(A847, USD!A:A, USD!B:B, "")</f>
        <v>70.2</v>
      </c>
      <c r="D847">
        <f>_xlfn.XLOOKUP(A847, Brent!A:A, Brent!B:B, "")</f>
        <v>70.61</v>
      </c>
      <c r="E847">
        <f>_xlfn.XLOOKUP(
  A847,
  Repo!A:A,
  Repo!B:B,
  "",
  -1
)</f>
        <v>6</v>
      </c>
      <c r="F847" s="10">
        <f>_xlfn.XLOOKUP(
  A847,
  CPI!D:D,
  CPI!C:C,
  "",
  -1
)</f>
        <v>3.05</v>
      </c>
      <c r="G847">
        <v>31697</v>
      </c>
    </row>
    <row r="848" spans="1:7">
      <c r="A848" s="1">
        <v>43595</v>
      </c>
      <c r="B848">
        <v>31917</v>
      </c>
      <c r="C848">
        <f>_xlfn.XLOOKUP(A848, USD!A:A, USD!B:B, "")</f>
        <v>70.015000000000001</v>
      </c>
      <c r="D848">
        <f>_xlfn.XLOOKUP(A848, Brent!A:A, Brent!B:B, "")</f>
        <v>71.63</v>
      </c>
      <c r="E848">
        <f>_xlfn.XLOOKUP(
  A848,
  Repo!A:A,
  Repo!B:B,
  "",
  -1
)</f>
        <v>6</v>
      </c>
      <c r="F848" s="10">
        <f>_xlfn.XLOOKUP(
  A848,
  CPI!D:D,
  CPI!C:C,
  "",
  -1
)</f>
        <v>3.05</v>
      </c>
      <c r="G848">
        <v>31926</v>
      </c>
    </row>
    <row r="849" spans="1:7">
      <c r="A849" s="1">
        <v>43598</v>
      </c>
      <c r="B849">
        <v>32499</v>
      </c>
      <c r="C849">
        <f>_xlfn.XLOOKUP(A849, USD!A:A, USD!B:B, "")</f>
        <v>70.569999999999993</v>
      </c>
      <c r="D849">
        <f>_xlfn.XLOOKUP(A849, Brent!A:A, Brent!B:B, "")</f>
        <v>72.349999999999994</v>
      </c>
      <c r="E849">
        <f>_xlfn.XLOOKUP(
  A849,
  Repo!A:A,
  Repo!B:B,
  "",
  -1
)</f>
        <v>6</v>
      </c>
      <c r="F849" s="10">
        <f>_xlfn.XLOOKUP(
  A849,
  CPI!D:D,
  CPI!C:C,
  "",
  -1
)</f>
        <v>3.05</v>
      </c>
      <c r="G849">
        <v>31917</v>
      </c>
    </row>
    <row r="850" spans="1:7">
      <c r="A850" s="1">
        <v>43599</v>
      </c>
      <c r="B850">
        <v>32248</v>
      </c>
      <c r="C850">
        <f>_xlfn.XLOOKUP(A850, USD!A:A, USD!B:B, "")</f>
        <v>70.331999999999994</v>
      </c>
      <c r="D850">
        <f>_xlfn.XLOOKUP(A850, Brent!A:A, Brent!B:B, "")</f>
        <v>72.53</v>
      </c>
      <c r="E850">
        <f>_xlfn.XLOOKUP(
  A850,
  Repo!A:A,
  Repo!B:B,
  "",
  -1
)</f>
        <v>6</v>
      </c>
      <c r="F850" s="10">
        <f>_xlfn.XLOOKUP(
  A850,
  CPI!D:D,
  CPI!C:C,
  "",
  -1
)</f>
        <v>3.05</v>
      </c>
      <c r="G850">
        <v>32499</v>
      </c>
    </row>
    <row r="851" spans="1:7">
      <c r="A851" s="1">
        <v>43600</v>
      </c>
      <c r="B851">
        <v>32261</v>
      </c>
      <c r="C851">
        <f>_xlfn.XLOOKUP(A851, USD!A:A, USD!B:B, "")</f>
        <v>70.248999999999995</v>
      </c>
      <c r="D851">
        <f>_xlfn.XLOOKUP(A851, Brent!A:A, Brent!B:B, "")</f>
        <v>73.09</v>
      </c>
      <c r="E851">
        <f>_xlfn.XLOOKUP(
  A851,
  Repo!A:A,
  Repo!B:B,
  "",
  -1
)</f>
        <v>6</v>
      </c>
      <c r="F851" s="10">
        <f>_xlfn.XLOOKUP(
  A851,
  CPI!D:D,
  CPI!C:C,
  "",
  -1
)</f>
        <v>3.05</v>
      </c>
      <c r="G851">
        <v>32248</v>
      </c>
    </row>
    <row r="852" spans="1:7">
      <c r="A852" s="1">
        <v>43601</v>
      </c>
      <c r="B852">
        <v>31985</v>
      </c>
      <c r="C852">
        <f>_xlfn.XLOOKUP(A852, USD!A:A, USD!B:B, "")</f>
        <v>70.13</v>
      </c>
      <c r="D852">
        <f>_xlfn.XLOOKUP(A852, Brent!A:A, Brent!B:B, "")</f>
        <v>74.7</v>
      </c>
      <c r="E852">
        <f>_xlfn.XLOOKUP(
  A852,
  Repo!A:A,
  Repo!B:B,
  "",
  -1
)</f>
        <v>6</v>
      </c>
      <c r="F852" s="10">
        <f>_xlfn.XLOOKUP(
  A852,
  CPI!D:D,
  CPI!C:C,
  "",
  -1
)</f>
        <v>3.05</v>
      </c>
      <c r="G852">
        <v>32261</v>
      </c>
    </row>
    <row r="853" spans="1:7">
      <c r="A853" s="1">
        <v>43602</v>
      </c>
      <c r="B853">
        <v>31809</v>
      </c>
      <c r="C853">
        <f>_xlfn.XLOOKUP(A853, USD!A:A, USD!B:B, "")</f>
        <v>70.28</v>
      </c>
      <c r="D853">
        <f>_xlfn.XLOOKUP(A853, Brent!A:A, Brent!B:B, "")</f>
        <v>73.94</v>
      </c>
      <c r="E853">
        <f>_xlfn.XLOOKUP(
  A853,
  Repo!A:A,
  Repo!B:B,
  "",
  -1
)</f>
        <v>6</v>
      </c>
      <c r="F853" s="10">
        <f>_xlfn.XLOOKUP(
  A853,
  CPI!D:D,
  CPI!C:C,
  "",
  -1
)</f>
        <v>3.05</v>
      </c>
      <c r="G853">
        <v>31985</v>
      </c>
    </row>
    <row r="854" spans="1:7">
      <c r="A854" s="1">
        <v>43605</v>
      </c>
      <c r="B854">
        <v>31566</v>
      </c>
      <c r="C854">
        <f>_xlfn.XLOOKUP(A854, USD!A:A, USD!B:B, "")</f>
        <v>69.608999999999995</v>
      </c>
      <c r="D854">
        <f>_xlfn.XLOOKUP(A854, Brent!A:A, Brent!B:B, "")</f>
        <v>73.209999999999994</v>
      </c>
      <c r="E854">
        <f>_xlfn.XLOOKUP(
  A854,
  Repo!A:A,
  Repo!B:B,
  "",
  -1
)</f>
        <v>6</v>
      </c>
      <c r="F854" s="10">
        <f>_xlfn.XLOOKUP(
  A854,
  CPI!D:D,
  CPI!C:C,
  "",
  -1
)</f>
        <v>3.05</v>
      </c>
      <c r="G854">
        <v>31809</v>
      </c>
    </row>
    <row r="855" spans="1:7">
      <c r="A855" s="1">
        <v>43606</v>
      </c>
      <c r="B855">
        <v>31442</v>
      </c>
      <c r="C855">
        <f>_xlfn.XLOOKUP(A855, USD!A:A, USD!B:B, "")</f>
        <v>69.644999999999996</v>
      </c>
      <c r="D855">
        <f>_xlfn.XLOOKUP(A855, Brent!A:A, Brent!B:B, "")</f>
        <v>72.94</v>
      </c>
      <c r="E855">
        <f>_xlfn.XLOOKUP(
  A855,
  Repo!A:A,
  Repo!B:B,
  "",
  -1
)</f>
        <v>6</v>
      </c>
      <c r="F855" s="10">
        <f>_xlfn.XLOOKUP(
  A855,
  CPI!D:D,
  CPI!C:C,
  "",
  -1
)</f>
        <v>3.05</v>
      </c>
      <c r="G855">
        <v>31566</v>
      </c>
    </row>
    <row r="856" spans="1:7">
      <c r="A856" s="1">
        <v>43607</v>
      </c>
      <c r="B856">
        <v>31452</v>
      </c>
      <c r="C856">
        <f>_xlfn.XLOOKUP(A856, USD!A:A, USD!B:B, "")</f>
        <v>69.650000000000006</v>
      </c>
      <c r="D856">
        <f>_xlfn.XLOOKUP(A856, Brent!A:A, Brent!B:B, "")</f>
        <v>71.94</v>
      </c>
      <c r="E856">
        <f>_xlfn.XLOOKUP(
  A856,
  Repo!A:A,
  Repo!B:B,
  "",
  -1
)</f>
        <v>6</v>
      </c>
      <c r="F856" s="10">
        <f>_xlfn.XLOOKUP(
  A856,
  CPI!D:D,
  CPI!C:C,
  "",
  -1
)</f>
        <v>3.05</v>
      </c>
      <c r="G856">
        <v>31442</v>
      </c>
    </row>
    <row r="857" spans="1:7">
      <c r="A857" s="1">
        <v>43608</v>
      </c>
      <c r="B857">
        <v>31696</v>
      </c>
      <c r="C857">
        <f>_xlfn.XLOOKUP(A857, USD!A:A, USD!B:B, "")</f>
        <v>69.665000000000006</v>
      </c>
      <c r="D857">
        <f>_xlfn.XLOOKUP(A857, Brent!A:A, Brent!B:B, "")</f>
        <v>68.37</v>
      </c>
      <c r="E857">
        <f>_xlfn.XLOOKUP(
  A857,
  Repo!A:A,
  Repo!B:B,
  "",
  -1
)</f>
        <v>6</v>
      </c>
      <c r="F857" s="10">
        <f>_xlfn.XLOOKUP(
  A857,
  CPI!D:D,
  CPI!C:C,
  "",
  -1
)</f>
        <v>3.05</v>
      </c>
      <c r="G857">
        <v>31452</v>
      </c>
    </row>
    <row r="858" spans="1:7">
      <c r="A858" s="1">
        <v>43609</v>
      </c>
      <c r="B858">
        <v>31554</v>
      </c>
      <c r="C858">
        <f>_xlfn.XLOOKUP(A858, USD!A:A, USD!B:B, "")</f>
        <v>69.38</v>
      </c>
      <c r="D858">
        <f>_xlfn.XLOOKUP(A858, Brent!A:A, Brent!B:B, "")</f>
        <v>67.98</v>
      </c>
      <c r="E858">
        <f>_xlfn.XLOOKUP(
  A858,
  Repo!A:A,
  Repo!B:B,
  "",
  -1
)</f>
        <v>6</v>
      </c>
      <c r="F858" s="10">
        <f>_xlfn.XLOOKUP(
  A858,
  CPI!D:D,
  CPI!C:C,
  "",
  -1
)</f>
        <v>3.05</v>
      </c>
      <c r="G858">
        <v>31696</v>
      </c>
    </row>
    <row r="859" spans="1:7">
      <c r="A859" s="1">
        <v>43613</v>
      </c>
      <c r="B859">
        <v>31569</v>
      </c>
      <c r="C859">
        <f>_xlfn.XLOOKUP(A859, USD!A:A, USD!B:B, "")</f>
        <v>69.61</v>
      </c>
      <c r="D859">
        <f>_xlfn.XLOOKUP(A859, Brent!A:A, Brent!B:B, "")</f>
        <v>70.19</v>
      </c>
      <c r="E859">
        <f>_xlfn.XLOOKUP(
  A859,
  Repo!A:A,
  Repo!B:B,
  "",
  -1
)</f>
        <v>6</v>
      </c>
      <c r="F859" s="10">
        <f>_xlfn.XLOOKUP(
  A859,
  CPI!D:D,
  CPI!C:C,
  "",
  -1
)</f>
        <v>3.05</v>
      </c>
      <c r="G859">
        <v>31554</v>
      </c>
    </row>
    <row r="860" spans="1:7">
      <c r="A860" s="1">
        <v>43614</v>
      </c>
      <c r="B860">
        <v>31760</v>
      </c>
      <c r="C860">
        <f>_xlfn.XLOOKUP(A860, USD!A:A, USD!B:B, "")</f>
        <v>69.844999999999999</v>
      </c>
      <c r="D860">
        <f>_xlfn.XLOOKUP(A860, Brent!A:A, Brent!B:B, "")</f>
        <v>70.64</v>
      </c>
      <c r="E860">
        <f>_xlfn.XLOOKUP(
  A860,
  Repo!A:A,
  Repo!B:B,
  "",
  -1
)</f>
        <v>6</v>
      </c>
      <c r="F860" s="10">
        <f>_xlfn.XLOOKUP(
  A860,
  CPI!D:D,
  CPI!C:C,
  "",
  -1
)</f>
        <v>3.05</v>
      </c>
      <c r="G860">
        <v>31569</v>
      </c>
    </row>
    <row r="861" spans="1:7">
      <c r="A861" s="1">
        <v>43615</v>
      </c>
      <c r="B861">
        <v>31831</v>
      </c>
      <c r="C861">
        <f>_xlfn.XLOOKUP(A861, USD!A:A, USD!B:B, "")</f>
        <v>69.825000000000003</v>
      </c>
      <c r="D861">
        <f>_xlfn.XLOOKUP(A861, Brent!A:A, Brent!B:B, "")</f>
        <v>69.55</v>
      </c>
      <c r="E861">
        <f>_xlfn.XLOOKUP(
  A861,
  Repo!A:A,
  Repo!B:B,
  "",
  -1
)</f>
        <v>6</v>
      </c>
      <c r="F861" s="10">
        <f>_xlfn.XLOOKUP(
  A861,
  CPI!D:D,
  CPI!C:C,
  "",
  -1
)</f>
        <v>3.05</v>
      </c>
      <c r="G861">
        <v>31760</v>
      </c>
    </row>
    <row r="862" spans="1:7">
      <c r="A862" s="1">
        <v>43616</v>
      </c>
      <c r="B862">
        <v>32131</v>
      </c>
      <c r="C862">
        <f>_xlfn.XLOOKUP(A862, USD!A:A, USD!B:B, "")</f>
        <v>69.58</v>
      </c>
      <c r="D862">
        <f>_xlfn.XLOOKUP(A862, Brent!A:A, Brent!B:B, "")</f>
        <v>66.78</v>
      </c>
      <c r="E862">
        <f>_xlfn.XLOOKUP(
  A862,
  Repo!A:A,
  Repo!B:B,
  "",
  -1
)</f>
        <v>6</v>
      </c>
      <c r="F862" s="10">
        <f>_xlfn.XLOOKUP(
  A862,
  CPI!D:D,
  CPI!C:C,
  "",
  -1
)</f>
        <v>3.05</v>
      </c>
      <c r="G862">
        <v>31831</v>
      </c>
    </row>
    <row r="863" spans="1:7">
      <c r="A863" s="1">
        <v>43619</v>
      </c>
      <c r="B863">
        <v>32405</v>
      </c>
      <c r="C863">
        <f>_xlfn.XLOOKUP(A863, USD!A:A, USD!B:B, "")</f>
        <v>69.171000000000006</v>
      </c>
      <c r="D863">
        <f>_xlfn.XLOOKUP(A863, Brent!A:A, Brent!B:B, "")</f>
        <v>63.16</v>
      </c>
      <c r="E863">
        <f>_xlfn.XLOOKUP(
  A863,
  Repo!A:A,
  Repo!B:B,
  "",
  -1
)</f>
        <v>6</v>
      </c>
      <c r="F863" s="10">
        <f>_xlfn.XLOOKUP(
  A863,
  CPI!D:D,
  CPI!C:C,
  "",
  -1
)</f>
        <v>3.18</v>
      </c>
      <c r="G863">
        <v>32131</v>
      </c>
    </row>
    <row r="864" spans="1:7">
      <c r="A864" s="1">
        <v>43620</v>
      </c>
      <c r="B864">
        <v>32465</v>
      </c>
      <c r="C864">
        <f>_xlfn.XLOOKUP(A864, USD!A:A, USD!B:B, "")</f>
        <v>69.290999999999997</v>
      </c>
      <c r="D864">
        <f>_xlfn.XLOOKUP(A864, Brent!A:A, Brent!B:B, "")</f>
        <v>63.56</v>
      </c>
      <c r="E864">
        <f>_xlfn.XLOOKUP(
  A864,
  Repo!A:A,
  Repo!B:B,
  "",
  -1
)</f>
        <v>6</v>
      </c>
      <c r="F864" s="10">
        <f>_xlfn.XLOOKUP(
  A864,
  CPI!D:D,
  CPI!C:C,
  "",
  -1
)</f>
        <v>3.18</v>
      </c>
      <c r="G864">
        <v>32405</v>
      </c>
    </row>
    <row r="865" spans="1:7">
      <c r="A865" s="1">
        <v>43621</v>
      </c>
      <c r="B865">
        <v>32607</v>
      </c>
      <c r="C865">
        <f>_xlfn.XLOOKUP(A865, USD!A:A, USD!B:B, "")</f>
        <v>69.385000000000005</v>
      </c>
      <c r="D865">
        <f>_xlfn.XLOOKUP(A865, Brent!A:A, Brent!B:B, "")</f>
        <v>62.14</v>
      </c>
      <c r="E865">
        <f>_xlfn.XLOOKUP(
  A865,
  Repo!A:A,
  Repo!B:B,
  "",
  -1
)</f>
        <v>6</v>
      </c>
      <c r="F865" s="10">
        <f>_xlfn.XLOOKUP(
  A865,
  CPI!D:D,
  CPI!C:C,
  "",
  -1
)</f>
        <v>3.18</v>
      </c>
      <c r="G865">
        <v>32465</v>
      </c>
    </row>
    <row r="866" spans="1:7">
      <c r="A866" s="1">
        <v>43622</v>
      </c>
      <c r="B866">
        <v>32734</v>
      </c>
      <c r="C866">
        <f>_xlfn.XLOOKUP(A866, USD!A:A, USD!B:B, "")</f>
        <v>69.165000000000006</v>
      </c>
      <c r="D866">
        <f>_xlfn.XLOOKUP(A866, Brent!A:A, Brent!B:B, "")</f>
        <v>62.77</v>
      </c>
      <c r="E866">
        <f>_xlfn.XLOOKUP(
  A866,
  Repo!A:A,
  Repo!B:B,
  "",
  -1
)</f>
        <v>6</v>
      </c>
      <c r="F866" s="10">
        <f>_xlfn.XLOOKUP(
  A866,
  CPI!D:D,
  CPI!C:C,
  "",
  -1
)</f>
        <v>3.18</v>
      </c>
      <c r="G866">
        <v>32607</v>
      </c>
    </row>
    <row r="867" spans="1:7">
      <c r="A867" s="1">
        <v>43623</v>
      </c>
      <c r="B867">
        <v>32867</v>
      </c>
      <c r="C867">
        <f>_xlfn.XLOOKUP(A867, USD!A:A, USD!B:B, "")</f>
        <v>69.355000000000004</v>
      </c>
      <c r="D867">
        <f>_xlfn.XLOOKUP(A867, Brent!A:A, Brent!B:B, "")</f>
        <v>64.099999999999994</v>
      </c>
      <c r="E867">
        <f>_xlfn.XLOOKUP(
  A867,
  Repo!A:A,
  Repo!B:B,
  "",
  -1
)</f>
        <v>6</v>
      </c>
      <c r="F867" s="10">
        <f>_xlfn.XLOOKUP(
  A867,
  CPI!D:D,
  CPI!C:C,
  "",
  -1
)</f>
        <v>3.18</v>
      </c>
      <c r="G867">
        <v>32734</v>
      </c>
    </row>
    <row r="868" spans="1:7">
      <c r="A868" s="1">
        <v>43626</v>
      </c>
      <c r="B868">
        <v>32611</v>
      </c>
      <c r="C868">
        <f>_xlfn.XLOOKUP(A868, USD!A:A, USD!B:B, "")</f>
        <v>69.534999999999997</v>
      </c>
      <c r="D868">
        <f>_xlfn.XLOOKUP(A868, Brent!A:A, Brent!B:B, "")</f>
        <v>64.31</v>
      </c>
      <c r="E868">
        <f>_xlfn.XLOOKUP(
  A868,
  Repo!A:A,
  Repo!B:B,
  "",
  -1
)</f>
        <v>6</v>
      </c>
      <c r="F868" s="10">
        <f>_xlfn.XLOOKUP(
  A868,
  CPI!D:D,
  CPI!C:C,
  "",
  -1
)</f>
        <v>3.18</v>
      </c>
      <c r="G868">
        <v>32867</v>
      </c>
    </row>
    <row r="869" spans="1:7">
      <c r="A869" s="1">
        <v>43627</v>
      </c>
      <c r="B869">
        <v>32576</v>
      </c>
      <c r="C869">
        <f>_xlfn.XLOOKUP(A869, USD!A:A, USD!B:B, "")</f>
        <v>69.385000000000005</v>
      </c>
      <c r="D869">
        <f>_xlfn.XLOOKUP(A869, Brent!A:A, Brent!B:B, "")</f>
        <v>63.56</v>
      </c>
      <c r="E869">
        <f>_xlfn.XLOOKUP(
  A869,
  Repo!A:A,
  Repo!B:B,
  "",
  -1
)</f>
        <v>6</v>
      </c>
      <c r="F869" s="10">
        <f>_xlfn.XLOOKUP(
  A869,
  CPI!D:D,
  CPI!C:C,
  "",
  -1
)</f>
        <v>3.18</v>
      </c>
      <c r="G869">
        <v>32611</v>
      </c>
    </row>
    <row r="870" spans="1:7">
      <c r="A870" s="1">
        <v>43628</v>
      </c>
      <c r="B870">
        <v>32685</v>
      </c>
      <c r="C870">
        <f>_xlfn.XLOOKUP(A870, USD!A:A, USD!B:B, "")</f>
        <v>69.375</v>
      </c>
      <c r="D870">
        <f>_xlfn.XLOOKUP(A870, Brent!A:A, Brent!B:B, "")</f>
        <v>61.66</v>
      </c>
      <c r="E870">
        <f>_xlfn.XLOOKUP(
  A870,
  Repo!A:A,
  Repo!B:B,
  "",
  -1
)</f>
        <v>6</v>
      </c>
      <c r="F870" s="10">
        <f>_xlfn.XLOOKUP(
  A870,
  CPI!D:D,
  CPI!C:C,
  "",
  -1
)</f>
        <v>3.18</v>
      </c>
      <c r="G870">
        <v>32576</v>
      </c>
    </row>
    <row r="871" spans="1:7">
      <c r="A871" s="1">
        <v>43629</v>
      </c>
      <c r="B871">
        <v>32884</v>
      </c>
      <c r="C871">
        <f>_xlfn.XLOOKUP(A871, USD!A:A, USD!B:B, "")</f>
        <v>69.53</v>
      </c>
      <c r="D871">
        <f>_xlfn.XLOOKUP(A871, Brent!A:A, Brent!B:B, "")</f>
        <v>63.28</v>
      </c>
      <c r="E871">
        <f>_xlfn.XLOOKUP(
  A871,
  Repo!A:A,
  Repo!B:B,
  "",
  -1
)</f>
        <v>6</v>
      </c>
      <c r="F871" s="10">
        <f>_xlfn.XLOOKUP(
  A871,
  CPI!D:D,
  CPI!C:C,
  "",
  -1
)</f>
        <v>3.18</v>
      </c>
      <c r="G871">
        <v>32685</v>
      </c>
    </row>
    <row r="872" spans="1:7">
      <c r="A872" s="1">
        <v>43630</v>
      </c>
      <c r="B872">
        <v>32984</v>
      </c>
      <c r="C872">
        <f>_xlfn.XLOOKUP(A872, USD!A:A, USD!B:B, "")</f>
        <v>69.832999999999998</v>
      </c>
      <c r="D872">
        <f>_xlfn.XLOOKUP(A872, Brent!A:A, Brent!B:B, "")</f>
        <v>63.13</v>
      </c>
      <c r="E872">
        <f>_xlfn.XLOOKUP(
  A872,
  Repo!A:A,
  Repo!B:B,
  "",
  -1
)</f>
        <v>6</v>
      </c>
      <c r="F872" s="10">
        <f>_xlfn.XLOOKUP(
  A872,
  CPI!D:D,
  CPI!C:C,
  "",
  -1
)</f>
        <v>3.18</v>
      </c>
      <c r="G872">
        <v>32884</v>
      </c>
    </row>
    <row r="873" spans="1:7">
      <c r="A873" s="1">
        <v>43633</v>
      </c>
      <c r="B873">
        <v>32961</v>
      </c>
      <c r="C873">
        <f>_xlfn.XLOOKUP(A873, USD!A:A, USD!B:B, "")</f>
        <v>69.849999999999994</v>
      </c>
      <c r="D873">
        <f>_xlfn.XLOOKUP(A873, Brent!A:A, Brent!B:B, "")</f>
        <v>62.56</v>
      </c>
      <c r="E873">
        <f>_xlfn.XLOOKUP(
  A873,
  Repo!A:A,
  Repo!B:B,
  "",
  -1
)</f>
        <v>6</v>
      </c>
      <c r="F873" s="10">
        <f>_xlfn.XLOOKUP(
  A873,
  CPI!D:D,
  CPI!C:C,
  "",
  -1
)</f>
        <v>3.18</v>
      </c>
      <c r="G873">
        <v>32984</v>
      </c>
    </row>
    <row r="874" spans="1:7">
      <c r="A874" s="1">
        <v>43634</v>
      </c>
      <c r="B874">
        <v>32939</v>
      </c>
      <c r="C874">
        <f>_xlfn.XLOOKUP(A874, USD!A:A, USD!B:B, "")</f>
        <v>69.61</v>
      </c>
      <c r="D874">
        <f>_xlfn.XLOOKUP(A874, Brent!A:A, Brent!B:B, "")</f>
        <v>63.35</v>
      </c>
      <c r="E874">
        <f>_xlfn.XLOOKUP(
  A874,
  Repo!A:A,
  Repo!B:B,
  "",
  -1
)</f>
        <v>6</v>
      </c>
      <c r="F874" s="10">
        <f>_xlfn.XLOOKUP(
  A874,
  CPI!D:D,
  CPI!C:C,
  "",
  -1
)</f>
        <v>3.18</v>
      </c>
      <c r="G874">
        <v>32961</v>
      </c>
    </row>
    <row r="875" spans="1:7">
      <c r="A875" s="1">
        <v>43635</v>
      </c>
      <c r="B875">
        <v>32976</v>
      </c>
      <c r="C875">
        <f>_xlfn.XLOOKUP(A875, USD!A:A, USD!B:B, "")</f>
        <v>69.650000000000006</v>
      </c>
      <c r="D875">
        <f>_xlfn.XLOOKUP(A875, Brent!A:A, Brent!B:B, "")</f>
        <v>62.85</v>
      </c>
      <c r="E875">
        <f>_xlfn.XLOOKUP(
  A875,
  Repo!A:A,
  Repo!B:B,
  "",
  -1
)</f>
        <v>6</v>
      </c>
      <c r="F875" s="10">
        <f>_xlfn.XLOOKUP(
  A875,
  CPI!D:D,
  CPI!C:C,
  "",
  -1
)</f>
        <v>3.18</v>
      </c>
      <c r="G875">
        <v>32939</v>
      </c>
    </row>
    <row r="876" spans="1:7">
      <c r="A876" s="1">
        <v>43636</v>
      </c>
      <c r="B876">
        <v>33838</v>
      </c>
      <c r="C876">
        <f>_xlfn.XLOOKUP(A876, USD!A:A, USD!B:B, "")</f>
        <v>69.52</v>
      </c>
      <c r="D876">
        <f>_xlfn.XLOOKUP(A876, Brent!A:A, Brent!B:B, "")</f>
        <v>65.44</v>
      </c>
      <c r="E876">
        <f>_xlfn.XLOOKUP(
  A876,
  Repo!A:A,
  Repo!B:B,
  "",
  -1
)</f>
        <v>6</v>
      </c>
      <c r="F876" s="10">
        <f>_xlfn.XLOOKUP(
  A876,
  CPI!D:D,
  CPI!C:C,
  "",
  -1
)</f>
        <v>3.18</v>
      </c>
      <c r="G876">
        <v>32976</v>
      </c>
    </row>
    <row r="877" spans="1:7">
      <c r="A877" s="1">
        <v>43637</v>
      </c>
      <c r="B877">
        <v>33960</v>
      </c>
      <c r="C877">
        <f>_xlfn.XLOOKUP(A877, USD!A:A, USD!B:B, "")</f>
        <v>69.614999999999995</v>
      </c>
      <c r="D877">
        <f>_xlfn.XLOOKUP(A877, Brent!A:A, Brent!B:B, "")</f>
        <v>65.989999999999995</v>
      </c>
      <c r="E877">
        <f>_xlfn.XLOOKUP(
  A877,
  Repo!A:A,
  Repo!B:B,
  "",
  -1
)</f>
        <v>6</v>
      </c>
      <c r="F877" s="10">
        <f>_xlfn.XLOOKUP(
  A877,
  CPI!D:D,
  CPI!C:C,
  "",
  -1
)</f>
        <v>3.18</v>
      </c>
      <c r="G877">
        <v>33838</v>
      </c>
    </row>
    <row r="878" spans="1:7">
      <c r="A878" s="1">
        <v>43640</v>
      </c>
      <c r="B878">
        <v>34214</v>
      </c>
      <c r="C878">
        <f>_xlfn.XLOOKUP(A878, USD!A:A, USD!B:B, "")</f>
        <v>69.272999999999996</v>
      </c>
      <c r="D878">
        <f>_xlfn.XLOOKUP(A878, Brent!A:A, Brent!B:B, "")</f>
        <v>65.16</v>
      </c>
      <c r="E878">
        <f>_xlfn.XLOOKUP(
  A878,
  Repo!A:A,
  Repo!B:B,
  "",
  -1
)</f>
        <v>6</v>
      </c>
      <c r="F878" s="10">
        <f>_xlfn.XLOOKUP(
  A878,
  CPI!D:D,
  CPI!C:C,
  "",
  -1
)</f>
        <v>3.18</v>
      </c>
      <c r="G878">
        <v>33960</v>
      </c>
    </row>
    <row r="879" spans="1:7">
      <c r="A879" s="1">
        <v>43641</v>
      </c>
      <c r="B879">
        <v>34300</v>
      </c>
      <c r="C879">
        <f>_xlfn.XLOOKUP(A879, USD!A:A, USD!B:B, "")</f>
        <v>69.334000000000003</v>
      </c>
      <c r="D879">
        <f>_xlfn.XLOOKUP(A879, Brent!A:A, Brent!B:B, "")</f>
        <v>66.239999999999995</v>
      </c>
      <c r="E879">
        <f>_xlfn.XLOOKUP(
  A879,
  Repo!A:A,
  Repo!B:B,
  "",
  -1
)</f>
        <v>6</v>
      </c>
      <c r="F879" s="10">
        <f>_xlfn.XLOOKUP(
  A879,
  CPI!D:D,
  CPI!C:C,
  "",
  -1
)</f>
        <v>3.18</v>
      </c>
      <c r="G879">
        <v>34214</v>
      </c>
    </row>
    <row r="880" spans="1:7">
      <c r="A880" s="1">
        <v>43642</v>
      </c>
      <c r="B880">
        <v>34135</v>
      </c>
      <c r="C880">
        <f>_xlfn.XLOOKUP(A880, USD!A:A, USD!B:B, "")</f>
        <v>69.245000000000005</v>
      </c>
      <c r="D880">
        <f>_xlfn.XLOOKUP(A880, Brent!A:A, Brent!B:B, "")</f>
        <v>66.849999999999994</v>
      </c>
      <c r="E880">
        <f>_xlfn.XLOOKUP(
  A880,
  Repo!A:A,
  Repo!B:B,
  "",
  -1
)</f>
        <v>6</v>
      </c>
      <c r="F880" s="10">
        <f>_xlfn.XLOOKUP(
  A880,
  CPI!D:D,
  CPI!C:C,
  "",
  -1
)</f>
        <v>3.18</v>
      </c>
      <c r="G880">
        <v>34300</v>
      </c>
    </row>
    <row r="881" spans="1:7">
      <c r="A881" s="1">
        <v>43643</v>
      </c>
      <c r="B881">
        <v>33931</v>
      </c>
      <c r="C881">
        <f>_xlfn.XLOOKUP(A881, USD!A:A, USD!B:B, "")</f>
        <v>69.087999999999994</v>
      </c>
      <c r="D881">
        <f>_xlfn.XLOOKUP(A881, Brent!A:A, Brent!B:B, "")</f>
        <v>66.78</v>
      </c>
      <c r="E881">
        <f>_xlfn.XLOOKUP(
  A881,
  Repo!A:A,
  Repo!B:B,
  "",
  -1
)</f>
        <v>6</v>
      </c>
      <c r="F881" s="10">
        <f>_xlfn.XLOOKUP(
  A881,
  CPI!D:D,
  CPI!C:C,
  "",
  -1
)</f>
        <v>3.18</v>
      </c>
      <c r="G881">
        <v>34135</v>
      </c>
    </row>
    <row r="882" spans="1:7">
      <c r="A882" s="1">
        <v>43644</v>
      </c>
      <c r="B882">
        <v>33947</v>
      </c>
      <c r="C882">
        <f>_xlfn.XLOOKUP(A882, USD!A:A, USD!B:B, "")</f>
        <v>68.95</v>
      </c>
      <c r="D882">
        <f>_xlfn.XLOOKUP(A882, Brent!A:A, Brent!B:B, "")</f>
        <v>67.52</v>
      </c>
      <c r="E882">
        <f>_xlfn.XLOOKUP(
  A882,
  Repo!A:A,
  Repo!B:B,
  "",
  -1
)</f>
        <v>6</v>
      </c>
      <c r="F882" s="10">
        <f>_xlfn.XLOOKUP(
  A882,
  CPI!D:D,
  CPI!C:C,
  "",
  -1
)</f>
        <v>3.18</v>
      </c>
      <c r="G882">
        <v>33931</v>
      </c>
    </row>
    <row r="883" spans="1:7">
      <c r="A883" s="1">
        <v>43647</v>
      </c>
      <c r="B883">
        <v>33348</v>
      </c>
      <c r="C883">
        <f>_xlfn.XLOOKUP(A883, USD!A:A, USD!B:B, "")</f>
        <v>68.885000000000005</v>
      </c>
      <c r="D883">
        <f>_xlfn.XLOOKUP(A883, Brent!A:A, Brent!B:B, "")</f>
        <v>65.099999999999994</v>
      </c>
      <c r="E883">
        <f>_xlfn.XLOOKUP(
  A883,
  Repo!A:A,
  Repo!B:B,
  "",
  -1
)</f>
        <v>5.75</v>
      </c>
      <c r="F883" s="10">
        <f>_xlfn.XLOOKUP(
  A883,
  CPI!D:D,
  CPI!C:C,
  "",
  -1
)</f>
        <v>3.15</v>
      </c>
      <c r="G883">
        <v>33947</v>
      </c>
    </row>
    <row r="884" spans="1:7">
      <c r="A884" s="1">
        <v>43648</v>
      </c>
      <c r="B884">
        <v>33779</v>
      </c>
      <c r="C884">
        <f>_xlfn.XLOOKUP(A884, USD!A:A, USD!B:B, "")</f>
        <v>68.89</v>
      </c>
      <c r="D884">
        <f>_xlfn.XLOOKUP(A884, Brent!A:A, Brent!B:B, "")</f>
        <v>62.72</v>
      </c>
      <c r="E884">
        <f>_xlfn.XLOOKUP(
  A884,
  Repo!A:A,
  Repo!B:B,
  "",
  -1
)</f>
        <v>5.75</v>
      </c>
      <c r="F884" s="10">
        <f>_xlfn.XLOOKUP(
  A884,
  CPI!D:D,
  CPI!C:C,
  "",
  -1
)</f>
        <v>3.15</v>
      </c>
      <c r="G884">
        <v>33348</v>
      </c>
    </row>
    <row r="885" spans="1:7">
      <c r="A885" s="1">
        <v>43649</v>
      </c>
      <c r="B885">
        <v>34077</v>
      </c>
      <c r="C885">
        <f>_xlfn.XLOOKUP(A885, USD!A:A, USD!B:B, "")</f>
        <v>68.8</v>
      </c>
      <c r="D885">
        <f>_xlfn.XLOOKUP(A885, Brent!A:A, Brent!B:B, "")</f>
        <v>63.53</v>
      </c>
      <c r="E885">
        <f>_xlfn.XLOOKUP(
  A885,
  Repo!A:A,
  Repo!B:B,
  "",
  -1
)</f>
        <v>5.75</v>
      </c>
      <c r="F885" s="10">
        <f>_xlfn.XLOOKUP(
  A885,
  CPI!D:D,
  CPI!C:C,
  "",
  -1
)</f>
        <v>3.15</v>
      </c>
      <c r="G885">
        <v>33779</v>
      </c>
    </row>
    <row r="886" spans="1:7">
      <c r="A886" s="1">
        <v>43650</v>
      </c>
      <c r="B886">
        <v>34023</v>
      </c>
      <c r="C886">
        <f>_xlfn.XLOOKUP(A886, USD!A:A, USD!B:B, "")</f>
        <v>68.527000000000001</v>
      </c>
      <c r="D886">
        <f>_xlfn.XLOOKUP(A886, Brent!A:A, Brent!B:B, "")</f>
        <v>63.62</v>
      </c>
      <c r="E886">
        <f>_xlfn.XLOOKUP(
  A886,
  Repo!A:A,
  Repo!B:B,
  "",
  -1
)</f>
        <v>5.75</v>
      </c>
      <c r="F886" s="10">
        <f>_xlfn.XLOOKUP(
  A886,
  CPI!D:D,
  CPI!C:C,
  "",
  -1
)</f>
        <v>3.15</v>
      </c>
      <c r="G886">
        <v>34077</v>
      </c>
    </row>
    <row r="887" spans="1:7">
      <c r="A887" s="1">
        <v>43651</v>
      </c>
      <c r="B887">
        <v>34370</v>
      </c>
      <c r="C887">
        <f>_xlfn.XLOOKUP(A887, USD!A:A, USD!B:B, "")</f>
        <v>68.45</v>
      </c>
      <c r="D887">
        <f>_xlfn.XLOOKUP(A887, Brent!A:A, Brent!B:B, "")</f>
        <v>64.23</v>
      </c>
      <c r="E887">
        <f>_xlfn.XLOOKUP(
  A887,
  Repo!A:A,
  Repo!B:B,
  "",
  -1
)</f>
        <v>5.75</v>
      </c>
      <c r="F887" s="10">
        <f>_xlfn.XLOOKUP(
  A887,
  CPI!D:D,
  CPI!C:C,
  "",
  -1
)</f>
        <v>3.15</v>
      </c>
      <c r="G887">
        <v>34023</v>
      </c>
    </row>
    <row r="888" spans="1:7">
      <c r="A888" s="1">
        <v>43654</v>
      </c>
      <c r="B888">
        <v>34535</v>
      </c>
      <c r="C888">
        <f>_xlfn.XLOOKUP(A888, USD!A:A, USD!B:B, "")</f>
        <v>68.566000000000003</v>
      </c>
      <c r="D888">
        <f>_xlfn.XLOOKUP(A888, Brent!A:A, Brent!B:B, "")</f>
        <v>64.89</v>
      </c>
      <c r="E888">
        <f>_xlfn.XLOOKUP(
  A888,
  Repo!A:A,
  Repo!B:B,
  "",
  -1
)</f>
        <v>5.75</v>
      </c>
      <c r="F888" s="10">
        <f>_xlfn.XLOOKUP(
  A888,
  CPI!D:D,
  CPI!C:C,
  "",
  -1
)</f>
        <v>3.15</v>
      </c>
      <c r="G888">
        <v>34370</v>
      </c>
    </row>
    <row r="889" spans="1:7">
      <c r="A889" s="1">
        <v>43655</v>
      </c>
      <c r="B889">
        <v>34533</v>
      </c>
      <c r="C889">
        <f>_xlfn.XLOOKUP(A889, USD!A:A, USD!B:B, "")</f>
        <v>68.564999999999998</v>
      </c>
      <c r="D889">
        <f>_xlfn.XLOOKUP(A889, Brent!A:A, Brent!B:B, "")</f>
        <v>64.3</v>
      </c>
      <c r="E889">
        <f>_xlfn.XLOOKUP(
  A889,
  Repo!A:A,
  Repo!B:B,
  "",
  -1
)</f>
        <v>5.75</v>
      </c>
      <c r="F889" s="10">
        <f>_xlfn.XLOOKUP(
  A889,
  CPI!D:D,
  CPI!C:C,
  "",
  -1
)</f>
        <v>3.15</v>
      </c>
      <c r="G889">
        <v>34535</v>
      </c>
    </row>
    <row r="890" spans="1:7">
      <c r="A890" s="1">
        <v>43656</v>
      </c>
      <c r="B890">
        <v>34765</v>
      </c>
      <c r="C890">
        <f>_xlfn.XLOOKUP(A890, USD!A:A, USD!B:B, "")</f>
        <v>68.418999999999997</v>
      </c>
      <c r="D890">
        <f>_xlfn.XLOOKUP(A890, Brent!A:A, Brent!B:B, "")</f>
        <v>66.41</v>
      </c>
      <c r="E890">
        <f>_xlfn.XLOOKUP(
  A890,
  Repo!A:A,
  Repo!B:B,
  "",
  -1
)</f>
        <v>5.75</v>
      </c>
      <c r="F890" s="10">
        <f>_xlfn.XLOOKUP(
  A890,
  CPI!D:D,
  CPI!C:C,
  "",
  -1
)</f>
        <v>3.15</v>
      </c>
      <c r="G890">
        <v>34533</v>
      </c>
    </row>
    <row r="891" spans="1:7">
      <c r="A891" s="1">
        <v>43657</v>
      </c>
      <c r="B891">
        <v>34612</v>
      </c>
      <c r="C891">
        <f>_xlfn.XLOOKUP(A891, USD!A:A, USD!B:B, "")</f>
        <v>68.41</v>
      </c>
      <c r="D891">
        <f>_xlfn.XLOOKUP(A891, Brent!A:A, Brent!B:B, "")</f>
        <v>67.64</v>
      </c>
      <c r="E891">
        <f>_xlfn.XLOOKUP(
  A891,
  Repo!A:A,
  Repo!B:B,
  "",
  -1
)</f>
        <v>5.75</v>
      </c>
      <c r="F891" s="10">
        <f>_xlfn.XLOOKUP(
  A891,
  CPI!D:D,
  CPI!C:C,
  "",
  -1
)</f>
        <v>3.15</v>
      </c>
      <c r="G891">
        <v>34765</v>
      </c>
    </row>
    <row r="892" spans="1:7">
      <c r="A892" s="1">
        <v>43658</v>
      </c>
      <c r="B892">
        <v>34812</v>
      </c>
      <c r="C892">
        <f>_xlfn.XLOOKUP(A892, USD!A:A, USD!B:B, "")</f>
        <v>68.56</v>
      </c>
      <c r="D892">
        <f>_xlfn.XLOOKUP(A892, Brent!A:A, Brent!B:B, "")</f>
        <v>66.650000000000006</v>
      </c>
      <c r="E892">
        <f>_xlfn.XLOOKUP(
  A892,
  Repo!A:A,
  Repo!B:B,
  "",
  -1
)</f>
        <v>5.75</v>
      </c>
      <c r="F892" s="10">
        <f>_xlfn.XLOOKUP(
  A892,
  CPI!D:D,
  CPI!C:C,
  "",
  -1
)</f>
        <v>3.15</v>
      </c>
      <c r="G892">
        <v>34612</v>
      </c>
    </row>
    <row r="893" spans="1:7">
      <c r="A893" s="1">
        <v>43661</v>
      </c>
      <c r="B893">
        <v>34792</v>
      </c>
      <c r="C893">
        <f>_xlfn.XLOOKUP(A893, USD!A:A, USD!B:B, "")</f>
        <v>68.545000000000002</v>
      </c>
      <c r="D893">
        <f>_xlfn.XLOOKUP(A893, Brent!A:A, Brent!B:B, "")</f>
        <v>66.86</v>
      </c>
      <c r="E893">
        <f>_xlfn.XLOOKUP(
  A893,
  Repo!A:A,
  Repo!B:B,
  "",
  -1
)</f>
        <v>5.75</v>
      </c>
      <c r="F893" s="10">
        <f>_xlfn.XLOOKUP(
  A893,
  CPI!D:D,
  CPI!C:C,
  "",
  -1
)</f>
        <v>3.15</v>
      </c>
      <c r="G893">
        <v>34812</v>
      </c>
    </row>
    <row r="894" spans="1:7">
      <c r="A894" s="1">
        <v>43662</v>
      </c>
      <c r="B894">
        <v>34738</v>
      </c>
      <c r="C894">
        <f>_xlfn.XLOOKUP(A894, USD!A:A, USD!B:B, "")</f>
        <v>68.650000000000006</v>
      </c>
      <c r="D894">
        <f>_xlfn.XLOOKUP(A894, Brent!A:A, Brent!B:B, "")</f>
        <v>65.87</v>
      </c>
      <c r="E894">
        <f>_xlfn.XLOOKUP(
  A894,
  Repo!A:A,
  Repo!B:B,
  "",
  -1
)</f>
        <v>5.75</v>
      </c>
      <c r="F894" s="10">
        <f>_xlfn.XLOOKUP(
  A894,
  CPI!D:D,
  CPI!C:C,
  "",
  -1
)</f>
        <v>3.15</v>
      </c>
      <c r="G894">
        <v>34792</v>
      </c>
    </row>
    <row r="895" spans="1:7">
      <c r="A895" s="1">
        <v>43663</v>
      </c>
      <c r="B895">
        <v>35039</v>
      </c>
      <c r="C895">
        <f>_xlfn.XLOOKUP(A895, USD!A:A, USD!B:B, "")</f>
        <v>68.846000000000004</v>
      </c>
      <c r="D895">
        <f>_xlfn.XLOOKUP(A895, Brent!A:A, Brent!B:B, "")</f>
        <v>63.67</v>
      </c>
      <c r="E895">
        <f>_xlfn.XLOOKUP(
  A895,
  Repo!A:A,
  Repo!B:B,
  "",
  -1
)</f>
        <v>5.75</v>
      </c>
      <c r="F895" s="10">
        <f>_xlfn.XLOOKUP(
  A895,
  CPI!D:D,
  CPI!C:C,
  "",
  -1
)</f>
        <v>3.15</v>
      </c>
      <c r="G895">
        <v>34738</v>
      </c>
    </row>
    <row r="896" spans="1:7">
      <c r="A896" s="1">
        <v>43664</v>
      </c>
      <c r="B896">
        <v>35117</v>
      </c>
      <c r="C896">
        <f>_xlfn.XLOOKUP(A896, USD!A:A, USD!B:B, "")</f>
        <v>68.855000000000004</v>
      </c>
      <c r="D896">
        <f>_xlfn.XLOOKUP(A896, Brent!A:A, Brent!B:B, "")</f>
        <v>60.7</v>
      </c>
      <c r="E896">
        <f>_xlfn.XLOOKUP(
  A896,
  Repo!A:A,
  Repo!B:B,
  "",
  -1
)</f>
        <v>5.75</v>
      </c>
      <c r="F896" s="10">
        <f>_xlfn.XLOOKUP(
  A896,
  CPI!D:D,
  CPI!C:C,
  "",
  -1
)</f>
        <v>3.15</v>
      </c>
      <c r="G896">
        <v>35039</v>
      </c>
    </row>
    <row r="897" spans="1:7">
      <c r="A897" s="1">
        <v>43665</v>
      </c>
      <c r="B897">
        <v>35033</v>
      </c>
      <c r="C897">
        <f>_xlfn.XLOOKUP(A897, USD!A:A, USD!B:B, "")</f>
        <v>68.86</v>
      </c>
      <c r="D897">
        <f>_xlfn.XLOOKUP(A897, Brent!A:A, Brent!B:B, "")</f>
        <v>61.04</v>
      </c>
      <c r="E897">
        <f>_xlfn.XLOOKUP(
  A897,
  Repo!A:A,
  Repo!B:B,
  "",
  -1
)</f>
        <v>5.75</v>
      </c>
      <c r="F897" s="10">
        <f>_xlfn.XLOOKUP(
  A897,
  CPI!D:D,
  CPI!C:C,
  "",
  -1
)</f>
        <v>3.15</v>
      </c>
      <c r="G897">
        <v>35117</v>
      </c>
    </row>
    <row r="898" spans="1:7">
      <c r="A898" s="1">
        <v>43668</v>
      </c>
      <c r="B898">
        <v>35143</v>
      </c>
      <c r="C898">
        <f>_xlfn.XLOOKUP(A898, USD!A:A, USD!B:B, "")</f>
        <v>68.930000000000007</v>
      </c>
      <c r="D898">
        <f>_xlfn.XLOOKUP(A898, Brent!A:A, Brent!B:B, "")</f>
        <v>61.96</v>
      </c>
      <c r="E898">
        <f>_xlfn.XLOOKUP(
  A898,
  Repo!A:A,
  Repo!B:B,
  "",
  -1
)</f>
        <v>5.75</v>
      </c>
      <c r="F898" s="10">
        <f>_xlfn.XLOOKUP(
  A898,
  CPI!D:D,
  CPI!C:C,
  "",
  -1
)</f>
        <v>3.15</v>
      </c>
      <c r="G898">
        <v>35033</v>
      </c>
    </row>
    <row r="899" spans="1:7">
      <c r="A899" s="1">
        <v>43669</v>
      </c>
      <c r="B899">
        <v>35030</v>
      </c>
      <c r="C899">
        <f>_xlfn.XLOOKUP(A899, USD!A:A, USD!B:B, "")</f>
        <v>69.033000000000001</v>
      </c>
      <c r="D899">
        <f>_xlfn.XLOOKUP(A899, Brent!A:A, Brent!B:B, "")</f>
        <v>62.28</v>
      </c>
      <c r="E899">
        <f>_xlfn.XLOOKUP(
  A899,
  Repo!A:A,
  Repo!B:B,
  "",
  -1
)</f>
        <v>5.75</v>
      </c>
      <c r="F899" s="10">
        <f>_xlfn.XLOOKUP(
  A899,
  CPI!D:D,
  CPI!C:C,
  "",
  -1
)</f>
        <v>3.15</v>
      </c>
      <c r="G899">
        <v>35143</v>
      </c>
    </row>
    <row r="900" spans="1:7">
      <c r="A900" s="1">
        <v>43670</v>
      </c>
      <c r="B900">
        <v>35036</v>
      </c>
      <c r="C900">
        <f>_xlfn.XLOOKUP(A900, USD!A:A, USD!B:B, "")</f>
        <v>68.98</v>
      </c>
      <c r="D900">
        <f>_xlfn.XLOOKUP(A900, Brent!A:A, Brent!B:B, "")</f>
        <v>63.83</v>
      </c>
      <c r="E900">
        <f>_xlfn.XLOOKUP(
  A900,
  Repo!A:A,
  Repo!B:B,
  "",
  -1
)</f>
        <v>5.75</v>
      </c>
      <c r="F900" s="10">
        <f>_xlfn.XLOOKUP(
  A900,
  CPI!D:D,
  CPI!C:C,
  "",
  -1
)</f>
        <v>3.15</v>
      </c>
      <c r="G900">
        <v>35030</v>
      </c>
    </row>
    <row r="901" spans="1:7">
      <c r="A901" s="1">
        <v>43671</v>
      </c>
      <c r="B901">
        <v>34850</v>
      </c>
      <c r="C901">
        <f>_xlfn.XLOOKUP(A901, USD!A:A, USD!B:B, "")</f>
        <v>69.040999999999997</v>
      </c>
      <c r="D901">
        <f>_xlfn.XLOOKUP(A901, Brent!A:A, Brent!B:B, "")</f>
        <v>63.47</v>
      </c>
      <c r="E901">
        <f>_xlfn.XLOOKUP(
  A901,
  Repo!A:A,
  Repo!B:B,
  "",
  -1
)</f>
        <v>5.75</v>
      </c>
      <c r="F901" s="10">
        <f>_xlfn.XLOOKUP(
  A901,
  CPI!D:D,
  CPI!C:C,
  "",
  -1
)</f>
        <v>3.15</v>
      </c>
      <c r="G901">
        <v>35036</v>
      </c>
    </row>
    <row r="902" spans="1:7">
      <c r="A902" s="1">
        <v>43672</v>
      </c>
      <c r="B902">
        <v>34815</v>
      </c>
      <c r="C902">
        <f>_xlfn.XLOOKUP(A902, USD!A:A, USD!B:B, "")</f>
        <v>68.88</v>
      </c>
      <c r="D902">
        <f>_xlfn.XLOOKUP(A902, Brent!A:A, Brent!B:B, "")</f>
        <v>62.46</v>
      </c>
      <c r="E902">
        <f>_xlfn.XLOOKUP(
  A902,
  Repo!A:A,
  Repo!B:B,
  "",
  -1
)</f>
        <v>5.75</v>
      </c>
      <c r="F902" s="10">
        <f>_xlfn.XLOOKUP(
  A902,
  CPI!D:D,
  CPI!C:C,
  "",
  -1
)</f>
        <v>3.15</v>
      </c>
      <c r="G902">
        <v>34850</v>
      </c>
    </row>
    <row r="903" spans="1:7">
      <c r="A903" s="1">
        <v>43675</v>
      </c>
      <c r="B903">
        <v>34788</v>
      </c>
      <c r="C903">
        <f>_xlfn.XLOOKUP(A903, USD!A:A, USD!B:B, "")</f>
        <v>68.754999999999995</v>
      </c>
      <c r="D903">
        <f>_xlfn.XLOOKUP(A903, Brent!A:A, Brent!B:B, "")</f>
        <v>62.29</v>
      </c>
      <c r="E903">
        <f>_xlfn.XLOOKUP(
  A903,
  Repo!A:A,
  Repo!B:B,
  "",
  -1
)</f>
        <v>5.75</v>
      </c>
      <c r="F903" s="10">
        <f>_xlfn.XLOOKUP(
  A903,
  CPI!D:D,
  CPI!C:C,
  "",
  -1
)</f>
        <v>3.15</v>
      </c>
      <c r="G903">
        <v>34815</v>
      </c>
    </row>
    <row r="904" spans="1:7">
      <c r="A904" s="1">
        <v>43676</v>
      </c>
      <c r="B904">
        <v>34737</v>
      </c>
      <c r="C904">
        <f>_xlfn.XLOOKUP(A904, USD!A:A, USD!B:B, "")</f>
        <v>68.861999999999995</v>
      </c>
      <c r="D904">
        <f>_xlfn.XLOOKUP(A904, Brent!A:A, Brent!B:B, "")</f>
        <v>62.55</v>
      </c>
      <c r="E904">
        <f>_xlfn.XLOOKUP(
  A904,
  Repo!A:A,
  Repo!B:B,
  "",
  -1
)</f>
        <v>5.75</v>
      </c>
      <c r="F904" s="10">
        <f>_xlfn.XLOOKUP(
  A904,
  CPI!D:D,
  CPI!C:C,
  "",
  -1
)</f>
        <v>3.15</v>
      </c>
      <c r="G904">
        <v>34788</v>
      </c>
    </row>
    <row r="905" spans="1:7">
      <c r="A905" s="1">
        <v>43677</v>
      </c>
      <c r="B905">
        <v>34714</v>
      </c>
      <c r="C905">
        <f>_xlfn.XLOOKUP(A905, USD!A:A, USD!B:B, "")</f>
        <v>68.875</v>
      </c>
      <c r="D905">
        <f>_xlfn.XLOOKUP(A905, Brent!A:A, Brent!B:B, "")</f>
        <v>64.069999999999993</v>
      </c>
      <c r="E905">
        <f>_xlfn.XLOOKUP(
  A905,
  Repo!A:A,
  Repo!B:B,
  "",
  -1
)</f>
        <v>5.75</v>
      </c>
      <c r="F905" s="10">
        <f>_xlfn.XLOOKUP(
  A905,
  CPI!D:D,
  CPI!C:C,
  "",
  -1
)</f>
        <v>3.15</v>
      </c>
      <c r="G905">
        <v>34737</v>
      </c>
    </row>
    <row r="906" spans="1:7">
      <c r="A906" s="1">
        <v>43678</v>
      </c>
      <c r="B906">
        <v>35134</v>
      </c>
      <c r="C906">
        <f>_xlfn.XLOOKUP(A906, USD!A:A, USD!B:B, "")</f>
        <v>69.016999999999996</v>
      </c>
      <c r="D906">
        <f>_xlfn.XLOOKUP(A906, Brent!A:A, Brent!B:B, "")</f>
        <v>62.9</v>
      </c>
      <c r="E906">
        <f>_xlfn.XLOOKUP(
  A906,
  Repo!A:A,
  Repo!B:B,
  "",
  -1
)</f>
        <v>5.75</v>
      </c>
      <c r="F906" s="10">
        <f>_xlfn.XLOOKUP(
  A906,
  CPI!D:D,
  CPI!C:C,
  "",
  -1
)</f>
        <v>3.28</v>
      </c>
      <c r="G906">
        <v>34714</v>
      </c>
    </row>
    <row r="907" spans="1:7">
      <c r="A907" s="1">
        <v>43679</v>
      </c>
      <c r="B907">
        <v>35705</v>
      </c>
      <c r="C907">
        <f>_xlfn.XLOOKUP(A907, USD!A:A, USD!B:B, "")</f>
        <v>69.7</v>
      </c>
      <c r="D907">
        <f>_xlfn.XLOOKUP(A907, Brent!A:A, Brent!B:B, "")</f>
        <v>61.12</v>
      </c>
      <c r="E907">
        <f>_xlfn.XLOOKUP(
  A907,
  Repo!A:A,
  Repo!B:B,
  "",
  -1
)</f>
        <v>5.75</v>
      </c>
      <c r="F907" s="10">
        <f>_xlfn.XLOOKUP(
  A907,
  CPI!D:D,
  CPI!C:C,
  "",
  -1
)</f>
        <v>3.28</v>
      </c>
      <c r="G907">
        <v>35134</v>
      </c>
    </row>
    <row r="908" spans="1:7">
      <c r="A908" s="1">
        <v>43682</v>
      </c>
      <c r="B908">
        <v>36711</v>
      </c>
      <c r="C908">
        <f>_xlfn.XLOOKUP(A908, USD!A:A, USD!B:B, "")</f>
        <v>70.820999999999998</v>
      </c>
      <c r="D908">
        <f>_xlfn.XLOOKUP(A908, Brent!A:A, Brent!B:B, "")</f>
        <v>59.32</v>
      </c>
      <c r="E908">
        <f>_xlfn.XLOOKUP(
  A908,
  Repo!A:A,
  Repo!B:B,
  "",
  -1
)</f>
        <v>5.75</v>
      </c>
      <c r="F908" s="10">
        <f>_xlfn.XLOOKUP(
  A908,
  CPI!D:D,
  CPI!C:C,
  "",
  -1
)</f>
        <v>3.28</v>
      </c>
      <c r="G908">
        <v>35705</v>
      </c>
    </row>
    <row r="909" spans="1:7">
      <c r="A909" s="1">
        <v>43683</v>
      </c>
      <c r="B909">
        <v>37182</v>
      </c>
      <c r="C909">
        <f>_xlfn.XLOOKUP(A909, USD!A:A, USD!B:B, "")</f>
        <v>71.040000000000006</v>
      </c>
      <c r="D909">
        <f>_xlfn.XLOOKUP(A909, Brent!A:A, Brent!B:B, "")</f>
        <v>58.63</v>
      </c>
      <c r="E909">
        <f>_xlfn.XLOOKUP(
  A909,
  Repo!A:A,
  Repo!B:B,
  "",
  -1
)</f>
        <v>5.75</v>
      </c>
      <c r="F909" s="10">
        <f>_xlfn.XLOOKUP(
  A909,
  CPI!D:D,
  CPI!C:C,
  "",
  -1
)</f>
        <v>3.28</v>
      </c>
      <c r="G909">
        <v>36711</v>
      </c>
    </row>
    <row r="910" spans="1:7">
      <c r="A910" s="1">
        <v>43684</v>
      </c>
      <c r="B910">
        <v>37899</v>
      </c>
      <c r="C910">
        <f>_xlfn.XLOOKUP(A910, USD!A:A, USD!B:B, "")</f>
        <v>71.144999999999996</v>
      </c>
      <c r="D910">
        <f>_xlfn.XLOOKUP(A910, Brent!A:A, Brent!B:B, "")</f>
        <v>55.03</v>
      </c>
      <c r="E910">
        <f>_xlfn.XLOOKUP(
  A910,
  Repo!A:A,
  Repo!B:B,
  "",
  -1
)</f>
        <v>5.75</v>
      </c>
      <c r="F910" s="10">
        <f>_xlfn.XLOOKUP(
  A910,
  CPI!D:D,
  CPI!C:C,
  "",
  -1
)</f>
        <v>3.28</v>
      </c>
      <c r="G910">
        <v>37182</v>
      </c>
    </row>
    <row r="911" spans="1:7">
      <c r="A911" s="1">
        <v>43685</v>
      </c>
      <c r="B911">
        <v>37311</v>
      </c>
      <c r="C911">
        <f>_xlfn.XLOOKUP(A911, USD!A:A, USD!B:B, "")</f>
        <v>70.42</v>
      </c>
      <c r="D911">
        <f>_xlfn.XLOOKUP(A911, Brent!A:A, Brent!B:B, "")</f>
        <v>56.29</v>
      </c>
      <c r="E911">
        <f>_xlfn.XLOOKUP(
  A911,
  Repo!A:A,
  Repo!B:B,
  "",
  -1
)</f>
        <v>5.75</v>
      </c>
      <c r="F911" s="10">
        <f>_xlfn.XLOOKUP(
  A911,
  CPI!D:D,
  CPI!C:C,
  "",
  -1
)</f>
        <v>3.28</v>
      </c>
      <c r="G911">
        <v>37899</v>
      </c>
    </row>
    <row r="912" spans="1:7">
      <c r="A912" s="1">
        <v>43686</v>
      </c>
      <c r="B912">
        <v>37558</v>
      </c>
      <c r="C912">
        <f>_xlfn.XLOOKUP(A912, USD!A:A, USD!B:B, "")</f>
        <v>70.924000000000007</v>
      </c>
      <c r="D912">
        <f>_xlfn.XLOOKUP(A912, Brent!A:A, Brent!B:B, "")</f>
        <v>57.37</v>
      </c>
      <c r="E912">
        <f>_xlfn.XLOOKUP(
  A912,
  Repo!A:A,
  Repo!B:B,
  "",
  -1
)</f>
        <v>5.75</v>
      </c>
      <c r="F912" s="10">
        <f>_xlfn.XLOOKUP(
  A912,
  CPI!D:D,
  CPI!C:C,
  "",
  -1
)</f>
        <v>3.28</v>
      </c>
      <c r="G912">
        <v>37311</v>
      </c>
    </row>
    <row r="913" spans="1:7">
      <c r="A913" s="1">
        <v>43689</v>
      </c>
      <c r="B913">
        <v>37812</v>
      </c>
      <c r="C913">
        <f>_xlfn.XLOOKUP(A913, USD!A:A, USD!B:B, "")</f>
        <v>71.283000000000001</v>
      </c>
      <c r="D913">
        <f>_xlfn.XLOOKUP(A913, Brent!A:A, Brent!B:B, "")</f>
        <v>57.13</v>
      </c>
      <c r="E913">
        <f>_xlfn.XLOOKUP(
  A913,
  Repo!A:A,
  Repo!B:B,
  "",
  -1
)</f>
        <v>5.75</v>
      </c>
      <c r="F913" s="10">
        <f>_xlfn.XLOOKUP(
  A913,
  CPI!D:D,
  CPI!C:C,
  "",
  -1
)</f>
        <v>3.28</v>
      </c>
      <c r="G913">
        <v>37558</v>
      </c>
    </row>
    <row r="914" spans="1:7">
      <c r="A914" s="1">
        <v>43690</v>
      </c>
      <c r="B914">
        <v>37268</v>
      </c>
      <c r="C914">
        <f>_xlfn.XLOOKUP(A914, USD!A:A, USD!B:B, "")</f>
        <v>71.418000000000006</v>
      </c>
      <c r="D914">
        <f>_xlfn.XLOOKUP(A914, Brent!A:A, Brent!B:B, "")</f>
        <v>59.9</v>
      </c>
      <c r="E914">
        <f>_xlfn.XLOOKUP(
  A914,
  Repo!A:A,
  Repo!B:B,
  "",
  -1
)</f>
        <v>5.75</v>
      </c>
      <c r="F914" s="10">
        <f>_xlfn.XLOOKUP(
  A914,
  CPI!D:D,
  CPI!C:C,
  "",
  -1
)</f>
        <v>3.28</v>
      </c>
      <c r="G914">
        <v>37812</v>
      </c>
    </row>
    <row r="915" spans="1:7">
      <c r="A915" s="1">
        <v>43691</v>
      </c>
      <c r="B915">
        <v>37688</v>
      </c>
      <c r="C915">
        <f>_xlfn.XLOOKUP(A915, USD!A:A, USD!B:B, "")</f>
        <v>71.275000000000006</v>
      </c>
      <c r="D915">
        <f>_xlfn.XLOOKUP(A915, Brent!A:A, Brent!B:B, "")</f>
        <v>57.86</v>
      </c>
      <c r="E915">
        <f>_xlfn.XLOOKUP(
  A915,
  Repo!A:A,
  Repo!B:B,
  "",
  -1
)</f>
        <v>5.75</v>
      </c>
      <c r="F915" s="10">
        <f>_xlfn.XLOOKUP(
  A915,
  CPI!D:D,
  CPI!C:C,
  "",
  -1
)</f>
        <v>3.28</v>
      </c>
      <c r="G915">
        <v>37268</v>
      </c>
    </row>
    <row r="916" spans="1:7">
      <c r="A916" s="1">
        <v>43693</v>
      </c>
      <c r="B916">
        <v>37487</v>
      </c>
      <c r="C916">
        <f>_xlfn.XLOOKUP(A916, USD!A:A, USD!B:B, "")</f>
        <v>71.155000000000001</v>
      </c>
      <c r="D916">
        <f>_xlfn.XLOOKUP(A916, Brent!A:A, Brent!B:B, "")</f>
        <v>59</v>
      </c>
      <c r="E916">
        <f>_xlfn.XLOOKUP(
  A916,
  Repo!A:A,
  Repo!B:B,
  "",
  -1
)</f>
        <v>5.75</v>
      </c>
      <c r="F916" s="10">
        <f>_xlfn.XLOOKUP(
  A916,
  CPI!D:D,
  CPI!C:C,
  "",
  -1
)</f>
        <v>3.28</v>
      </c>
      <c r="G916">
        <v>37688</v>
      </c>
    </row>
    <row r="917" spans="1:7">
      <c r="A917" s="1">
        <v>43696</v>
      </c>
      <c r="B917">
        <v>37484</v>
      </c>
      <c r="C917">
        <f>_xlfn.XLOOKUP(A917, USD!A:A, USD!B:B, "")</f>
        <v>71.450999999999993</v>
      </c>
      <c r="D917">
        <f>_xlfn.XLOOKUP(A917, Brent!A:A, Brent!B:B, "")</f>
        <v>59.79</v>
      </c>
      <c r="E917">
        <f>_xlfn.XLOOKUP(
  A917,
  Repo!A:A,
  Repo!B:B,
  "",
  -1
)</f>
        <v>5.75</v>
      </c>
      <c r="F917" s="10">
        <f>_xlfn.XLOOKUP(
  A917,
  CPI!D:D,
  CPI!C:C,
  "",
  -1
)</f>
        <v>3.28</v>
      </c>
      <c r="G917">
        <v>37487</v>
      </c>
    </row>
    <row r="918" spans="1:7">
      <c r="A918" s="1">
        <v>43697</v>
      </c>
      <c r="B918">
        <v>37640</v>
      </c>
      <c r="C918">
        <f>_xlfn.XLOOKUP(A918, USD!A:A, USD!B:B, "")</f>
        <v>71.549000000000007</v>
      </c>
      <c r="D918">
        <f>_xlfn.XLOOKUP(A918, Brent!A:A, Brent!B:B, "")</f>
        <v>59.03</v>
      </c>
      <c r="E918">
        <f>_xlfn.XLOOKUP(
  A918,
  Repo!A:A,
  Repo!B:B,
  "",
  -1
)</f>
        <v>5.75</v>
      </c>
      <c r="F918" s="10">
        <f>_xlfn.XLOOKUP(
  A918,
  CPI!D:D,
  CPI!C:C,
  "",
  -1
)</f>
        <v>3.28</v>
      </c>
      <c r="G918">
        <v>37484</v>
      </c>
    </row>
    <row r="919" spans="1:7">
      <c r="A919" s="1">
        <v>43698</v>
      </c>
      <c r="B919">
        <v>37598</v>
      </c>
      <c r="C919">
        <f>_xlfn.XLOOKUP(A919, USD!A:A, USD!B:B, "")</f>
        <v>71.44</v>
      </c>
      <c r="D919">
        <f>_xlfn.XLOOKUP(A919, Brent!A:A, Brent!B:B, "")</f>
        <v>60.6</v>
      </c>
      <c r="E919">
        <f>_xlfn.XLOOKUP(
  A919,
  Repo!A:A,
  Repo!B:B,
  "",
  -1
)</f>
        <v>5.75</v>
      </c>
      <c r="F919" s="10">
        <f>_xlfn.XLOOKUP(
  A919,
  CPI!D:D,
  CPI!C:C,
  "",
  -1
)</f>
        <v>3.28</v>
      </c>
      <c r="G919">
        <v>37640</v>
      </c>
    </row>
    <row r="920" spans="1:7">
      <c r="A920" s="1">
        <v>43699</v>
      </c>
      <c r="B920">
        <v>37779</v>
      </c>
      <c r="C920">
        <f>_xlfn.XLOOKUP(A920, USD!A:A, USD!B:B, "")</f>
        <v>71.930000000000007</v>
      </c>
      <c r="D920">
        <f>_xlfn.XLOOKUP(A920, Brent!A:A, Brent!B:B, "")</f>
        <v>59.81</v>
      </c>
      <c r="E920">
        <f>_xlfn.XLOOKUP(
  A920,
  Repo!A:A,
  Repo!B:B,
  "",
  -1
)</f>
        <v>5.75</v>
      </c>
      <c r="F920" s="10">
        <f>_xlfn.XLOOKUP(
  A920,
  CPI!D:D,
  CPI!C:C,
  "",
  -1
)</f>
        <v>3.28</v>
      </c>
      <c r="G920">
        <v>37598</v>
      </c>
    </row>
    <row r="921" spans="1:7">
      <c r="A921" s="1">
        <v>43700</v>
      </c>
      <c r="B921">
        <v>38357</v>
      </c>
      <c r="C921">
        <f>_xlfn.XLOOKUP(A921, USD!A:A, USD!B:B, "")</f>
        <v>71.513000000000005</v>
      </c>
      <c r="D921">
        <f>_xlfn.XLOOKUP(A921, Brent!A:A, Brent!B:B, "")</f>
        <v>58.64</v>
      </c>
      <c r="E921">
        <f>_xlfn.XLOOKUP(
  A921,
  Repo!A:A,
  Repo!B:B,
  "",
  -1
)</f>
        <v>5.75</v>
      </c>
      <c r="F921" s="10">
        <f>_xlfn.XLOOKUP(
  A921,
  CPI!D:D,
  CPI!C:C,
  "",
  -1
)</f>
        <v>3.28</v>
      </c>
      <c r="G921">
        <v>37779</v>
      </c>
    </row>
    <row r="922" spans="1:7">
      <c r="A922" s="1">
        <v>43703</v>
      </c>
      <c r="B922">
        <v>38415</v>
      </c>
      <c r="C922">
        <f>_xlfn.XLOOKUP(A922, USD!A:A, USD!B:B, "")</f>
        <v>72.025000000000006</v>
      </c>
      <c r="D922">
        <f>_xlfn.XLOOKUP(A922, Brent!A:A, Brent!B:B, "")</f>
        <v>58.64</v>
      </c>
      <c r="E922">
        <f>_xlfn.XLOOKUP(
  A922,
  Repo!A:A,
  Repo!B:B,
  "",
  -1
)</f>
        <v>5.75</v>
      </c>
      <c r="F922" s="10">
        <f>_xlfn.XLOOKUP(
  A922,
  CPI!D:D,
  CPI!C:C,
  "",
  -1
)</f>
        <v>3.28</v>
      </c>
      <c r="G922">
        <v>38357</v>
      </c>
    </row>
    <row r="923" spans="1:7">
      <c r="A923" s="1">
        <v>43704</v>
      </c>
      <c r="B923">
        <v>38644</v>
      </c>
      <c r="C923">
        <f>_xlfn.XLOOKUP(A923, USD!A:A, USD!B:B, "")</f>
        <v>71.543000000000006</v>
      </c>
      <c r="D923">
        <f>_xlfn.XLOOKUP(A923, Brent!A:A, Brent!B:B, "")</f>
        <v>58.44</v>
      </c>
      <c r="E923">
        <f>_xlfn.XLOOKUP(
  A923,
  Repo!A:A,
  Repo!B:B,
  "",
  -1
)</f>
        <v>5.75</v>
      </c>
      <c r="F923" s="10">
        <f>_xlfn.XLOOKUP(
  A923,
  CPI!D:D,
  CPI!C:C,
  "",
  -1
)</f>
        <v>3.28</v>
      </c>
      <c r="G923">
        <v>38415</v>
      </c>
    </row>
    <row r="924" spans="1:7">
      <c r="A924" s="1">
        <v>43705</v>
      </c>
      <c r="B924">
        <v>38772</v>
      </c>
      <c r="C924">
        <f>_xlfn.XLOOKUP(A924, USD!A:A, USD!B:B, "")</f>
        <v>71.828999999999994</v>
      </c>
      <c r="D924">
        <f>_xlfn.XLOOKUP(A924, Brent!A:A, Brent!B:B, "")</f>
        <v>60.42</v>
      </c>
      <c r="E924">
        <f>_xlfn.XLOOKUP(
  A924,
  Repo!A:A,
  Repo!B:B,
  "",
  -1
)</f>
        <v>5.75</v>
      </c>
      <c r="F924" s="10">
        <f>_xlfn.XLOOKUP(
  A924,
  CPI!D:D,
  CPI!C:C,
  "",
  -1
)</f>
        <v>3.28</v>
      </c>
      <c r="G924">
        <v>38644</v>
      </c>
    </row>
    <row r="925" spans="1:7">
      <c r="A925" s="1">
        <v>43706</v>
      </c>
      <c r="B925">
        <v>38426</v>
      </c>
      <c r="C925">
        <f>_xlfn.XLOOKUP(A925, USD!A:A, USD!B:B, "")</f>
        <v>71.69</v>
      </c>
      <c r="D925">
        <f>_xlfn.XLOOKUP(A925, Brent!A:A, Brent!B:B, "")</f>
        <v>60.59</v>
      </c>
      <c r="E925">
        <f>_xlfn.XLOOKUP(
  A925,
  Repo!A:A,
  Repo!B:B,
  "",
  -1
)</f>
        <v>5.75</v>
      </c>
      <c r="F925" s="10">
        <f>_xlfn.XLOOKUP(
  A925,
  CPI!D:D,
  CPI!C:C,
  "",
  -1
)</f>
        <v>3.28</v>
      </c>
      <c r="G925">
        <v>38772</v>
      </c>
    </row>
    <row r="926" spans="1:7">
      <c r="A926" s="1">
        <v>43707</v>
      </c>
      <c r="B926">
        <v>38300</v>
      </c>
      <c r="C926">
        <f>_xlfn.XLOOKUP(A926, USD!A:A, USD!B:B, "")</f>
        <v>71.453000000000003</v>
      </c>
      <c r="D926">
        <f>_xlfn.XLOOKUP(A926, Brent!A:A, Brent!B:B, "")</f>
        <v>61.04</v>
      </c>
      <c r="E926">
        <f>_xlfn.XLOOKUP(
  A926,
  Repo!A:A,
  Repo!B:B,
  "",
  -1
)</f>
        <v>5.75</v>
      </c>
      <c r="F926" s="10">
        <f>_xlfn.XLOOKUP(
  A926,
  CPI!D:D,
  CPI!C:C,
  "",
  -1
)</f>
        <v>3.28</v>
      </c>
      <c r="G926">
        <v>38426</v>
      </c>
    </row>
    <row r="927" spans="1:7">
      <c r="A927" s="1">
        <v>43710</v>
      </c>
      <c r="B927">
        <v>38708</v>
      </c>
      <c r="C927">
        <f>_xlfn.XLOOKUP(A927, USD!A:A, USD!B:B, "")</f>
        <v>71.968999999999994</v>
      </c>
      <c r="D927">
        <f>_xlfn.XLOOKUP(A927, Brent!A:A, Brent!B:B, "")</f>
        <v>58.55</v>
      </c>
      <c r="E927">
        <f>_xlfn.XLOOKUP(
  A927,
  Repo!A:A,
  Repo!B:B,
  "",
  -1
)</f>
        <v>5.4</v>
      </c>
      <c r="F927" s="10">
        <f>_xlfn.XLOOKUP(
  A927,
  CPI!D:D,
  CPI!C:C,
  "",
  -1
)</f>
        <v>3.99</v>
      </c>
      <c r="G927">
        <v>38300</v>
      </c>
    </row>
    <row r="928" spans="1:7">
      <c r="A928" s="1">
        <v>43711</v>
      </c>
      <c r="B928">
        <v>39314</v>
      </c>
      <c r="C928">
        <f>_xlfn.XLOOKUP(A928, USD!A:A, USD!B:B, "")</f>
        <v>72.17</v>
      </c>
      <c r="D928">
        <f>_xlfn.XLOOKUP(A928, Brent!A:A, Brent!B:B, "")</f>
        <v>57.93</v>
      </c>
      <c r="E928">
        <f>_xlfn.XLOOKUP(
  A928,
  Repo!A:A,
  Repo!B:B,
  "",
  -1
)</f>
        <v>5.4</v>
      </c>
      <c r="F928" s="10">
        <f>_xlfn.XLOOKUP(
  A928,
  CPI!D:D,
  CPI!C:C,
  "",
  -1
)</f>
        <v>3.99</v>
      </c>
      <c r="G928">
        <v>38708</v>
      </c>
    </row>
    <row r="929" spans="1:7">
      <c r="A929" s="1">
        <v>43712</v>
      </c>
      <c r="B929">
        <v>39337</v>
      </c>
      <c r="C929">
        <f>_xlfn.XLOOKUP(A929, USD!A:A, USD!B:B, "")</f>
        <v>71.989000000000004</v>
      </c>
      <c r="D929">
        <f>_xlfn.XLOOKUP(A929, Brent!A:A, Brent!B:B, "")</f>
        <v>60.68</v>
      </c>
      <c r="E929">
        <f>_xlfn.XLOOKUP(
  A929,
  Repo!A:A,
  Repo!B:B,
  "",
  -1
)</f>
        <v>5.4</v>
      </c>
      <c r="F929" s="10">
        <f>_xlfn.XLOOKUP(
  A929,
  CPI!D:D,
  CPI!C:C,
  "",
  -1
)</f>
        <v>3.99</v>
      </c>
      <c r="G929">
        <v>39314</v>
      </c>
    </row>
    <row r="930" spans="1:7">
      <c r="A930" s="1">
        <v>43713</v>
      </c>
      <c r="B930">
        <v>38504</v>
      </c>
      <c r="C930">
        <f>_xlfn.XLOOKUP(A930, USD!A:A, USD!B:B, "")</f>
        <v>71.927999999999997</v>
      </c>
      <c r="D930">
        <f>_xlfn.XLOOKUP(A930, Brent!A:A, Brent!B:B, "")</f>
        <v>62.7</v>
      </c>
      <c r="E930">
        <f>_xlfn.XLOOKUP(
  A930,
  Repo!A:A,
  Repo!B:B,
  "",
  -1
)</f>
        <v>5.4</v>
      </c>
      <c r="F930" s="10">
        <f>_xlfn.XLOOKUP(
  A930,
  CPI!D:D,
  CPI!C:C,
  "",
  -1
)</f>
        <v>3.99</v>
      </c>
      <c r="G930">
        <v>39337</v>
      </c>
    </row>
    <row r="931" spans="1:7">
      <c r="A931" s="1">
        <v>43714</v>
      </c>
      <c r="B931">
        <v>38551</v>
      </c>
      <c r="C931">
        <f>_xlfn.XLOOKUP(A931, USD!A:A, USD!B:B, "")</f>
        <v>71.644999999999996</v>
      </c>
      <c r="D931">
        <f>_xlfn.XLOOKUP(A931, Brent!A:A, Brent!B:B, "")</f>
        <v>61.28</v>
      </c>
      <c r="E931">
        <f>_xlfn.XLOOKUP(
  A931,
  Repo!A:A,
  Repo!B:B,
  "",
  -1
)</f>
        <v>5.4</v>
      </c>
      <c r="F931" s="10">
        <f>_xlfn.XLOOKUP(
  A931,
  CPI!D:D,
  CPI!C:C,
  "",
  -1
)</f>
        <v>3.99</v>
      </c>
      <c r="G931">
        <v>38504</v>
      </c>
    </row>
    <row r="932" spans="1:7">
      <c r="A932" s="1">
        <v>43717</v>
      </c>
      <c r="B932">
        <v>38459</v>
      </c>
      <c r="C932">
        <f>_xlfn.XLOOKUP(A932, USD!A:A, USD!B:B, "")</f>
        <v>71.778000000000006</v>
      </c>
      <c r="D932">
        <f>_xlfn.XLOOKUP(A932, Brent!A:A, Brent!B:B, "")</f>
        <v>63.99</v>
      </c>
      <c r="E932">
        <f>_xlfn.XLOOKUP(
  A932,
  Repo!A:A,
  Repo!B:B,
  "",
  -1
)</f>
        <v>5.4</v>
      </c>
      <c r="F932" s="10">
        <f>_xlfn.XLOOKUP(
  A932,
  CPI!D:D,
  CPI!C:C,
  "",
  -1
)</f>
        <v>3.99</v>
      </c>
      <c r="G932">
        <v>38551</v>
      </c>
    </row>
    <row r="933" spans="1:7">
      <c r="A933" s="1">
        <v>43718</v>
      </c>
      <c r="B933">
        <v>38248</v>
      </c>
      <c r="C933">
        <f>_xlfn.XLOOKUP(A933, USD!A:A, USD!B:B, "")</f>
        <v>71.875</v>
      </c>
      <c r="D933">
        <f>_xlfn.XLOOKUP(A933, Brent!A:A, Brent!B:B, "")</f>
        <v>64.67</v>
      </c>
      <c r="E933">
        <f>_xlfn.XLOOKUP(
  A933,
  Repo!A:A,
  Repo!B:B,
  "",
  -1
)</f>
        <v>5.4</v>
      </c>
      <c r="F933" s="10">
        <f>_xlfn.XLOOKUP(
  A933,
  CPI!D:D,
  CPI!C:C,
  "",
  -1
)</f>
        <v>3.99</v>
      </c>
      <c r="G933">
        <v>38459</v>
      </c>
    </row>
    <row r="934" spans="1:7">
      <c r="A934" s="1">
        <v>43719</v>
      </c>
      <c r="B934">
        <v>37965</v>
      </c>
      <c r="C934">
        <f>_xlfn.XLOOKUP(A934, USD!A:A, USD!B:B, "")</f>
        <v>71.576999999999998</v>
      </c>
      <c r="D934">
        <f>_xlfn.XLOOKUP(A934, Brent!A:A, Brent!B:B, "")</f>
        <v>63.02</v>
      </c>
      <c r="E934">
        <f>_xlfn.XLOOKUP(
  A934,
  Repo!A:A,
  Repo!B:B,
  "",
  -1
)</f>
        <v>5.4</v>
      </c>
      <c r="F934" s="10">
        <f>_xlfn.XLOOKUP(
  A934,
  CPI!D:D,
  CPI!C:C,
  "",
  -1
)</f>
        <v>3.99</v>
      </c>
      <c r="G934">
        <v>38248</v>
      </c>
    </row>
    <row r="935" spans="1:7">
      <c r="A935" s="1">
        <v>43720</v>
      </c>
      <c r="B935">
        <v>37747</v>
      </c>
      <c r="C935">
        <f>_xlfn.XLOOKUP(A935, USD!A:A, USD!B:B, "")</f>
        <v>70.966999999999999</v>
      </c>
      <c r="D935">
        <f>_xlfn.XLOOKUP(A935, Brent!A:A, Brent!B:B, "")</f>
        <v>60.76</v>
      </c>
      <c r="E935">
        <f>_xlfn.XLOOKUP(
  A935,
  Repo!A:A,
  Repo!B:B,
  "",
  -1
)</f>
        <v>5.4</v>
      </c>
      <c r="F935" s="10">
        <f>_xlfn.XLOOKUP(
  A935,
  CPI!D:D,
  CPI!C:C,
  "",
  -1
)</f>
        <v>3.99</v>
      </c>
      <c r="G935">
        <v>37965</v>
      </c>
    </row>
    <row r="936" spans="1:7">
      <c r="A936" s="1">
        <v>43721</v>
      </c>
      <c r="B936">
        <v>37517</v>
      </c>
      <c r="C936">
        <f>_xlfn.XLOOKUP(A936, USD!A:A, USD!B:B, "")</f>
        <v>70.984999999999999</v>
      </c>
      <c r="D936">
        <f>_xlfn.XLOOKUP(A936, Brent!A:A, Brent!B:B, "")</f>
        <v>61.25</v>
      </c>
      <c r="E936">
        <f>_xlfn.XLOOKUP(
  A936,
  Repo!A:A,
  Repo!B:B,
  "",
  -1
)</f>
        <v>5.4</v>
      </c>
      <c r="F936" s="10">
        <f>_xlfn.XLOOKUP(
  A936,
  CPI!D:D,
  CPI!C:C,
  "",
  -1
)</f>
        <v>3.99</v>
      </c>
      <c r="G936">
        <v>37747</v>
      </c>
    </row>
    <row r="937" spans="1:7">
      <c r="A937" s="1">
        <v>43724</v>
      </c>
      <c r="B937">
        <v>38161</v>
      </c>
      <c r="C937">
        <f>_xlfn.XLOOKUP(A937, USD!A:A, USD!B:B, "")</f>
        <v>71.58</v>
      </c>
      <c r="D937">
        <f>_xlfn.XLOOKUP(A937, Brent!A:A, Brent!B:B, "")</f>
        <v>68.42</v>
      </c>
      <c r="E937">
        <f>_xlfn.XLOOKUP(
  A937,
  Repo!A:A,
  Repo!B:B,
  "",
  -1
)</f>
        <v>5.4</v>
      </c>
      <c r="F937" s="10">
        <f>_xlfn.XLOOKUP(
  A937,
  CPI!D:D,
  CPI!C:C,
  "",
  -1
)</f>
        <v>3.99</v>
      </c>
      <c r="G937">
        <v>37517</v>
      </c>
    </row>
    <row r="938" spans="1:7">
      <c r="A938" s="1">
        <v>43725</v>
      </c>
      <c r="B938">
        <v>37995</v>
      </c>
      <c r="C938">
        <f>_xlfn.XLOOKUP(A938, USD!A:A, USD!B:B, "")</f>
        <v>71.489999999999995</v>
      </c>
      <c r="D938">
        <f>_xlfn.XLOOKUP(A938, Brent!A:A, Brent!B:B, "")</f>
        <v>65.59</v>
      </c>
      <c r="E938">
        <f>_xlfn.XLOOKUP(
  A938,
  Repo!A:A,
  Repo!B:B,
  "",
  -1
)</f>
        <v>5.4</v>
      </c>
      <c r="F938" s="10">
        <f>_xlfn.XLOOKUP(
  A938,
  CPI!D:D,
  CPI!C:C,
  "",
  -1
)</f>
        <v>3.99</v>
      </c>
      <c r="G938">
        <v>38161</v>
      </c>
    </row>
    <row r="939" spans="1:7">
      <c r="A939" s="1">
        <v>43726</v>
      </c>
      <c r="B939">
        <v>37837</v>
      </c>
      <c r="C939">
        <f>_xlfn.XLOOKUP(A939, USD!A:A, USD!B:B, "")</f>
        <v>71.144999999999996</v>
      </c>
      <c r="D939">
        <f>_xlfn.XLOOKUP(A939, Brent!A:A, Brent!B:B, "")</f>
        <v>64.290000000000006</v>
      </c>
      <c r="E939">
        <f>_xlfn.XLOOKUP(
  A939,
  Repo!A:A,
  Repo!B:B,
  "",
  -1
)</f>
        <v>5.4</v>
      </c>
      <c r="F939" s="10">
        <f>_xlfn.XLOOKUP(
  A939,
  CPI!D:D,
  CPI!C:C,
  "",
  -1
)</f>
        <v>3.99</v>
      </c>
      <c r="G939">
        <v>37995</v>
      </c>
    </row>
    <row r="940" spans="1:7">
      <c r="A940" s="1">
        <v>43727</v>
      </c>
      <c r="B940">
        <v>37672</v>
      </c>
      <c r="C940">
        <f>_xlfn.XLOOKUP(A940, USD!A:A, USD!B:B, "")</f>
        <v>71.375</v>
      </c>
      <c r="D940">
        <f>_xlfn.XLOOKUP(A940, Brent!A:A, Brent!B:B, "")</f>
        <v>64.25</v>
      </c>
      <c r="E940">
        <f>_xlfn.XLOOKUP(
  A940,
  Repo!A:A,
  Repo!B:B,
  "",
  -1
)</f>
        <v>5.4</v>
      </c>
      <c r="F940" s="10">
        <f>_xlfn.XLOOKUP(
  A940,
  CPI!D:D,
  CPI!C:C,
  "",
  -1
)</f>
        <v>3.99</v>
      </c>
      <c r="G940">
        <v>37837</v>
      </c>
    </row>
    <row r="941" spans="1:7">
      <c r="A941" s="1">
        <v>43728</v>
      </c>
      <c r="B941">
        <v>37669</v>
      </c>
      <c r="C941">
        <f>_xlfn.XLOOKUP(A941, USD!A:A, USD!B:B, "")</f>
        <v>71.075000000000003</v>
      </c>
      <c r="D941">
        <f>_xlfn.XLOOKUP(A941, Brent!A:A, Brent!B:B, "")</f>
        <v>65.23</v>
      </c>
      <c r="E941">
        <f>_xlfn.XLOOKUP(
  A941,
  Repo!A:A,
  Repo!B:B,
  "",
  -1
)</f>
        <v>5.4</v>
      </c>
      <c r="F941" s="10">
        <f>_xlfn.XLOOKUP(
  A941,
  CPI!D:D,
  CPI!C:C,
  "",
  -1
)</f>
        <v>3.99</v>
      </c>
      <c r="G941">
        <v>37672</v>
      </c>
    </row>
    <row r="942" spans="1:7">
      <c r="A942" s="1">
        <v>43731</v>
      </c>
      <c r="B942">
        <v>37905</v>
      </c>
      <c r="C942">
        <f>_xlfn.XLOOKUP(A942, USD!A:A, USD!B:B, "")</f>
        <v>70.799000000000007</v>
      </c>
      <c r="D942">
        <f>_xlfn.XLOOKUP(A942, Brent!A:A, Brent!B:B, "")</f>
        <v>64.66</v>
      </c>
      <c r="E942">
        <f>_xlfn.XLOOKUP(
  A942,
  Repo!A:A,
  Repo!B:B,
  "",
  -1
)</f>
        <v>5.4</v>
      </c>
      <c r="F942" s="10">
        <f>_xlfn.XLOOKUP(
  A942,
  CPI!D:D,
  CPI!C:C,
  "",
  -1
)</f>
        <v>3.99</v>
      </c>
      <c r="G942">
        <v>37669</v>
      </c>
    </row>
    <row r="943" spans="1:7">
      <c r="A943" s="1">
        <v>43732</v>
      </c>
      <c r="B943">
        <v>38091</v>
      </c>
      <c r="C943">
        <f>_xlfn.XLOOKUP(A943, USD!A:A, USD!B:B, "")</f>
        <v>70.971000000000004</v>
      </c>
      <c r="D943">
        <f>_xlfn.XLOOKUP(A943, Brent!A:A, Brent!B:B, "")</f>
        <v>64.13</v>
      </c>
      <c r="E943">
        <f>_xlfn.XLOOKUP(
  A943,
  Repo!A:A,
  Repo!B:B,
  "",
  -1
)</f>
        <v>5.4</v>
      </c>
      <c r="F943" s="10">
        <f>_xlfn.XLOOKUP(
  A943,
  CPI!D:D,
  CPI!C:C,
  "",
  -1
)</f>
        <v>3.99</v>
      </c>
      <c r="G943">
        <v>37905</v>
      </c>
    </row>
    <row r="944" spans="1:7">
      <c r="A944" s="1">
        <v>43733</v>
      </c>
      <c r="B944">
        <v>37571</v>
      </c>
      <c r="C944">
        <f>_xlfn.XLOOKUP(A944, USD!A:A, USD!B:B, "")</f>
        <v>70.988</v>
      </c>
      <c r="D944">
        <f>_xlfn.XLOOKUP(A944, Brent!A:A, Brent!B:B, "")</f>
        <v>62.41</v>
      </c>
      <c r="E944">
        <f>_xlfn.XLOOKUP(
  A944,
  Repo!A:A,
  Repo!B:B,
  "",
  -1
)</f>
        <v>5.4</v>
      </c>
      <c r="F944" s="10">
        <f>_xlfn.XLOOKUP(
  A944,
  CPI!D:D,
  CPI!C:C,
  "",
  -1
)</f>
        <v>3.99</v>
      </c>
      <c r="G944">
        <v>38091</v>
      </c>
    </row>
    <row r="945" spans="1:7">
      <c r="A945" s="1">
        <v>43734</v>
      </c>
      <c r="B945">
        <v>37773</v>
      </c>
      <c r="C945">
        <f>_xlfn.XLOOKUP(A945, USD!A:A, USD!B:B, "")</f>
        <v>70.963999999999999</v>
      </c>
      <c r="D945">
        <f>_xlfn.XLOOKUP(A945, Brent!A:A, Brent!B:B, "")</f>
        <v>62.08</v>
      </c>
      <c r="E945">
        <f>_xlfn.XLOOKUP(
  A945,
  Repo!A:A,
  Repo!B:B,
  "",
  -1
)</f>
        <v>5.4</v>
      </c>
      <c r="F945" s="10">
        <f>_xlfn.XLOOKUP(
  A945,
  CPI!D:D,
  CPI!C:C,
  "",
  -1
)</f>
        <v>3.99</v>
      </c>
      <c r="G945">
        <v>37571</v>
      </c>
    </row>
    <row r="946" spans="1:7">
      <c r="A946" s="1">
        <v>43735</v>
      </c>
      <c r="B946">
        <v>37706</v>
      </c>
      <c r="C946">
        <f>_xlfn.XLOOKUP(A946, USD!A:A, USD!B:B, "")</f>
        <v>70.509</v>
      </c>
      <c r="D946">
        <f>_xlfn.XLOOKUP(A946, Brent!A:A, Brent!B:B, "")</f>
        <v>62.48</v>
      </c>
      <c r="E946">
        <f>_xlfn.XLOOKUP(
  A946,
  Repo!A:A,
  Repo!B:B,
  "",
  -1
)</f>
        <v>5.4</v>
      </c>
      <c r="F946" s="10">
        <f>_xlfn.XLOOKUP(
  A946,
  CPI!D:D,
  CPI!C:C,
  "",
  -1
)</f>
        <v>3.99</v>
      </c>
      <c r="G946">
        <v>37773</v>
      </c>
    </row>
    <row r="947" spans="1:7">
      <c r="A947" s="1">
        <v>43738</v>
      </c>
      <c r="B947">
        <v>36873</v>
      </c>
      <c r="C947">
        <f>_xlfn.XLOOKUP(A947, USD!A:A, USD!B:B, "")</f>
        <v>70.644999999999996</v>
      </c>
      <c r="D947">
        <f>_xlfn.XLOOKUP(A947, Brent!A:A, Brent!B:B, "")</f>
        <v>60.99</v>
      </c>
      <c r="E947">
        <f>_xlfn.XLOOKUP(
  A947,
  Repo!A:A,
  Repo!B:B,
  "",
  -1
)</f>
        <v>5.4</v>
      </c>
      <c r="F947" s="10">
        <f>_xlfn.XLOOKUP(
  A947,
  CPI!D:D,
  CPI!C:C,
  "",
  -1
)</f>
        <v>3.99</v>
      </c>
      <c r="G947">
        <v>37706</v>
      </c>
    </row>
    <row r="948" spans="1:7">
      <c r="A948" s="1">
        <v>43739</v>
      </c>
      <c r="B948">
        <v>37377</v>
      </c>
      <c r="C948">
        <f>_xlfn.XLOOKUP(A948, USD!A:A, USD!B:B, "")</f>
        <v>71.11</v>
      </c>
      <c r="D948">
        <f>_xlfn.XLOOKUP(A948, Brent!A:A, Brent!B:B, "")</f>
        <v>60.06</v>
      </c>
      <c r="E948">
        <f>_xlfn.XLOOKUP(
  A948,
  Repo!A:A,
  Repo!B:B,
  "",
  -1
)</f>
        <v>5.4</v>
      </c>
      <c r="F948" s="10">
        <f>_xlfn.XLOOKUP(
  A948,
  CPI!D:D,
  CPI!C:C,
  "",
  -1
)</f>
        <v>4.62</v>
      </c>
      <c r="G948">
        <v>36873</v>
      </c>
    </row>
    <row r="949" spans="1:7">
      <c r="A949" s="1">
        <v>43741</v>
      </c>
      <c r="B949">
        <v>38012</v>
      </c>
      <c r="C949">
        <f>_xlfn.XLOOKUP(A949, USD!A:A, USD!B:B, "")</f>
        <v>71.03</v>
      </c>
      <c r="D949">
        <f>_xlfn.XLOOKUP(A949, Brent!A:A, Brent!B:B, "")</f>
        <v>58.01</v>
      </c>
      <c r="E949">
        <f>_xlfn.XLOOKUP(
  A949,
  Repo!A:A,
  Repo!B:B,
  "",
  -1
)</f>
        <v>5.4</v>
      </c>
      <c r="F949" s="10">
        <f>_xlfn.XLOOKUP(
  A949,
  CPI!D:D,
  CPI!C:C,
  "",
  -1
)</f>
        <v>4.62</v>
      </c>
      <c r="G949">
        <v>37377</v>
      </c>
    </row>
    <row r="950" spans="1:7">
      <c r="A950" s="1">
        <v>43742</v>
      </c>
      <c r="B950">
        <v>38002</v>
      </c>
      <c r="C950">
        <f>_xlfn.XLOOKUP(A950, USD!A:A, USD!B:B, "")</f>
        <v>70.825000000000003</v>
      </c>
      <c r="D950">
        <f>_xlfn.XLOOKUP(A950, Brent!A:A, Brent!B:B, "")</f>
        <v>59.13</v>
      </c>
      <c r="E950">
        <f>_xlfn.XLOOKUP(
  A950,
  Repo!A:A,
  Repo!B:B,
  "",
  -1
)</f>
        <v>5.4</v>
      </c>
      <c r="F950" s="10">
        <f>_xlfn.XLOOKUP(
  A950,
  CPI!D:D,
  CPI!C:C,
  "",
  -1
)</f>
        <v>4.62</v>
      </c>
      <c r="G950">
        <v>38012</v>
      </c>
    </row>
    <row r="951" spans="1:7">
      <c r="A951" s="1">
        <v>43745</v>
      </c>
      <c r="B951">
        <v>37978</v>
      </c>
      <c r="C951">
        <f>_xlfn.XLOOKUP(A951, USD!A:A, USD!B:B, "")</f>
        <v>70.974999999999994</v>
      </c>
      <c r="D951">
        <f>_xlfn.XLOOKUP(A951, Brent!A:A, Brent!B:B, "")</f>
        <v>59.46</v>
      </c>
      <c r="E951">
        <f>_xlfn.XLOOKUP(
  A951,
  Repo!A:A,
  Repo!B:B,
  "",
  -1
)</f>
        <v>5.4</v>
      </c>
      <c r="F951" s="10">
        <f>_xlfn.XLOOKUP(
  A951,
  CPI!D:D,
  CPI!C:C,
  "",
  -1
)</f>
        <v>4.62</v>
      </c>
      <c r="G951">
        <v>38002</v>
      </c>
    </row>
    <row r="952" spans="1:7">
      <c r="A952" s="1">
        <v>43746</v>
      </c>
      <c r="B952">
        <v>38242</v>
      </c>
      <c r="C952">
        <f>_xlfn.XLOOKUP(A952, USD!A:A, USD!B:B, "")</f>
        <v>71.22</v>
      </c>
      <c r="D952">
        <f>_xlfn.XLOOKUP(A952, Brent!A:A, Brent!B:B, "")</f>
        <v>58.14</v>
      </c>
      <c r="E952">
        <f>_xlfn.XLOOKUP(
  A952,
  Repo!A:A,
  Repo!B:B,
  "",
  -1
)</f>
        <v>5.4</v>
      </c>
      <c r="F952" s="10">
        <f>_xlfn.XLOOKUP(
  A952,
  CPI!D:D,
  CPI!C:C,
  "",
  -1
)</f>
        <v>4.62</v>
      </c>
      <c r="G952">
        <v>37978</v>
      </c>
    </row>
    <row r="953" spans="1:7">
      <c r="A953" s="1">
        <v>43747</v>
      </c>
      <c r="B953">
        <v>38384</v>
      </c>
      <c r="C953">
        <f>_xlfn.XLOOKUP(A953, USD!A:A, USD!B:B, "")</f>
        <v>71.12</v>
      </c>
      <c r="D953">
        <f>_xlfn.XLOOKUP(A953, Brent!A:A, Brent!B:B, "")</f>
        <v>59.7</v>
      </c>
      <c r="E953">
        <f>_xlfn.XLOOKUP(
  A953,
  Repo!A:A,
  Repo!B:B,
  "",
  -1
)</f>
        <v>5.4</v>
      </c>
      <c r="F953" s="10">
        <f>_xlfn.XLOOKUP(
  A953,
  CPI!D:D,
  CPI!C:C,
  "",
  -1
)</f>
        <v>4.62</v>
      </c>
      <c r="G953">
        <v>38242</v>
      </c>
    </row>
    <row r="954" spans="1:7">
      <c r="A954" s="1">
        <v>43748</v>
      </c>
      <c r="B954">
        <v>38120</v>
      </c>
      <c r="C954">
        <f>_xlfn.XLOOKUP(A954, USD!A:A, USD!B:B, "")</f>
        <v>70.989999999999995</v>
      </c>
      <c r="D954">
        <f>_xlfn.XLOOKUP(A954, Brent!A:A, Brent!B:B, "")</f>
        <v>59.08</v>
      </c>
      <c r="E954">
        <f>_xlfn.XLOOKUP(
  A954,
  Repo!A:A,
  Repo!B:B,
  "",
  -1
)</f>
        <v>5.4</v>
      </c>
      <c r="F954" s="10">
        <f>_xlfn.XLOOKUP(
  A954,
  CPI!D:D,
  CPI!C:C,
  "",
  -1
)</f>
        <v>4.62</v>
      </c>
      <c r="G954">
        <v>38384</v>
      </c>
    </row>
    <row r="955" spans="1:7">
      <c r="A955" s="1">
        <v>43749</v>
      </c>
      <c r="B955">
        <v>37839</v>
      </c>
      <c r="C955">
        <f>_xlfn.XLOOKUP(A955, USD!A:A, USD!B:B, "")</f>
        <v>70.924000000000007</v>
      </c>
      <c r="D955">
        <f>_xlfn.XLOOKUP(A955, Brent!A:A, Brent!B:B, "")</f>
        <v>60.59</v>
      </c>
      <c r="E955">
        <f>_xlfn.XLOOKUP(
  A955,
  Repo!A:A,
  Repo!B:B,
  "",
  -1
)</f>
        <v>5.4</v>
      </c>
      <c r="F955" s="10">
        <f>_xlfn.XLOOKUP(
  A955,
  CPI!D:D,
  CPI!C:C,
  "",
  -1
)</f>
        <v>4.62</v>
      </c>
      <c r="G955">
        <v>38120</v>
      </c>
    </row>
    <row r="956" spans="1:7">
      <c r="A956" s="1">
        <v>43752</v>
      </c>
      <c r="B956">
        <v>38250</v>
      </c>
      <c r="C956">
        <f>_xlfn.XLOOKUP(A956, USD!A:A, USD!B:B, "")</f>
        <v>71.236999999999995</v>
      </c>
      <c r="D956">
        <f>_xlfn.XLOOKUP(A956, Brent!A:A, Brent!B:B, "")</f>
        <v>58.81</v>
      </c>
      <c r="E956">
        <f>_xlfn.XLOOKUP(
  A956,
  Repo!A:A,
  Repo!B:B,
  "",
  -1
)</f>
        <v>5.4</v>
      </c>
      <c r="F956" s="10">
        <f>_xlfn.XLOOKUP(
  A956,
  CPI!D:D,
  CPI!C:C,
  "",
  -1
)</f>
        <v>4.62</v>
      </c>
      <c r="G956">
        <v>37839</v>
      </c>
    </row>
    <row r="957" spans="1:7">
      <c r="A957" s="1">
        <v>43753</v>
      </c>
      <c r="B957">
        <v>38067</v>
      </c>
      <c r="C957">
        <f>_xlfn.XLOOKUP(A957, USD!A:A, USD!B:B, "")</f>
        <v>71.5</v>
      </c>
      <c r="D957">
        <f>_xlfn.XLOOKUP(A957, Brent!A:A, Brent!B:B, "")</f>
        <v>59.19</v>
      </c>
      <c r="E957">
        <f>_xlfn.XLOOKUP(
  A957,
  Repo!A:A,
  Repo!B:B,
  "",
  -1
)</f>
        <v>5.4</v>
      </c>
      <c r="F957" s="10">
        <f>_xlfn.XLOOKUP(
  A957,
  CPI!D:D,
  CPI!C:C,
  "",
  -1
)</f>
        <v>4.62</v>
      </c>
      <c r="G957">
        <v>38250</v>
      </c>
    </row>
    <row r="958" spans="1:7">
      <c r="A958" s="1">
        <v>43754</v>
      </c>
      <c r="B958">
        <v>38248</v>
      </c>
      <c r="C958">
        <f>_xlfn.XLOOKUP(A958, USD!A:A, USD!B:B, "")</f>
        <v>71.364000000000004</v>
      </c>
      <c r="D958">
        <f>_xlfn.XLOOKUP(A958, Brent!A:A, Brent!B:B, "")</f>
        <v>59.3</v>
      </c>
      <c r="E958">
        <f>_xlfn.XLOOKUP(
  A958,
  Repo!A:A,
  Repo!B:B,
  "",
  -1
)</f>
        <v>5.4</v>
      </c>
      <c r="F958" s="10">
        <f>_xlfn.XLOOKUP(
  A958,
  CPI!D:D,
  CPI!C:C,
  "",
  -1
)</f>
        <v>4.62</v>
      </c>
      <c r="G958">
        <v>38067</v>
      </c>
    </row>
    <row r="959" spans="1:7">
      <c r="A959" s="1">
        <v>43755</v>
      </c>
      <c r="B959">
        <v>38216</v>
      </c>
      <c r="C959">
        <f>_xlfn.XLOOKUP(A959, USD!A:A, USD!B:B, "")</f>
        <v>71.13</v>
      </c>
      <c r="D959">
        <f>_xlfn.XLOOKUP(A959, Brent!A:A, Brent!B:B, "")</f>
        <v>59.35</v>
      </c>
      <c r="E959">
        <f>_xlfn.XLOOKUP(
  A959,
  Repo!A:A,
  Repo!B:B,
  "",
  -1
)</f>
        <v>5.4</v>
      </c>
      <c r="F959" s="10">
        <f>_xlfn.XLOOKUP(
  A959,
  CPI!D:D,
  CPI!C:C,
  "",
  -1
)</f>
        <v>4.62</v>
      </c>
      <c r="G959">
        <v>38248</v>
      </c>
    </row>
    <row r="960" spans="1:7">
      <c r="A960" s="1">
        <v>43756</v>
      </c>
      <c r="B960">
        <v>38121</v>
      </c>
      <c r="C960">
        <f>_xlfn.XLOOKUP(A960, USD!A:A, USD!B:B, "")</f>
        <v>71.09</v>
      </c>
      <c r="D960">
        <f>_xlfn.XLOOKUP(A960, Brent!A:A, Brent!B:B, "")</f>
        <v>59.96</v>
      </c>
      <c r="E960">
        <f>_xlfn.XLOOKUP(
  A960,
  Repo!A:A,
  Repo!B:B,
  "",
  -1
)</f>
        <v>5.4</v>
      </c>
      <c r="F960" s="10">
        <f>_xlfn.XLOOKUP(
  A960,
  CPI!D:D,
  CPI!C:C,
  "",
  -1
)</f>
        <v>4.62</v>
      </c>
      <c r="G960">
        <v>38216</v>
      </c>
    </row>
    <row r="961" spans="1:7">
      <c r="A961" s="1">
        <v>43759</v>
      </c>
      <c r="B961">
        <v>37969</v>
      </c>
      <c r="C961">
        <f>_xlfn.XLOOKUP(A961, USD!A:A, USD!B:B, "")</f>
        <v>70.924999999999997</v>
      </c>
      <c r="D961">
        <f>_xlfn.XLOOKUP(A961, Brent!A:A, Brent!B:B, "")</f>
        <v>58.95</v>
      </c>
      <c r="E961">
        <f>_xlfn.XLOOKUP(
  A961,
  Repo!A:A,
  Repo!B:B,
  "",
  -1
)</f>
        <v>5.4</v>
      </c>
      <c r="F961" s="10">
        <f>_xlfn.XLOOKUP(
  A961,
  CPI!D:D,
  CPI!C:C,
  "",
  -1
)</f>
        <v>4.62</v>
      </c>
      <c r="G961">
        <v>38121</v>
      </c>
    </row>
    <row r="962" spans="1:7">
      <c r="A962" s="1">
        <v>43760</v>
      </c>
      <c r="B962">
        <v>38025</v>
      </c>
      <c r="C962">
        <f>_xlfn.XLOOKUP(A962, USD!A:A, USD!B:B, "")</f>
        <v>70.81</v>
      </c>
      <c r="D962">
        <f>_xlfn.XLOOKUP(A962, Brent!A:A, Brent!B:B, "")</f>
        <v>60.5</v>
      </c>
      <c r="E962">
        <f>_xlfn.XLOOKUP(
  A962,
  Repo!A:A,
  Repo!B:B,
  "",
  -1
)</f>
        <v>5.4</v>
      </c>
      <c r="F962" s="10">
        <f>_xlfn.XLOOKUP(
  A962,
  CPI!D:D,
  CPI!C:C,
  "",
  -1
)</f>
        <v>4.62</v>
      </c>
      <c r="G962">
        <v>37969</v>
      </c>
    </row>
    <row r="963" spans="1:7">
      <c r="A963" s="1">
        <v>43761</v>
      </c>
      <c r="B963">
        <v>38124</v>
      </c>
      <c r="C963">
        <f>_xlfn.XLOOKUP(A963, USD!A:A, USD!B:B, "")</f>
        <v>70.724999999999994</v>
      </c>
      <c r="D963">
        <f>_xlfn.XLOOKUP(A963, Brent!A:A, Brent!B:B, "")</f>
        <v>60.52</v>
      </c>
      <c r="E963">
        <f>_xlfn.XLOOKUP(
  A963,
  Repo!A:A,
  Repo!B:B,
  "",
  -1
)</f>
        <v>5.4</v>
      </c>
      <c r="F963" s="10">
        <f>_xlfn.XLOOKUP(
  A963,
  CPI!D:D,
  CPI!C:C,
  "",
  -1
)</f>
        <v>4.62</v>
      </c>
      <c r="G963">
        <v>38025</v>
      </c>
    </row>
    <row r="964" spans="1:7">
      <c r="A964" s="1">
        <v>43762</v>
      </c>
      <c r="B964">
        <v>38452</v>
      </c>
      <c r="C964">
        <f>_xlfn.XLOOKUP(A964, USD!A:A, USD!B:B, "")</f>
        <v>70.965000000000003</v>
      </c>
      <c r="D964">
        <f>_xlfn.XLOOKUP(A964, Brent!A:A, Brent!B:B, "")</f>
        <v>61.71</v>
      </c>
      <c r="E964">
        <f>_xlfn.XLOOKUP(
  A964,
  Repo!A:A,
  Repo!B:B,
  "",
  -1
)</f>
        <v>5.4</v>
      </c>
      <c r="F964" s="10">
        <f>_xlfn.XLOOKUP(
  A964,
  CPI!D:D,
  CPI!C:C,
  "",
  -1
)</f>
        <v>4.62</v>
      </c>
      <c r="G964">
        <v>38124</v>
      </c>
    </row>
    <row r="965" spans="1:7">
      <c r="A965" s="1">
        <v>43763</v>
      </c>
      <c r="B965">
        <v>38362</v>
      </c>
      <c r="C965">
        <f>_xlfn.XLOOKUP(A965, USD!A:A, USD!B:B, "")</f>
        <v>70.819999999999993</v>
      </c>
      <c r="D965">
        <f>_xlfn.XLOOKUP(A965, Brent!A:A, Brent!B:B, "")</f>
        <v>62.06</v>
      </c>
      <c r="E965">
        <f>_xlfn.XLOOKUP(
  A965,
  Repo!A:A,
  Repo!B:B,
  "",
  -1
)</f>
        <v>5.4</v>
      </c>
      <c r="F965" s="10">
        <f>_xlfn.XLOOKUP(
  A965,
  CPI!D:D,
  CPI!C:C,
  "",
  -1
)</f>
        <v>4.62</v>
      </c>
      <c r="G965">
        <v>38452</v>
      </c>
    </row>
    <row r="966" spans="1:7">
      <c r="A966" s="1">
        <v>43766</v>
      </c>
      <c r="B966">
        <v>38103</v>
      </c>
      <c r="C966">
        <f>_xlfn.XLOOKUP(A966, USD!A:A, USD!B:B, "")</f>
        <v>70.745000000000005</v>
      </c>
      <c r="D966">
        <f>_xlfn.XLOOKUP(A966, Brent!A:A, Brent!B:B, "")</f>
        <v>60.39</v>
      </c>
      <c r="E966">
        <f>_xlfn.XLOOKUP(
  A966,
  Repo!A:A,
  Repo!B:B,
  "",
  -1
)</f>
        <v>5.4</v>
      </c>
      <c r="F966" s="10">
        <f>_xlfn.XLOOKUP(
  A966,
  CPI!D:D,
  CPI!C:C,
  "",
  -1
)</f>
        <v>4.62</v>
      </c>
      <c r="G966">
        <v>38362</v>
      </c>
    </row>
    <row r="967" spans="1:7">
      <c r="A967" s="1">
        <v>43767</v>
      </c>
      <c r="B967">
        <v>38110</v>
      </c>
      <c r="C967">
        <f>_xlfn.XLOOKUP(A967, USD!A:A, USD!B:B, "")</f>
        <v>70.89</v>
      </c>
      <c r="D967">
        <f>_xlfn.XLOOKUP(A967, Brent!A:A, Brent!B:B, "")</f>
        <v>61.05</v>
      </c>
      <c r="E967">
        <f>_xlfn.XLOOKUP(
  A967,
  Repo!A:A,
  Repo!B:B,
  "",
  -1
)</f>
        <v>5.4</v>
      </c>
      <c r="F967" s="10">
        <f>_xlfn.XLOOKUP(
  A967,
  CPI!D:D,
  CPI!C:C,
  "",
  -1
)</f>
        <v>4.62</v>
      </c>
      <c r="G967">
        <v>38103</v>
      </c>
    </row>
    <row r="968" spans="1:7">
      <c r="A968" s="1">
        <v>43768</v>
      </c>
      <c r="B968">
        <v>38369</v>
      </c>
      <c r="C968">
        <f>_xlfn.XLOOKUP(A968, USD!A:A, USD!B:B, "")</f>
        <v>70.951999999999998</v>
      </c>
      <c r="D968">
        <f>_xlfn.XLOOKUP(A968, Brent!A:A, Brent!B:B, "")</f>
        <v>60.22</v>
      </c>
      <c r="E968">
        <f>_xlfn.XLOOKUP(
  A968,
  Repo!A:A,
  Repo!B:B,
  "",
  -1
)</f>
        <v>5.4</v>
      </c>
      <c r="F968" s="10">
        <f>_xlfn.XLOOKUP(
  A968,
  CPI!D:D,
  CPI!C:C,
  "",
  -1
)</f>
        <v>4.62</v>
      </c>
      <c r="G968">
        <v>38110</v>
      </c>
    </row>
    <row r="969" spans="1:7">
      <c r="A969" s="1">
        <v>43769</v>
      </c>
      <c r="B969">
        <v>38842</v>
      </c>
      <c r="C969">
        <f>_xlfn.XLOOKUP(A969, USD!A:A, USD!B:B, "")</f>
        <v>70.98</v>
      </c>
      <c r="D969">
        <f>_xlfn.XLOOKUP(A969, Brent!A:A, Brent!B:B, "")</f>
        <v>59.3</v>
      </c>
      <c r="E969">
        <f>_xlfn.XLOOKUP(
  A969,
  Repo!A:A,
  Repo!B:B,
  "",
  -1
)</f>
        <v>5.15</v>
      </c>
      <c r="F969" s="10">
        <f>_xlfn.XLOOKUP(
  A969,
  CPI!D:D,
  CPI!C:C,
  "",
  -1
)</f>
        <v>4.62</v>
      </c>
      <c r="G969">
        <v>38369</v>
      </c>
    </row>
    <row r="970" spans="1:7">
      <c r="A970" s="1">
        <v>43770</v>
      </c>
      <c r="B970">
        <v>38652</v>
      </c>
      <c r="C970">
        <f>_xlfn.XLOOKUP(A970, USD!A:A, USD!B:B, "")</f>
        <v>70.760000000000005</v>
      </c>
      <c r="D970">
        <f>_xlfn.XLOOKUP(A970, Brent!A:A, Brent!B:B, "")</f>
        <v>60.17</v>
      </c>
      <c r="E970">
        <f>_xlfn.XLOOKUP(
  A970,
  Repo!A:A,
  Repo!B:B,
  "",
  -1
)</f>
        <v>5.15</v>
      </c>
      <c r="F970" s="10">
        <f>_xlfn.XLOOKUP(
  A970,
  CPI!D:D,
  CPI!C:C,
  "",
  -1
)</f>
        <v>5.54</v>
      </c>
      <c r="G970">
        <v>38842</v>
      </c>
    </row>
    <row r="971" spans="1:7">
      <c r="A971" s="1">
        <v>43773</v>
      </c>
      <c r="B971">
        <v>38734</v>
      </c>
      <c r="C971">
        <f>_xlfn.XLOOKUP(A971, USD!A:A, USD!B:B, "")</f>
        <v>70.789000000000001</v>
      </c>
      <c r="D971">
        <f>_xlfn.XLOOKUP(A971, Brent!A:A, Brent!B:B, "")</f>
        <v>62.52</v>
      </c>
      <c r="E971">
        <f>_xlfn.XLOOKUP(
  A971,
  Repo!A:A,
  Repo!B:B,
  "",
  -1
)</f>
        <v>5.15</v>
      </c>
      <c r="F971" s="10">
        <f>_xlfn.XLOOKUP(
  A971,
  CPI!D:D,
  CPI!C:C,
  "",
  -1
)</f>
        <v>5.54</v>
      </c>
      <c r="G971">
        <v>38652</v>
      </c>
    </row>
    <row r="972" spans="1:7">
      <c r="A972" s="1">
        <v>43774</v>
      </c>
      <c r="B972">
        <v>38458</v>
      </c>
      <c r="C972">
        <f>_xlfn.XLOOKUP(A972, USD!A:A, USD!B:B, "")</f>
        <v>70.775000000000006</v>
      </c>
      <c r="D972">
        <f>_xlfn.XLOOKUP(A972, Brent!A:A, Brent!B:B, "")</f>
        <v>62.72</v>
      </c>
      <c r="E972">
        <f>_xlfn.XLOOKUP(
  A972,
  Repo!A:A,
  Repo!B:B,
  "",
  -1
)</f>
        <v>5.15</v>
      </c>
      <c r="F972" s="10">
        <f>_xlfn.XLOOKUP(
  A972,
  CPI!D:D,
  CPI!C:C,
  "",
  -1
)</f>
        <v>5.54</v>
      </c>
      <c r="G972">
        <v>38734</v>
      </c>
    </row>
    <row r="973" spans="1:7">
      <c r="A973" s="1">
        <v>43775</v>
      </c>
      <c r="B973">
        <v>38239</v>
      </c>
      <c r="C973">
        <f>_xlfn.XLOOKUP(A973, USD!A:A, USD!B:B, "")</f>
        <v>71.010000000000005</v>
      </c>
      <c r="D973">
        <f>_xlfn.XLOOKUP(A973, Brent!A:A, Brent!B:B, "")</f>
        <v>62.11</v>
      </c>
      <c r="E973">
        <f>_xlfn.XLOOKUP(
  A973,
  Repo!A:A,
  Repo!B:B,
  "",
  -1
)</f>
        <v>5.15</v>
      </c>
      <c r="F973" s="10">
        <f>_xlfn.XLOOKUP(
  A973,
  CPI!D:D,
  CPI!C:C,
  "",
  -1
)</f>
        <v>5.54</v>
      </c>
      <c r="G973">
        <v>38458</v>
      </c>
    </row>
    <row r="974" spans="1:7">
      <c r="A974" s="1">
        <v>43776</v>
      </c>
      <c r="B974">
        <v>37595</v>
      </c>
      <c r="C974">
        <f>_xlfn.XLOOKUP(A974, USD!A:A, USD!B:B, "")</f>
        <v>71.046999999999997</v>
      </c>
      <c r="D974">
        <f>_xlfn.XLOOKUP(A974, Brent!A:A, Brent!B:B, "")</f>
        <v>62.6</v>
      </c>
      <c r="E974">
        <f>_xlfn.XLOOKUP(
  A974,
  Repo!A:A,
  Repo!B:B,
  "",
  -1
)</f>
        <v>5.15</v>
      </c>
      <c r="F974" s="10">
        <f>_xlfn.XLOOKUP(
  A974,
  CPI!D:D,
  CPI!C:C,
  "",
  -1
)</f>
        <v>5.54</v>
      </c>
      <c r="G974">
        <v>38239</v>
      </c>
    </row>
    <row r="975" spans="1:7">
      <c r="A975" s="1">
        <v>43777</v>
      </c>
      <c r="B975">
        <v>37705</v>
      </c>
      <c r="C975">
        <f>_xlfn.XLOOKUP(A975, USD!A:A, USD!B:B, "")</f>
        <v>71.36</v>
      </c>
      <c r="D975">
        <f>_xlfn.XLOOKUP(A975, Brent!A:A, Brent!B:B, "")</f>
        <v>62</v>
      </c>
      <c r="E975">
        <f>_xlfn.XLOOKUP(
  A975,
  Repo!A:A,
  Repo!B:B,
  "",
  -1
)</f>
        <v>5.15</v>
      </c>
      <c r="F975" s="10">
        <f>_xlfn.XLOOKUP(
  A975,
  CPI!D:D,
  CPI!C:C,
  "",
  -1
)</f>
        <v>5.54</v>
      </c>
      <c r="G975">
        <v>37595</v>
      </c>
    </row>
    <row r="976" spans="1:7">
      <c r="A976" s="1">
        <v>43780</v>
      </c>
      <c r="B976">
        <v>37688</v>
      </c>
      <c r="C976">
        <f>_xlfn.XLOOKUP(A976, USD!A:A, USD!B:B, "")</f>
        <v>71.569999999999993</v>
      </c>
      <c r="D976">
        <f>_xlfn.XLOOKUP(A976, Brent!A:A, Brent!B:B, "")</f>
        <v>62.58</v>
      </c>
      <c r="E976">
        <f>_xlfn.XLOOKUP(
  A976,
  Repo!A:A,
  Repo!B:B,
  "",
  -1
)</f>
        <v>5.15</v>
      </c>
      <c r="F976" s="10">
        <f>_xlfn.XLOOKUP(
  A976,
  CPI!D:D,
  CPI!C:C,
  "",
  -1
)</f>
        <v>5.54</v>
      </c>
      <c r="G976">
        <v>37705</v>
      </c>
    </row>
    <row r="977" spans="1:7">
      <c r="A977" s="1">
        <v>43781</v>
      </c>
      <c r="B977">
        <v>37740</v>
      </c>
      <c r="C977">
        <f>_xlfn.XLOOKUP(A977, USD!A:A, USD!B:B, "")</f>
        <v>71.790000000000006</v>
      </c>
      <c r="D977">
        <f>_xlfn.XLOOKUP(A977, Brent!A:A, Brent!B:B, "")</f>
        <v>62.19</v>
      </c>
      <c r="E977">
        <f>_xlfn.XLOOKUP(
  A977,
  Repo!A:A,
  Repo!B:B,
  "",
  -1
)</f>
        <v>5.15</v>
      </c>
      <c r="F977" s="10">
        <f>_xlfn.XLOOKUP(
  A977,
  CPI!D:D,
  CPI!C:C,
  "",
  -1
)</f>
        <v>5.54</v>
      </c>
      <c r="G977">
        <v>37688</v>
      </c>
    </row>
    <row r="978" spans="1:7">
      <c r="A978" s="1">
        <v>43782</v>
      </c>
      <c r="B978">
        <v>38107</v>
      </c>
      <c r="C978">
        <f>_xlfn.XLOOKUP(A978, USD!A:A, USD!B:B, "")</f>
        <v>72.150000000000006</v>
      </c>
      <c r="D978">
        <f>_xlfn.XLOOKUP(A978, Brent!A:A, Brent!B:B, "")</f>
        <v>62.27</v>
      </c>
      <c r="E978">
        <f>_xlfn.XLOOKUP(
  A978,
  Repo!A:A,
  Repo!B:B,
  "",
  -1
)</f>
        <v>5.15</v>
      </c>
      <c r="F978" s="10">
        <f>_xlfn.XLOOKUP(
  A978,
  CPI!D:D,
  CPI!C:C,
  "",
  -1
)</f>
        <v>5.54</v>
      </c>
      <c r="G978">
        <v>37740</v>
      </c>
    </row>
    <row r="979" spans="1:7">
      <c r="A979" s="1">
        <v>43783</v>
      </c>
      <c r="B979">
        <v>38269</v>
      </c>
      <c r="C979">
        <f>_xlfn.XLOOKUP(A979, USD!A:A, USD!B:B, "")</f>
        <v>71.965999999999994</v>
      </c>
      <c r="D979">
        <f>_xlfn.XLOOKUP(A979, Brent!A:A, Brent!B:B, "")</f>
        <v>62.46</v>
      </c>
      <c r="E979">
        <f>_xlfn.XLOOKUP(
  A979,
  Repo!A:A,
  Repo!B:B,
  "",
  -1
)</f>
        <v>5.15</v>
      </c>
      <c r="F979" s="10">
        <f>_xlfn.XLOOKUP(
  A979,
  CPI!D:D,
  CPI!C:C,
  "",
  -1
)</f>
        <v>5.54</v>
      </c>
      <c r="G979">
        <v>38107</v>
      </c>
    </row>
    <row r="980" spans="1:7">
      <c r="A980" s="1">
        <v>43784</v>
      </c>
      <c r="B980">
        <v>38002</v>
      </c>
      <c r="C980">
        <f>_xlfn.XLOOKUP(A980, USD!A:A, USD!B:B, "")</f>
        <v>71.650000000000006</v>
      </c>
      <c r="D980">
        <f>_xlfn.XLOOKUP(A980, Brent!A:A, Brent!B:B, "")</f>
        <v>63.32</v>
      </c>
      <c r="E980">
        <f>_xlfn.XLOOKUP(
  A980,
  Repo!A:A,
  Repo!B:B,
  "",
  -1
)</f>
        <v>5.15</v>
      </c>
      <c r="F980" s="10">
        <f>_xlfn.XLOOKUP(
  A980,
  CPI!D:D,
  CPI!C:C,
  "",
  -1
)</f>
        <v>5.54</v>
      </c>
      <c r="G980">
        <v>38269</v>
      </c>
    </row>
    <row r="981" spans="1:7">
      <c r="A981" s="1">
        <v>43787</v>
      </c>
      <c r="B981">
        <v>38228</v>
      </c>
      <c r="C981">
        <f>_xlfn.XLOOKUP(A981, USD!A:A, USD!B:B, "")</f>
        <v>71.944999999999993</v>
      </c>
      <c r="D981">
        <f>_xlfn.XLOOKUP(A981, Brent!A:A, Brent!B:B, "")</f>
        <v>62.82</v>
      </c>
      <c r="E981">
        <f>_xlfn.XLOOKUP(
  A981,
  Repo!A:A,
  Repo!B:B,
  "",
  -1
)</f>
        <v>5.15</v>
      </c>
      <c r="F981" s="10">
        <f>_xlfn.XLOOKUP(
  A981,
  CPI!D:D,
  CPI!C:C,
  "",
  -1
)</f>
        <v>5.54</v>
      </c>
      <c r="G981">
        <v>38002</v>
      </c>
    </row>
    <row r="982" spans="1:7">
      <c r="A982" s="1">
        <v>43788</v>
      </c>
      <c r="B982">
        <v>38206</v>
      </c>
      <c r="C982">
        <f>_xlfn.XLOOKUP(A982, USD!A:A, USD!B:B, "")</f>
        <v>71.83</v>
      </c>
      <c r="D982">
        <f>_xlfn.XLOOKUP(A982, Brent!A:A, Brent!B:B, "")</f>
        <v>62.37</v>
      </c>
      <c r="E982">
        <f>_xlfn.XLOOKUP(
  A982,
  Repo!A:A,
  Repo!B:B,
  "",
  -1
)</f>
        <v>5.15</v>
      </c>
      <c r="F982" s="10">
        <f>_xlfn.XLOOKUP(
  A982,
  CPI!D:D,
  CPI!C:C,
  "",
  -1
)</f>
        <v>5.54</v>
      </c>
      <c r="G982">
        <v>38228</v>
      </c>
    </row>
    <row r="983" spans="1:7">
      <c r="A983" s="1">
        <v>43789</v>
      </c>
      <c r="B983">
        <v>38155</v>
      </c>
      <c r="C983">
        <f>_xlfn.XLOOKUP(A983, USD!A:A, USD!B:B, "")</f>
        <v>71.745999999999995</v>
      </c>
      <c r="D983">
        <f>_xlfn.XLOOKUP(A983, Brent!A:A, Brent!B:B, "")</f>
        <v>63.8</v>
      </c>
      <c r="E983">
        <f>_xlfn.XLOOKUP(
  A983,
  Repo!A:A,
  Repo!B:B,
  "",
  -1
)</f>
        <v>5.15</v>
      </c>
      <c r="F983" s="10">
        <f>_xlfn.XLOOKUP(
  A983,
  CPI!D:D,
  CPI!C:C,
  "",
  -1
)</f>
        <v>5.54</v>
      </c>
      <c r="G983">
        <v>38206</v>
      </c>
    </row>
    <row r="984" spans="1:7">
      <c r="A984" s="1">
        <v>43790</v>
      </c>
      <c r="B984">
        <v>37971</v>
      </c>
      <c r="C984">
        <f>_xlfn.XLOOKUP(A984, USD!A:A, USD!B:B, "")</f>
        <v>71.75</v>
      </c>
      <c r="D984">
        <f>_xlfn.XLOOKUP(A984, Brent!A:A, Brent!B:B, "")</f>
        <v>64.989999999999995</v>
      </c>
      <c r="E984">
        <f>_xlfn.XLOOKUP(
  A984,
  Repo!A:A,
  Repo!B:B,
  "",
  -1
)</f>
        <v>5.15</v>
      </c>
      <c r="F984" s="10">
        <f>_xlfn.XLOOKUP(
  A984,
  CPI!D:D,
  CPI!C:C,
  "",
  -1
)</f>
        <v>5.54</v>
      </c>
      <c r="G984">
        <v>38155</v>
      </c>
    </row>
    <row r="985" spans="1:7">
      <c r="A985" s="1">
        <v>43791</v>
      </c>
      <c r="B985">
        <v>37927</v>
      </c>
      <c r="C985">
        <f>_xlfn.XLOOKUP(A985, USD!A:A, USD!B:B, "")</f>
        <v>71.792000000000002</v>
      </c>
      <c r="D985">
        <f>_xlfn.XLOOKUP(A985, Brent!A:A, Brent!B:B, "")</f>
        <v>64.83</v>
      </c>
      <c r="E985">
        <f>_xlfn.XLOOKUP(
  A985,
  Repo!A:A,
  Repo!B:B,
  "",
  -1
)</f>
        <v>5.15</v>
      </c>
      <c r="F985" s="10">
        <f>_xlfn.XLOOKUP(
  A985,
  CPI!D:D,
  CPI!C:C,
  "",
  -1
)</f>
        <v>5.54</v>
      </c>
      <c r="G985">
        <v>37971</v>
      </c>
    </row>
    <row r="986" spans="1:7">
      <c r="A986" s="1">
        <v>43794</v>
      </c>
      <c r="B986">
        <v>37782</v>
      </c>
      <c r="C986">
        <f>_xlfn.XLOOKUP(A986, USD!A:A, USD!B:B, "")</f>
        <v>71.688999999999993</v>
      </c>
      <c r="D986">
        <f>_xlfn.XLOOKUP(A986, Brent!A:A, Brent!B:B, "")</f>
        <v>64.67</v>
      </c>
      <c r="E986">
        <f>_xlfn.XLOOKUP(
  A986,
  Repo!A:A,
  Repo!B:B,
  "",
  -1
)</f>
        <v>5.15</v>
      </c>
      <c r="F986" s="10">
        <f>_xlfn.XLOOKUP(
  A986,
  CPI!D:D,
  CPI!C:C,
  "",
  -1
)</f>
        <v>5.54</v>
      </c>
      <c r="G986">
        <v>37927</v>
      </c>
    </row>
    <row r="987" spans="1:7">
      <c r="A987" s="1">
        <v>43795</v>
      </c>
      <c r="B987">
        <v>37775</v>
      </c>
      <c r="C987">
        <f>_xlfn.XLOOKUP(A987, USD!A:A, USD!B:B, "")</f>
        <v>71.48</v>
      </c>
      <c r="D987">
        <f>_xlfn.XLOOKUP(A987, Brent!A:A, Brent!B:B, "")</f>
        <v>64.819999999999993</v>
      </c>
      <c r="E987">
        <f>_xlfn.XLOOKUP(
  A987,
  Repo!A:A,
  Repo!B:B,
  "",
  -1
)</f>
        <v>5.15</v>
      </c>
      <c r="F987" s="10">
        <f>_xlfn.XLOOKUP(
  A987,
  CPI!D:D,
  CPI!C:C,
  "",
  -1
)</f>
        <v>5.54</v>
      </c>
      <c r="G987">
        <v>37782</v>
      </c>
    </row>
    <row r="988" spans="1:7">
      <c r="A988" s="1">
        <v>43796</v>
      </c>
      <c r="B988">
        <v>37578</v>
      </c>
      <c r="C988">
        <f>_xlfn.XLOOKUP(A988, USD!A:A, USD!B:B, "")</f>
        <v>71.260000000000005</v>
      </c>
      <c r="D988">
        <f>_xlfn.XLOOKUP(A988, Brent!A:A, Brent!B:B, "")</f>
        <v>65.03</v>
      </c>
      <c r="E988">
        <f>_xlfn.XLOOKUP(
  A988,
  Repo!A:A,
  Repo!B:B,
  "",
  -1
)</f>
        <v>5.15</v>
      </c>
      <c r="F988" s="10">
        <f>_xlfn.XLOOKUP(
  A988,
  CPI!D:D,
  CPI!C:C,
  "",
  -1
)</f>
        <v>5.54</v>
      </c>
      <c r="G988">
        <v>37775</v>
      </c>
    </row>
    <row r="989" spans="1:7">
      <c r="A989" s="1">
        <v>43797</v>
      </c>
      <c r="B989">
        <v>37780</v>
      </c>
      <c r="C989">
        <f>_xlfn.XLOOKUP(A989, USD!A:A, USD!B:B, "")</f>
        <v>71.504999999999995</v>
      </c>
      <c r="D989">
        <f>_xlfn.XLOOKUP(A989, Brent!A:A, Brent!B:B, "")</f>
        <v>64.680000000000007</v>
      </c>
      <c r="E989">
        <f>_xlfn.XLOOKUP(
  A989,
  Repo!A:A,
  Repo!B:B,
  "",
  -1
)</f>
        <v>5.15</v>
      </c>
      <c r="F989" s="10">
        <f>_xlfn.XLOOKUP(
  A989,
  CPI!D:D,
  CPI!C:C,
  "",
  -1
)</f>
        <v>5.54</v>
      </c>
      <c r="G989">
        <v>37578</v>
      </c>
    </row>
    <row r="990" spans="1:7">
      <c r="A990" s="1">
        <v>43798</v>
      </c>
      <c r="B990">
        <v>37961</v>
      </c>
      <c r="C990">
        <f>_xlfn.XLOOKUP(A990, USD!A:A, USD!B:B, "")</f>
        <v>71.748999999999995</v>
      </c>
      <c r="D990">
        <f>_xlfn.XLOOKUP(A990, Brent!A:A, Brent!B:B, "")</f>
        <v>64.5</v>
      </c>
      <c r="E990">
        <f>_xlfn.XLOOKUP(
  A990,
  Repo!A:A,
  Repo!B:B,
  "",
  -1
)</f>
        <v>5.15</v>
      </c>
      <c r="F990" s="10">
        <f>_xlfn.XLOOKUP(
  A990,
  CPI!D:D,
  CPI!C:C,
  "",
  -1
)</f>
        <v>5.54</v>
      </c>
      <c r="G990">
        <v>37780</v>
      </c>
    </row>
    <row r="991" spans="1:7">
      <c r="A991" s="1">
        <v>43801</v>
      </c>
      <c r="B991">
        <v>37915</v>
      </c>
      <c r="C991">
        <f>_xlfn.XLOOKUP(A991, USD!A:A, USD!B:B, "")</f>
        <v>71.634</v>
      </c>
      <c r="D991">
        <f>_xlfn.XLOOKUP(A991, Brent!A:A, Brent!B:B, "")</f>
        <v>63.2</v>
      </c>
      <c r="E991">
        <f>_xlfn.XLOOKUP(
  A991,
  Repo!A:A,
  Repo!B:B,
  "",
  -1
)</f>
        <v>5.15</v>
      </c>
      <c r="F991" s="10">
        <f>_xlfn.XLOOKUP(
  A991,
  CPI!D:D,
  CPI!C:C,
  "",
  -1
)</f>
        <v>7.35</v>
      </c>
      <c r="G991">
        <v>37961</v>
      </c>
    </row>
    <row r="992" spans="1:7">
      <c r="A992" s="1">
        <v>43802</v>
      </c>
      <c r="B992">
        <v>38267</v>
      </c>
      <c r="C992">
        <f>_xlfn.XLOOKUP(A992, USD!A:A, USD!B:B, "")</f>
        <v>71.739999999999995</v>
      </c>
      <c r="D992">
        <f>_xlfn.XLOOKUP(A992, Brent!A:A, Brent!B:B, "")</f>
        <v>62.95</v>
      </c>
      <c r="E992">
        <f>_xlfn.XLOOKUP(
  A992,
  Repo!A:A,
  Repo!B:B,
  "",
  -1
)</f>
        <v>5.15</v>
      </c>
      <c r="F992" s="10">
        <f>_xlfn.XLOOKUP(
  A992,
  CPI!D:D,
  CPI!C:C,
  "",
  -1
)</f>
        <v>7.35</v>
      </c>
      <c r="G992">
        <v>37915</v>
      </c>
    </row>
    <row r="993" spans="1:7">
      <c r="A993" s="1">
        <v>43803</v>
      </c>
      <c r="B993">
        <v>38188</v>
      </c>
      <c r="C993">
        <f>_xlfn.XLOOKUP(A993, USD!A:A, USD!B:B, "")</f>
        <v>71.474000000000004</v>
      </c>
      <c r="D993">
        <f>_xlfn.XLOOKUP(A993, Brent!A:A, Brent!B:B, "")</f>
        <v>65.25</v>
      </c>
      <c r="E993">
        <f>_xlfn.XLOOKUP(
  A993,
  Repo!A:A,
  Repo!B:B,
  "",
  -1
)</f>
        <v>5.15</v>
      </c>
      <c r="F993" s="10">
        <f>_xlfn.XLOOKUP(
  A993,
  CPI!D:D,
  CPI!C:C,
  "",
  -1
)</f>
        <v>7.35</v>
      </c>
      <c r="G993">
        <v>38267</v>
      </c>
    </row>
    <row r="994" spans="1:7">
      <c r="A994" s="1">
        <v>43804</v>
      </c>
      <c r="B994">
        <v>38095</v>
      </c>
      <c r="C994">
        <f>_xlfn.XLOOKUP(A994, USD!A:A, USD!B:B, "")</f>
        <v>71.251999999999995</v>
      </c>
      <c r="D994">
        <f>_xlfn.XLOOKUP(A994, Brent!A:A, Brent!B:B, "")</f>
        <v>65.67</v>
      </c>
      <c r="E994">
        <f>_xlfn.XLOOKUP(
  A994,
  Repo!A:A,
  Repo!B:B,
  "",
  -1
)</f>
        <v>5.15</v>
      </c>
      <c r="F994" s="10">
        <f>_xlfn.XLOOKUP(
  A994,
  CPI!D:D,
  CPI!C:C,
  "",
  -1
)</f>
        <v>7.35</v>
      </c>
      <c r="G994">
        <v>38188</v>
      </c>
    </row>
    <row r="995" spans="1:7">
      <c r="A995" s="1">
        <v>43805</v>
      </c>
      <c r="B995">
        <v>37748</v>
      </c>
      <c r="C995">
        <f>_xlfn.XLOOKUP(A995, USD!A:A, USD!B:B, "")</f>
        <v>71.283000000000001</v>
      </c>
      <c r="D995">
        <f>_xlfn.XLOOKUP(A995, Brent!A:A, Brent!B:B, "")</f>
        <v>66.5</v>
      </c>
      <c r="E995">
        <f>_xlfn.XLOOKUP(
  A995,
  Repo!A:A,
  Repo!B:B,
  "",
  -1
)</f>
        <v>5.15</v>
      </c>
      <c r="F995" s="10">
        <f>_xlfn.XLOOKUP(
  A995,
  CPI!D:D,
  CPI!C:C,
  "",
  -1
)</f>
        <v>7.35</v>
      </c>
      <c r="G995">
        <v>38095</v>
      </c>
    </row>
    <row r="996" spans="1:7">
      <c r="A996" s="1">
        <v>43808</v>
      </c>
      <c r="B996">
        <v>37638</v>
      </c>
      <c r="C996">
        <f>_xlfn.XLOOKUP(A996, USD!A:A, USD!B:B, "")</f>
        <v>70.97</v>
      </c>
      <c r="D996">
        <f>_xlfn.XLOOKUP(A996, Brent!A:A, Brent!B:B, "")</f>
        <v>66.44</v>
      </c>
      <c r="E996">
        <f>_xlfn.XLOOKUP(
  A996,
  Repo!A:A,
  Repo!B:B,
  "",
  -1
)</f>
        <v>5.15</v>
      </c>
      <c r="F996" s="10">
        <f>_xlfn.XLOOKUP(
  A996,
  CPI!D:D,
  CPI!C:C,
  "",
  -1
)</f>
        <v>7.35</v>
      </c>
      <c r="G996">
        <v>37748</v>
      </c>
    </row>
    <row r="997" spans="1:7">
      <c r="A997" s="1">
        <v>43809</v>
      </c>
      <c r="B997">
        <v>37604</v>
      </c>
      <c r="C997">
        <f>_xlfn.XLOOKUP(A997, USD!A:A, USD!B:B, "")</f>
        <v>70.81</v>
      </c>
      <c r="D997">
        <f>_xlfn.XLOOKUP(A997, Brent!A:A, Brent!B:B, "")</f>
        <v>66.569999999999993</v>
      </c>
      <c r="E997">
        <f>_xlfn.XLOOKUP(
  A997,
  Repo!A:A,
  Repo!B:B,
  "",
  -1
)</f>
        <v>5.15</v>
      </c>
      <c r="F997" s="10">
        <f>_xlfn.XLOOKUP(
  A997,
  CPI!D:D,
  CPI!C:C,
  "",
  -1
)</f>
        <v>7.35</v>
      </c>
      <c r="G997">
        <v>37638</v>
      </c>
    </row>
    <row r="998" spans="1:7">
      <c r="A998" s="1">
        <v>43810</v>
      </c>
      <c r="B998">
        <v>37693</v>
      </c>
      <c r="C998">
        <f>_xlfn.XLOOKUP(A998, USD!A:A, USD!B:B, "")</f>
        <v>70.709999999999994</v>
      </c>
      <c r="D998">
        <f>_xlfn.XLOOKUP(A998, Brent!A:A, Brent!B:B, "")</f>
        <v>65.37</v>
      </c>
      <c r="E998">
        <f>_xlfn.XLOOKUP(
  A998,
  Repo!A:A,
  Repo!B:B,
  "",
  -1
)</f>
        <v>5.15</v>
      </c>
      <c r="F998" s="10">
        <f>_xlfn.XLOOKUP(
  A998,
  CPI!D:D,
  CPI!C:C,
  "",
  -1
)</f>
        <v>7.35</v>
      </c>
      <c r="G998">
        <v>37604</v>
      </c>
    </row>
    <row r="999" spans="1:7">
      <c r="A999" s="1">
        <v>43811</v>
      </c>
      <c r="B999">
        <v>37559</v>
      </c>
      <c r="C999">
        <f>_xlfn.XLOOKUP(A999, USD!A:A, USD!B:B, "")</f>
        <v>70.569999999999993</v>
      </c>
      <c r="D999">
        <f>_xlfn.XLOOKUP(A999, Brent!A:A, Brent!B:B, "")</f>
        <v>66.67</v>
      </c>
      <c r="E999">
        <f>_xlfn.XLOOKUP(
  A999,
  Repo!A:A,
  Repo!B:B,
  "",
  -1
)</f>
        <v>5.15</v>
      </c>
      <c r="F999" s="10">
        <f>_xlfn.XLOOKUP(
  A999,
  CPI!D:D,
  CPI!C:C,
  "",
  -1
)</f>
        <v>7.35</v>
      </c>
      <c r="G999">
        <v>37693</v>
      </c>
    </row>
    <row r="1000" spans="1:7">
      <c r="A1000" s="1">
        <v>43812</v>
      </c>
      <c r="B1000">
        <v>37776</v>
      </c>
      <c r="C1000">
        <f>_xlfn.XLOOKUP(A1000, USD!A:A, USD!B:B, "")</f>
        <v>70.798000000000002</v>
      </c>
      <c r="D1000">
        <f>_xlfn.XLOOKUP(A1000, Brent!A:A, Brent!B:B, "")</f>
        <v>67.44</v>
      </c>
      <c r="E1000">
        <f>_xlfn.XLOOKUP(
  A1000,
  Repo!A:A,
  Repo!B:B,
  "",
  -1
)</f>
        <v>5.15</v>
      </c>
      <c r="F1000" s="10">
        <f>_xlfn.XLOOKUP(
  A1000,
  CPI!D:D,
  CPI!C:C,
  "",
  -1
)</f>
        <v>7.35</v>
      </c>
      <c r="G1000">
        <v>37559</v>
      </c>
    </row>
    <row r="1001" spans="1:7">
      <c r="A1001" s="1">
        <v>43815</v>
      </c>
      <c r="B1001">
        <v>37873</v>
      </c>
      <c r="C1001">
        <f>_xlfn.XLOOKUP(A1001, USD!A:A, USD!B:B, "")</f>
        <v>70.915000000000006</v>
      </c>
      <c r="D1001">
        <f>_xlfn.XLOOKUP(A1001, Brent!A:A, Brent!B:B, "")</f>
        <v>68.040000000000006</v>
      </c>
      <c r="E1001">
        <f>_xlfn.XLOOKUP(
  A1001,
  Repo!A:A,
  Repo!B:B,
  "",
  -1
)</f>
        <v>5.15</v>
      </c>
      <c r="F1001" s="10">
        <f>_xlfn.XLOOKUP(
  A1001,
  CPI!D:D,
  CPI!C:C,
  "",
  -1
)</f>
        <v>7.35</v>
      </c>
      <c r="G1001">
        <v>37776</v>
      </c>
    </row>
    <row r="1002" spans="1:7">
      <c r="A1002" s="1">
        <v>43816</v>
      </c>
      <c r="B1002">
        <v>37961</v>
      </c>
      <c r="C1002">
        <f>_xlfn.XLOOKUP(A1002, USD!A:A, USD!B:B, "")</f>
        <v>71.034999999999997</v>
      </c>
      <c r="D1002">
        <f>_xlfn.XLOOKUP(A1002, Brent!A:A, Brent!B:B, "")</f>
        <v>68.989999999999995</v>
      </c>
      <c r="E1002">
        <f>_xlfn.XLOOKUP(
  A1002,
  Repo!A:A,
  Repo!B:B,
  "",
  -1
)</f>
        <v>5.15</v>
      </c>
      <c r="F1002" s="10">
        <f>_xlfn.XLOOKUP(
  A1002,
  CPI!D:D,
  CPI!C:C,
  "",
  -1
)</f>
        <v>7.35</v>
      </c>
      <c r="G1002">
        <v>37873</v>
      </c>
    </row>
    <row r="1003" spans="1:7">
      <c r="A1003" s="1">
        <v>43817</v>
      </c>
      <c r="B1003">
        <v>37932</v>
      </c>
      <c r="C1003">
        <f>_xlfn.XLOOKUP(A1003, USD!A:A, USD!B:B, "")</f>
        <v>71</v>
      </c>
      <c r="D1003">
        <f>_xlfn.XLOOKUP(A1003, Brent!A:A, Brent!B:B, "")</f>
        <v>69.12</v>
      </c>
      <c r="E1003">
        <f>_xlfn.XLOOKUP(
  A1003,
  Repo!A:A,
  Repo!B:B,
  "",
  -1
)</f>
        <v>5.15</v>
      </c>
      <c r="F1003" s="10">
        <f>_xlfn.XLOOKUP(
  A1003,
  CPI!D:D,
  CPI!C:C,
  "",
  -1
)</f>
        <v>7.35</v>
      </c>
      <c r="G1003">
        <v>37961</v>
      </c>
    </row>
    <row r="1004" spans="1:7">
      <c r="A1004" s="1">
        <v>43818</v>
      </c>
      <c r="B1004">
        <v>38110</v>
      </c>
      <c r="C1004">
        <f>_xlfn.XLOOKUP(A1004, USD!A:A, USD!B:B, "")</f>
        <v>71.180000000000007</v>
      </c>
      <c r="D1004">
        <f>_xlfn.XLOOKUP(A1004, Brent!A:A, Brent!B:B, "")</f>
        <v>69.7</v>
      </c>
      <c r="E1004">
        <f>_xlfn.XLOOKUP(
  A1004,
  Repo!A:A,
  Repo!B:B,
  "",
  -1
)</f>
        <v>5.15</v>
      </c>
      <c r="F1004" s="10">
        <f>_xlfn.XLOOKUP(
  A1004,
  CPI!D:D,
  CPI!C:C,
  "",
  -1
)</f>
        <v>7.35</v>
      </c>
      <c r="G1004">
        <v>37932</v>
      </c>
    </row>
    <row r="1005" spans="1:7">
      <c r="A1005" s="1">
        <v>43819</v>
      </c>
      <c r="B1005">
        <v>38002</v>
      </c>
      <c r="C1005">
        <f>_xlfn.XLOOKUP(A1005, USD!A:A, USD!B:B, "")</f>
        <v>71.06</v>
      </c>
      <c r="D1005">
        <f>_xlfn.XLOOKUP(A1005, Brent!A:A, Brent!B:B, "")</f>
        <v>68.66</v>
      </c>
      <c r="E1005">
        <f>_xlfn.XLOOKUP(
  A1005,
  Repo!A:A,
  Repo!B:B,
  "",
  -1
)</f>
        <v>5.15</v>
      </c>
      <c r="F1005" s="10">
        <f>_xlfn.XLOOKUP(
  A1005,
  CPI!D:D,
  CPI!C:C,
  "",
  -1
)</f>
        <v>7.35</v>
      </c>
      <c r="G1005">
        <v>38110</v>
      </c>
    </row>
    <row r="1006" spans="1:7">
      <c r="A1006" s="1">
        <v>43822</v>
      </c>
      <c r="B1006">
        <v>38231</v>
      </c>
      <c r="C1006">
        <f>_xlfn.XLOOKUP(A1006, USD!A:A, USD!B:B, "")</f>
        <v>71.22</v>
      </c>
      <c r="D1006">
        <f>_xlfn.XLOOKUP(A1006, Brent!A:A, Brent!B:B, "")</f>
        <v>67.489999999999995</v>
      </c>
      <c r="E1006">
        <f>_xlfn.XLOOKUP(
  A1006,
  Repo!A:A,
  Repo!B:B,
  "",
  -1
)</f>
        <v>5.15</v>
      </c>
      <c r="F1006" s="10">
        <f>_xlfn.XLOOKUP(
  A1006,
  CPI!D:D,
  CPI!C:C,
  "",
  -1
)</f>
        <v>7.35</v>
      </c>
      <c r="G1006">
        <v>38002</v>
      </c>
    </row>
    <row r="1007" spans="1:7">
      <c r="A1007" s="1">
        <v>43823</v>
      </c>
      <c r="B1007">
        <v>38624</v>
      </c>
      <c r="C1007">
        <f>_xlfn.XLOOKUP(A1007, USD!A:A, USD!B:B, "")</f>
        <v>71.28</v>
      </c>
      <c r="D1007">
        <f>_xlfn.XLOOKUP(A1007, Brent!A:A, Brent!B:B, "")</f>
        <v>69.260000000000005</v>
      </c>
      <c r="E1007">
        <f>_xlfn.XLOOKUP(
  A1007,
  Repo!A:A,
  Repo!B:B,
  "",
  -1
)</f>
        <v>5.15</v>
      </c>
      <c r="F1007" s="10">
        <f>_xlfn.XLOOKUP(
  A1007,
  CPI!D:D,
  CPI!C:C,
  "",
  -1
)</f>
        <v>7.35</v>
      </c>
      <c r="G1007">
        <v>38231</v>
      </c>
    </row>
    <row r="1008" spans="1:7">
      <c r="A1008" s="1">
        <v>43825</v>
      </c>
      <c r="B1008">
        <v>38767</v>
      </c>
      <c r="C1008">
        <f>_xlfn.XLOOKUP(A1008, USD!A:A, USD!B:B, "")</f>
        <v>71.3</v>
      </c>
      <c r="D1008">
        <f>_xlfn.XLOOKUP(A1008, Brent!A:A, Brent!B:B, "")</f>
        <v>69.260000000000005</v>
      </c>
      <c r="E1008">
        <f>_xlfn.XLOOKUP(
  A1008,
  Repo!A:A,
  Repo!B:B,
  "",
  -1
)</f>
        <v>5.15</v>
      </c>
      <c r="F1008" s="10">
        <f>_xlfn.XLOOKUP(
  A1008,
  CPI!D:D,
  CPI!C:C,
  "",
  -1
)</f>
        <v>7.35</v>
      </c>
      <c r="G1008">
        <v>38624</v>
      </c>
    </row>
    <row r="1009" spans="1:7">
      <c r="A1009" s="1">
        <v>43826</v>
      </c>
      <c r="B1009">
        <v>38978</v>
      </c>
      <c r="C1009">
        <f>_xlfn.XLOOKUP(A1009, USD!A:A, USD!B:B, "")</f>
        <v>71.454999999999998</v>
      </c>
      <c r="D1009">
        <f>_xlfn.XLOOKUP(A1009, Brent!A:A, Brent!B:B, "")</f>
        <v>68.91</v>
      </c>
      <c r="E1009">
        <f>_xlfn.XLOOKUP(
  A1009,
  Repo!A:A,
  Repo!B:B,
  "",
  -1
)</f>
        <v>5.15</v>
      </c>
      <c r="F1009" s="10">
        <f>_xlfn.XLOOKUP(
  A1009,
  CPI!D:D,
  CPI!C:C,
  "",
  -1
)</f>
        <v>7.35</v>
      </c>
      <c r="G1009">
        <v>38767</v>
      </c>
    </row>
    <row r="1010" spans="1:7">
      <c r="A1010" s="1">
        <v>43829</v>
      </c>
      <c r="B1010">
        <v>38823</v>
      </c>
      <c r="C1010">
        <f>_xlfn.XLOOKUP(A1010, USD!A:A, USD!B:B, "")</f>
        <v>71.319999999999993</v>
      </c>
      <c r="D1010">
        <f>_xlfn.XLOOKUP(A1010, Brent!A:A, Brent!B:B, "")</f>
        <v>68.3</v>
      </c>
      <c r="E1010">
        <f>_xlfn.XLOOKUP(
  A1010,
  Repo!A:A,
  Repo!B:B,
  "",
  -1
)</f>
        <v>5.15</v>
      </c>
      <c r="F1010" s="10">
        <f>_xlfn.XLOOKUP(
  A1010,
  CPI!D:D,
  CPI!C:C,
  "",
  -1
)</f>
        <v>7.35</v>
      </c>
      <c r="G1010">
        <v>38978</v>
      </c>
    </row>
    <row r="1011" spans="1:7">
      <c r="A1011" s="1">
        <v>43830</v>
      </c>
      <c r="B1011">
        <v>38999</v>
      </c>
      <c r="C1011">
        <f>_xlfn.XLOOKUP(A1011, USD!A:A, USD!B:B, "")</f>
        <v>71.355000000000004</v>
      </c>
      <c r="D1011">
        <f>_xlfn.XLOOKUP(A1011, Brent!A:A, Brent!B:B, "")</f>
        <v>67.77</v>
      </c>
      <c r="E1011">
        <f>_xlfn.XLOOKUP(
  A1011,
  Repo!A:A,
  Repo!B:B,
  "",
  -1
)</f>
        <v>5.15</v>
      </c>
      <c r="F1011" s="10">
        <f>_xlfn.XLOOKUP(
  A1011,
  CPI!D:D,
  CPI!C:C,
  "",
  -1
)</f>
        <v>7.35</v>
      </c>
      <c r="G1011">
        <v>38823</v>
      </c>
    </row>
    <row r="1012" spans="1:7">
      <c r="A1012" s="1">
        <v>43832</v>
      </c>
      <c r="B1012">
        <v>39220</v>
      </c>
      <c r="C1012">
        <f>_xlfn.XLOOKUP(A1012, USD!A:A, USD!B:B, "")</f>
        <v>71.349999999999994</v>
      </c>
      <c r="D1012">
        <f>_xlfn.XLOOKUP(A1012, Brent!A:A, Brent!B:B, "")</f>
        <v>67.05</v>
      </c>
      <c r="E1012">
        <f>_xlfn.XLOOKUP(
  A1012,
  Repo!A:A,
  Repo!B:B,
  "",
  -1
)</f>
        <v>5.15</v>
      </c>
      <c r="F1012" s="10">
        <f>_xlfn.XLOOKUP(
  A1012,
  CPI!D:D,
  CPI!C:C,
  "",
  -1
)</f>
        <v>7.59</v>
      </c>
      <c r="G1012">
        <v>38999</v>
      </c>
    </row>
    <row r="1013" spans="1:7">
      <c r="A1013" s="1">
        <v>43833</v>
      </c>
      <c r="B1013">
        <v>39925</v>
      </c>
      <c r="C1013">
        <f>_xlfn.XLOOKUP(A1013, USD!A:A, USD!B:B, "")</f>
        <v>71.77</v>
      </c>
      <c r="D1013">
        <f>_xlfn.XLOOKUP(A1013, Brent!A:A, Brent!B:B, "")</f>
        <v>69.08</v>
      </c>
      <c r="E1013">
        <f>_xlfn.XLOOKUP(
  A1013,
  Repo!A:A,
  Repo!B:B,
  "",
  -1
)</f>
        <v>5.15</v>
      </c>
      <c r="F1013" s="10">
        <f>_xlfn.XLOOKUP(
  A1013,
  CPI!D:D,
  CPI!C:C,
  "",
  -1
)</f>
        <v>7.59</v>
      </c>
      <c r="G1013">
        <v>39220</v>
      </c>
    </row>
    <row r="1014" spans="1:7">
      <c r="A1014" s="1">
        <v>43836</v>
      </c>
      <c r="B1014">
        <v>40448</v>
      </c>
      <c r="C1014">
        <f>_xlfn.XLOOKUP(A1014, USD!A:A, USD!B:B, "")</f>
        <v>71.867000000000004</v>
      </c>
      <c r="D1014">
        <f>_xlfn.XLOOKUP(A1014, Brent!A:A, Brent!B:B, "")</f>
        <v>70.25</v>
      </c>
      <c r="E1014">
        <f>_xlfn.XLOOKUP(
  A1014,
  Repo!A:A,
  Repo!B:B,
  "",
  -1
)</f>
        <v>5.15</v>
      </c>
      <c r="F1014" s="10">
        <f>_xlfn.XLOOKUP(
  A1014,
  CPI!D:D,
  CPI!C:C,
  "",
  -1
)</f>
        <v>7.59</v>
      </c>
      <c r="G1014">
        <v>39925</v>
      </c>
    </row>
    <row r="1015" spans="1:7">
      <c r="A1015" s="1">
        <v>43837</v>
      </c>
      <c r="B1015">
        <v>40635</v>
      </c>
      <c r="C1015">
        <f>_xlfn.XLOOKUP(A1015, USD!A:A, USD!B:B, "")</f>
        <v>71.844999999999999</v>
      </c>
      <c r="D1015">
        <f>_xlfn.XLOOKUP(A1015, Brent!A:A, Brent!B:B, "")</f>
        <v>68.739999999999995</v>
      </c>
      <c r="E1015">
        <f>_xlfn.XLOOKUP(
  A1015,
  Repo!A:A,
  Repo!B:B,
  "",
  -1
)</f>
        <v>5.15</v>
      </c>
      <c r="F1015" s="10">
        <f>_xlfn.XLOOKUP(
  A1015,
  CPI!D:D,
  CPI!C:C,
  "",
  -1
)</f>
        <v>7.59</v>
      </c>
      <c r="G1015">
        <v>40448</v>
      </c>
    </row>
    <row r="1016" spans="1:7">
      <c r="A1016" s="1">
        <v>43838</v>
      </c>
      <c r="B1016">
        <v>40078</v>
      </c>
      <c r="C1016">
        <f>_xlfn.XLOOKUP(A1016, USD!A:A, USD!B:B, "")</f>
        <v>71.510000000000005</v>
      </c>
      <c r="D1016">
        <f>_xlfn.XLOOKUP(A1016, Brent!A:A, Brent!B:B, "")</f>
        <v>67.31</v>
      </c>
      <c r="E1016">
        <f>_xlfn.XLOOKUP(
  A1016,
  Repo!A:A,
  Repo!B:B,
  "",
  -1
)</f>
        <v>5.15</v>
      </c>
      <c r="F1016" s="10">
        <f>_xlfn.XLOOKUP(
  A1016,
  CPI!D:D,
  CPI!C:C,
  "",
  -1
)</f>
        <v>7.59</v>
      </c>
      <c r="G1016">
        <v>40635</v>
      </c>
    </row>
    <row r="1017" spans="1:7">
      <c r="A1017" s="1">
        <v>43839</v>
      </c>
      <c r="B1017">
        <v>39806</v>
      </c>
      <c r="C1017">
        <f>_xlfn.XLOOKUP(A1017, USD!A:A, USD!B:B, "")</f>
        <v>71.209999999999994</v>
      </c>
      <c r="D1017">
        <f>_xlfn.XLOOKUP(A1017, Brent!A:A, Brent!B:B, "")</f>
        <v>66.58</v>
      </c>
      <c r="E1017">
        <f>_xlfn.XLOOKUP(
  A1017,
  Repo!A:A,
  Repo!B:B,
  "",
  -1
)</f>
        <v>5.15</v>
      </c>
      <c r="F1017" s="10">
        <f>_xlfn.XLOOKUP(
  A1017,
  CPI!D:D,
  CPI!C:C,
  "",
  -1
)</f>
        <v>7.59</v>
      </c>
      <c r="G1017">
        <v>40078</v>
      </c>
    </row>
    <row r="1018" spans="1:7">
      <c r="A1018" s="1">
        <v>43840</v>
      </c>
      <c r="B1018">
        <v>39849</v>
      </c>
      <c r="C1018">
        <f>_xlfn.XLOOKUP(A1018, USD!A:A, USD!B:B, "")</f>
        <v>70.959999999999994</v>
      </c>
      <c r="D1018">
        <f>_xlfn.XLOOKUP(A1018, Brent!A:A, Brent!B:B, "")</f>
        <v>66.77</v>
      </c>
      <c r="E1018">
        <f>_xlfn.XLOOKUP(
  A1018,
  Repo!A:A,
  Repo!B:B,
  "",
  -1
)</f>
        <v>5.15</v>
      </c>
      <c r="F1018" s="10">
        <f>_xlfn.XLOOKUP(
  A1018,
  CPI!D:D,
  CPI!C:C,
  "",
  -1
)</f>
        <v>7.59</v>
      </c>
      <c r="G1018">
        <v>39806</v>
      </c>
    </row>
    <row r="1019" spans="1:7">
      <c r="A1019" s="1">
        <v>43843</v>
      </c>
      <c r="B1019">
        <v>39541</v>
      </c>
      <c r="C1019">
        <f>_xlfn.XLOOKUP(A1019, USD!A:A, USD!B:B, "")</f>
        <v>70.709999999999994</v>
      </c>
      <c r="D1019">
        <f>_xlfn.XLOOKUP(A1019, Brent!A:A, Brent!B:B, "")</f>
        <v>64.14</v>
      </c>
      <c r="E1019">
        <f>_xlfn.XLOOKUP(
  A1019,
  Repo!A:A,
  Repo!B:B,
  "",
  -1
)</f>
        <v>5.15</v>
      </c>
      <c r="F1019" s="10">
        <f>_xlfn.XLOOKUP(
  A1019,
  CPI!D:D,
  CPI!C:C,
  "",
  -1
)</f>
        <v>7.59</v>
      </c>
      <c r="G1019">
        <v>39849</v>
      </c>
    </row>
    <row r="1020" spans="1:7">
      <c r="A1020" s="1">
        <v>43844</v>
      </c>
      <c r="B1020">
        <v>39443</v>
      </c>
      <c r="C1020">
        <f>_xlfn.XLOOKUP(A1020, USD!A:A, USD!B:B, "")</f>
        <v>70.849999999999994</v>
      </c>
      <c r="D1020">
        <f>_xlfn.XLOOKUP(A1020, Brent!A:A, Brent!B:B, "")</f>
        <v>64.45</v>
      </c>
      <c r="E1020">
        <f>_xlfn.XLOOKUP(
  A1020,
  Repo!A:A,
  Repo!B:B,
  "",
  -1
)</f>
        <v>5.15</v>
      </c>
      <c r="F1020" s="10">
        <f>_xlfn.XLOOKUP(
  A1020,
  CPI!D:D,
  CPI!C:C,
  "",
  -1
)</f>
        <v>7.59</v>
      </c>
      <c r="G1020">
        <v>39541</v>
      </c>
    </row>
    <row r="1021" spans="1:7">
      <c r="A1021" s="1">
        <v>43845</v>
      </c>
      <c r="B1021">
        <v>39598</v>
      </c>
      <c r="C1021">
        <f>_xlfn.XLOOKUP(A1021, USD!A:A, USD!B:B, "")</f>
        <v>70.72</v>
      </c>
      <c r="D1021">
        <f>_xlfn.XLOOKUP(A1021, Brent!A:A, Brent!B:B, "")</f>
        <v>63.29</v>
      </c>
      <c r="E1021">
        <f>_xlfn.XLOOKUP(
  A1021,
  Repo!A:A,
  Repo!B:B,
  "",
  -1
)</f>
        <v>5.15</v>
      </c>
      <c r="F1021" s="10">
        <f>_xlfn.XLOOKUP(
  A1021,
  CPI!D:D,
  CPI!C:C,
  "",
  -1
)</f>
        <v>7.59</v>
      </c>
      <c r="G1021">
        <v>39443</v>
      </c>
    </row>
    <row r="1022" spans="1:7">
      <c r="A1022" s="1">
        <v>43846</v>
      </c>
      <c r="B1022">
        <v>39676</v>
      </c>
      <c r="C1022">
        <f>_xlfn.XLOOKUP(A1022, USD!A:A, USD!B:B, "")</f>
        <v>70.977999999999994</v>
      </c>
      <c r="D1022">
        <f>_xlfn.XLOOKUP(A1022, Brent!A:A, Brent!B:B, "")</f>
        <v>64.63</v>
      </c>
      <c r="E1022">
        <f>_xlfn.XLOOKUP(
  A1022,
  Repo!A:A,
  Repo!B:B,
  "",
  -1
)</f>
        <v>5.15</v>
      </c>
      <c r="F1022" s="10">
        <f>_xlfn.XLOOKUP(
  A1022,
  CPI!D:D,
  CPI!C:C,
  "",
  -1
)</f>
        <v>7.59</v>
      </c>
      <c r="G1022">
        <v>39598</v>
      </c>
    </row>
    <row r="1023" spans="1:7">
      <c r="A1023" s="1">
        <v>43847</v>
      </c>
      <c r="B1023">
        <v>39920</v>
      </c>
      <c r="C1023">
        <f>_xlfn.XLOOKUP(A1023, USD!A:A, USD!B:B, "")</f>
        <v>71.078999999999994</v>
      </c>
      <c r="D1023">
        <f>_xlfn.XLOOKUP(A1023, Brent!A:A, Brent!B:B, "")</f>
        <v>64.05</v>
      </c>
      <c r="E1023">
        <f>_xlfn.XLOOKUP(
  A1023,
  Repo!A:A,
  Repo!B:B,
  "",
  -1
)</f>
        <v>5.15</v>
      </c>
      <c r="F1023" s="10">
        <f>_xlfn.XLOOKUP(
  A1023,
  CPI!D:D,
  CPI!C:C,
  "",
  -1
)</f>
        <v>7.59</v>
      </c>
      <c r="G1023">
        <v>39676</v>
      </c>
    </row>
    <row r="1024" spans="1:7">
      <c r="A1024" s="1">
        <v>43850</v>
      </c>
      <c r="B1024">
        <v>39927</v>
      </c>
      <c r="C1024">
        <f>_xlfn.XLOOKUP(A1024, USD!A:A, USD!B:B, "")</f>
        <v>71.040000000000006</v>
      </c>
      <c r="D1024">
        <f>_xlfn.XLOOKUP(A1024, Brent!A:A, Brent!B:B, "")</f>
        <v>64.63</v>
      </c>
      <c r="E1024">
        <f>_xlfn.XLOOKUP(
  A1024,
  Repo!A:A,
  Repo!B:B,
  "",
  -1
)</f>
        <v>5.15</v>
      </c>
      <c r="F1024" s="10">
        <f>_xlfn.XLOOKUP(
  A1024,
  CPI!D:D,
  CPI!C:C,
  "",
  -1
)</f>
        <v>7.59</v>
      </c>
      <c r="G1024">
        <v>39920</v>
      </c>
    </row>
    <row r="1025" spans="1:7">
      <c r="A1025" s="1">
        <v>43851</v>
      </c>
      <c r="B1025">
        <v>39892</v>
      </c>
      <c r="C1025">
        <f>_xlfn.XLOOKUP(A1025, USD!A:A, USD!B:B, "")</f>
        <v>71.17</v>
      </c>
      <c r="D1025">
        <f>_xlfn.XLOOKUP(A1025, Brent!A:A, Brent!B:B, "")</f>
        <v>63.66</v>
      </c>
      <c r="E1025">
        <f>_xlfn.XLOOKUP(
  A1025,
  Repo!A:A,
  Repo!B:B,
  "",
  -1
)</f>
        <v>5.15</v>
      </c>
      <c r="F1025" s="10">
        <f>_xlfn.XLOOKUP(
  A1025,
  CPI!D:D,
  CPI!C:C,
  "",
  -1
)</f>
        <v>7.59</v>
      </c>
      <c r="G1025">
        <v>39927</v>
      </c>
    </row>
    <row r="1026" spans="1:7">
      <c r="A1026" s="1">
        <v>43852</v>
      </c>
      <c r="B1026">
        <v>39893</v>
      </c>
      <c r="C1026">
        <f>_xlfn.XLOOKUP(A1026, USD!A:A, USD!B:B, "")</f>
        <v>71.08</v>
      </c>
      <c r="D1026">
        <f>_xlfn.XLOOKUP(A1026, Brent!A:A, Brent!B:B, "")</f>
        <v>62.11</v>
      </c>
      <c r="E1026">
        <f>_xlfn.XLOOKUP(
  A1026,
  Repo!A:A,
  Repo!B:B,
  "",
  -1
)</f>
        <v>5.15</v>
      </c>
      <c r="F1026" s="10">
        <f>_xlfn.XLOOKUP(
  A1026,
  CPI!D:D,
  CPI!C:C,
  "",
  -1
)</f>
        <v>7.59</v>
      </c>
      <c r="G1026">
        <v>39892</v>
      </c>
    </row>
    <row r="1027" spans="1:7">
      <c r="A1027" s="1">
        <v>43853</v>
      </c>
      <c r="B1027">
        <v>40255</v>
      </c>
      <c r="C1027">
        <f>_xlfn.XLOOKUP(A1027, USD!A:A, USD!B:B, "")</f>
        <v>71.400000000000006</v>
      </c>
      <c r="D1027">
        <f>_xlfn.XLOOKUP(A1027, Brent!A:A, Brent!B:B, "")</f>
        <v>61.26</v>
      </c>
      <c r="E1027">
        <f>_xlfn.XLOOKUP(
  A1027,
  Repo!A:A,
  Repo!B:B,
  "",
  -1
)</f>
        <v>5.15</v>
      </c>
      <c r="F1027" s="10">
        <f>_xlfn.XLOOKUP(
  A1027,
  CPI!D:D,
  CPI!C:C,
  "",
  -1
)</f>
        <v>7.59</v>
      </c>
      <c r="G1027">
        <v>39893</v>
      </c>
    </row>
    <row r="1028" spans="1:7">
      <c r="A1028" s="1">
        <v>43854</v>
      </c>
      <c r="B1028">
        <v>40322</v>
      </c>
      <c r="C1028">
        <f>_xlfn.XLOOKUP(A1028, USD!A:A, USD!B:B, "")</f>
        <v>71.33</v>
      </c>
      <c r="D1028">
        <f>_xlfn.XLOOKUP(A1028, Brent!A:A, Brent!B:B, "")</f>
        <v>59.34</v>
      </c>
      <c r="E1028">
        <f>_xlfn.XLOOKUP(
  A1028,
  Repo!A:A,
  Repo!B:B,
  "",
  -1
)</f>
        <v>5.15</v>
      </c>
      <c r="F1028" s="10">
        <f>_xlfn.XLOOKUP(
  A1028,
  CPI!D:D,
  CPI!C:C,
  "",
  -1
)</f>
        <v>7.59</v>
      </c>
      <c r="G1028">
        <v>40255</v>
      </c>
    </row>
    <row r="1029" spans="1:7">
      <c r="A1029" s="1">
        <v>43857</v>
      </c>
      <c r="B1029">
        <v>40557</v>
      </c>
      <c r="C1029">
        <f>_xlfn.XLOOKUP(A1029, USD!A:A, USD!B:B, "")</f>
        <v>71.45</v>
      </c>
      <c r="D1029">
        <f>_xlfn.XLOOKUP(A1029, Brent!A:A, Brent!B:B, "")</f>
        <v>58.54</v>
      </c>
      <c r="E1029">
        <f>_xlfn.XLOOKUP(
  A1029,
  Repo!A:A,
  Repo!B:B,
  "",
  -1
)</f>
        <v>5.15</v>
      </c>
      <c r="F1029" s="10">
        <f>_xlfn.XLOOKUP(
  A1029,
  CPI!D:D,
  CPI!C:C,
  "",
  -1
)</f>
        <v>7.59</v>
      </c>
      <c r="G1029">
        <v>40322</v>
      </c>
    </row>
    <row r="1030" spans="1:7">
      <c r="A1030" s="1">
        <v>43858</v>
      </c>
      <c r="B1030">
        <v>40200</v>
      </c>
      <c r="C1030">
        <f>_xlfn.XLOOKUP(A1030, USD!A:A, USD!B:B, "")</f>
        <v>71.2</v>
      </c>
      <c r="D1030">
        <f>_xlfn.XLOOKUP(A1030, Brent!A:A, Brent!B:B, "")</f>
        <v>59.37</v>
      </c>
      <c r="E1030">
        <f>_xlfn.XLOOKUP(
  A1030,
  Repo!A:A,
  Repo!B:B,
  "",
  -1
)</f>
        <v>5.15</v>
      </c>
      <c r="F1030" s="10">
        <f>_xlfn.XLOOKUP(
  A1030,
  CPI!D:D,
  CPI!C:C,
  "",
  -1
)</f>
        <v>7.59</v>
      </c>
      <c r="G1030">
        <v>40557</v>
      </c>
    </row>
    <row r="1031" spans="1:7">
      <c r="A1031" s="1">
        <v>43859</v>
      </c>
      <c r="B1031">
        <v>40321</v>
      </c>
      <c r="C1031">
        <f>_xlfn.XLOOKUP(A1031, USD!A:A, USD!B:B, "")</f>
        <v>71.31</v>
      </c>
      <c r="D1031">
        <f>_xlfn.XLOOKUP(A1031, Brent!A:A, Brent!B:B, "")</f>
        <v>59.46</v>
      </c>
      <c r="E1031">
        <f>_xlfn.XLOOKUP(
  A1031,
  Repo!A:A,
  Repo!B:B,
  "",
  -1
)</f>
        <v>5.15</v>
      </c>
      <c r="F1031" s="10">
        <f>_xlfn.XLOOKUP(
  A1031,
  CPI!D:D,
  CPI!C:C,
  "",
  -1
)</f>
        <v>7.59</v>
      </c>
      <c r="G1031">
        <v>40200</v>
      </c>
    </row>
    <row r="1032" spans="1:7">
      <c r="A1032" s="1">
        <v>43860</v>
      </c>
      <c r="B1032">
        <v>40897</v>
      </c>
      <c r="C1032">
        <f>_xlfn.XLOOKUP(A1032, USD!A:A, USD!B:B, "")</f>
        <v>71.55</v>
      </c>
      <c r="D1032">
        <f>_xlfn.XLOOKUP(A1032, Brent!A:A, Brent!B:B, "")</f>
        <v>57.72</v>
      </c>
      <c r="E1032">
        <f>_xlfn.XLOOKUP(
  A1032,
  Repo!A:A,
  Repo!B:B,
  "",
  -1
)</f>
        <v>5.15</v>
      </c>
      <c r="F1032" s="10">
        <f>_xlfn.XLOOKUP(
  A1032,
  CPI!D:D,
  CPI!C:C,
  "",
  -1
)</f>
        <v>7.59</v>
      </c>
      <c r="G1032">
        <v>40321</v>
      </c>
    </row>
    <row r="1033" spans="1:7">
      <c r="A1033" s="1">
        <v>43861</v>
      </c>
      <c r="B1033">
        <v>41012</v>
      </c>
      <c r="C1033">
        <f>_xlfn.XLOOKUP(A1033, USD!A:A, USD!B:B, "")</f>
        <v>71.555000000000007</v>
      </c>
      <c r="D1033">
        <f>_xlfn.XLOOKUP(A1033, Brent!A:A, Brent!B:B, "")</f>
        <v>57.77</v>
      </c>
      <c r="E1033">
        <f>_xlfn.XLOOKUP(
  A1033,
  Repo!A:A,
  Repo!B:B,
  "",
  -1
)</f>
        <v>5.15</v>
      </c>
      <c r="F1033" s="10">
        <f>_xlfn.XLOOKUP(
  A1033,
  CPI!D:D,
  CPI!C:C,
  "",
  -1
)</f>
        <v>7.59</v>
      </c>
      <c r="G1033">
        <v>40897</v>
      </c>
    </row>
    <row r="1034" spans="1:7">
      <c r="A1034" s="1">
        <v>43864</v>
      </c>
      <c r="B1034">
        <v>40633</v>
      </c>
      <c r="C1034">
        <f>_xlfn.XLOOKUP(A1034, USD!A:A, USD!B:B, "")</f>
        <v>71.323999999999998</v>
      </c>
      <c r="D1034">
        <f>_xlfn.XLOOKUP(A1034, Brent!A:A, Brent!B:B, "")</f>
        <v>54</v>
      </c>
      <c r="E1034">
        <f>_xlfn.XLOOKUP(
  A1034,
  Repo!A:A,
  Repo!B:B,
  "",
  -1
)</f>
        <v>5.15</v>
      </c>
      <c r="F1034" s="10">
        <f>_xlfn.XLOOKUP(
  A1034,
  CPI!D:D,
  CPI!C:C,
  "",
  -1
)</f>
        <v>6.58</v>
      </c>
      <c r="G1034">
        <v>41012</v>
      </c>
    </row>
    <row r="1035" spans="1:7">
      <c r="A1035" s="1">
        <v>43865</v>
      </c>
      <c r="B1035">
        <v>40056</v>
      </c>
      <c r="C1035">
        <f>_xlfn.XLOOKUP(A1035, USD!A:A, USD!B:B, "")</f>
        <v>71.114999999999995</v>
      </c>
      <c r="D1035">
        <f>_xlfn.XLOOKUP(A1035, Brent!A:A, Brent!B:B, "")</f>
        <v>53.9</v>
      </c>
      <c r="E1035">
        <f>_xlfn.XLOOKUP(
  A1035,
  Repo!A:A,
  Repo!B:B,
  "",
  -1
)</f>
        <v>5.15</v>
      </c>
      <c r="F1035" s="10">
        <f>_xlfn.XLOOKUP(
  A1035,
  CPI!D:D,
  CPI!C:C,
  "",
  -1
)</f>
        <v>6.58</v>
      </c>
      <c r="G1035">
        <v>40633</v>
      </c>
    </row>
    <row r="1036" spans="1:7">
      <c r="A1036" s="1">
        <v>43866</v>
      </c>
      <c r="B1036">
        <v>40213</v>
      </c>
      <c r="C1036">
        <f>_xlfn.XLOOKUP(A1036, USD!A:A, USD!B:B, "")</f>
        <v>71.19</v>
      </c>
      <c r="D1036">
        <f>_xlfn.XLOOKUP(A1036, Brent!A:A, Brent!B:B, "")</f>
        <v>55.36</v>
      </c>
      <c r="E1036">
        <f>_xlfn.XLOOKUP(
  A1036,
  Repo!A:A,
  Repo!B:B,
  "",
  -1
)</f>
        <v>5.15</v>
      </c>
      <c r="F1036" s="10">
        <f>_xlfn.XLOOKUP(
  A1036,
  CPI!D:D,
  CPI!C:C,
  "",
  -1
)</f>
        <v>6.58</v>
      </c>
      <c r="G1036">
        <v>40056</v>
      </c>
    </row>
    <row r="1037" spans="1:7">
      <c r="A1037" s="1">
        <v>43867</v>
      </c>
      <c r="B1037">
        <v>40287</v>
      </c>
      <c r="C1037">
        <f>_xlfn.XLOOKUP(A1037, USD!A:A, USD!B:B, "")</f>
        <v>71.224999999999994</v>
      </c>
      <c r="D1037">
        <f>_xlfn.XLOOKUP(A1037, Brent!A:A, Brent!B:B, "")</f>
        <v>55.18</v>
      </c>
      <c r="E1037">
        <f>_xlfn.XLOOKUP(
  A1037,
  Repo!A:A,
  Repo!B:B,
  "",
  -1
)</f>
        <v>5.15</v>
      </c>
      <c r="F1037" s="10">
        <f>_xlfn.XLOOKUP(
  A1037,
  CPI!D:D,
  CPI!C:C,
  "",
  -1
)</f>
        <v>6.58</v>
      </c>
      <c r="G1037">
        <v>40213</v>
      </c>
    </row>
    <row r="1038" spans="1:7">
      <c r="A1038" s="1">
        <v>43868</v>
      </c>
      <c r="B1038">
        <v>40563</v>
      </c>
      <c r="C1038">
        <f>_xlfn.XLOOKUP(A1038, USD!A:A, USD!B:B, "")</f>
        <v>71.515000000000001</v>
      </c>
      <c r="D1038">
        <f>_xlfn.XLOOKUP(A1038, Brent!A:A, Brent!B:B, "")</f>
        <v>54.53</v>
      </c>
      <c r="E1038">
        <f>_xlfn.XLOOKUP(
  A1038,
  Repo!A:A,
  Repo!B:B,
  "",
  -1
)</f>
        <v>5.15</v>
      </c>
      <c r="F1038" s="10">
        <f>_xlfn.XLOOKUP(
  A1038,
  CPI!D:D,
  CPI!C:C,
  "",
  -1
)</f>
        <v>6.58</v>
      </c>
      <c r="G1038">
        <v>40287</v>
      </c>
    </row>
    <row r="1039" spans="1:7">
      <c r="A1039" s="1">
        <v>43871</v>
      </c>
      <c r="B1039">
        <v>40607</v>
      </c>
      <c r="C1039">
        <f>_xlfn.XLOOKUP(A1039, USD!A:A, USD!B:B, "")</f>
        <v>71.290000000000006</v>
      </c>
      <c r="D1039">
        <f>_xlfn.XLOOKUP(A1039, Brent!A:A, Brent!B:B, "")</f>
        <v>53.39</v>
      </c>
      <c r="E1039">
        <f>_xlfn.XLOOKUP(
  A1039,
  Repo!A:A,
  Repo!B:B,
  "",
  -1
)</f>
        <v>5.15</v>
      </c>
      <c r="F1039" s="10">
        <f>_xlfn.XLOOKUP(
  A1039,
  CPI!D:D,
  CPI!C:C,
  "",
  -1
)</f>
        <v>6.58</v>
      </c>
      <c r="G1039">
        <v>40563</v>
      </c>
    </row>
    <row r="1040" spans="1:7">
      <c r="A1040" s="1">
        <v>43872</v>
      </c>
      <c r="B1040">
        <v>40353</v>
      </c>
      <c r="C1040">
        <f>_xlfn.XLOOKUP(A1040, USD!A:A, USD!B:B, "")</f>
        <v>71.284999999999997</v>
      </c>
      <c r="D1040">
        <f>_xlfn.XLOOKUP(A1040, Brent!A:A, Brent!B:B, "")</f>
        <v>54</v>
      </c>
      <c r="E1040">
        <f>_xlfn.XLOOKUP(
  A1040,
  Repo!A:A,
  Repo!B:B,
  "",
  -1
)</f>
        <v>5.15</v>
      </c>
      <c r="F1040" s="10">
        <f>_xlfn.XLOOKUP(
  A1040,
  CPI!D:D,
  CPI!C:C,
  "",
  -1
)</f>
        <v>6.58</v>
      </c>
      <c r="G1040">
        <v>40607</v>
      </c>
    </row>
    <row r="1041" spans="1:7">
      <c r="A1041" s="1">
        <v>43873</v>
      </c>
      <c r="B1041">
        <v>40427</v>
      </c>
      <c r="C1041">
        <f>_xlfn.XLOOKUP(A1041, USD!A:A, USD!B:B, "")</f>
        <v>71.305999999999997</v>
      </c>
      <c r="D1041">
        <f>_xlfn.XLOOKUP(A1041, Brent!A:A, Brent!B:B, "")</f>
        <v>55.54</v>
      </c>
      <c r="E1041">
        <f>_xlfn.XLOOKUP(
  A1041,
  Repo!A:A,
  Repo!B:B,
  "",
  -1
)</f>
        <v>5.15</v>
      </c>
      <c r="F1041" s="10">
        <f>_xlfn.XLOOKUP(
  A1041,
  CPI!D:D,
  CPI!C:C,
  "",
  -1
)</f>
        <v>6.58</v>
      </c>
      <c r="G1041">
        <v>40353</v>
      </c>
    </row>
    <row r="1042" spans="1:7">
      <c r="A1042" s="1">
        <v>43874</v>
      </c>
      <c r="B1042">
        <v>40580</v>
      </c>
      <c r="C1042">
        <f>_xlfn.XLOOKUP(A1042, USD!A:A, USD!B:B, "")</f>
        <v>71.33</v>
      </c>
      <c r="D1042">
        <f>_xlfn.XLOOKUP(A1042, Brent!A:A, Brent!B:B, "")</f>
        <v>56.34</v>
      </c>
      <c r="E1042">
        <f>_xlfn.XLOOKUP(
  A1042,
  Repo!A:A,
  Repo!B:B,
  "",
  -1
)</f>
        <v>5.15</v>
      </c>
      <c r="F1042" s="10">
        <f>_xlfn.XLOOKUP(
  A1042,
  CPI!D:D,
  CPI!C:C,
  "",
  -1
)</f>
        <v>6.58</v>
      </c>
      <c r="G1042">
        <v>40427</v>
      </c>
    </row>
    <row r="1043" spans="1:7">
      <c r="A1043" s="1">
        <v>43875</v>
      </c>
      <c r="B1043">
        <v>40879</v>
      </c>
      <c r="C1043">
        <f>_xlfn.XLOOKUP(A1043, USD!A:A, USD!B:B, "")</f>
        <v>71.528999999999996</v>
      </c>
      <c r="D1043">
        <f>_xlfn.XLOOKUP(A1043, Brent!A:A, Brent!B:B, "")</f>
        <v>57.37</v>
      </c>
      <c r="E1043">
        <f>_xlfn.XLOOKUP(
  A1043,
  Repo!A:A,
  Repo!B:B,
  "",
  -1
)</f>
        <v>5.15</v>
      </c>
      <c r="F1043" s="10">
        <f>_xlfn.XLOOKUP(
  A1043,
  CPI!D:D,
  CPI!C:C,
  "",
  -1
)</f>
        <v>6.58</v>
      </c>
      <c r="G1043">
        <v>40580</v>
      </c>
    </row>
    <row r="1044" spans="1:7">
      <c r="A1044" s="1">
        <v>43878</v>
      </c>
      <c r="B1044">
        <v>40686</v>
      </c>
      <c r="C1044">
        <f>_xlfn.XLOOKUP(A1044, USD!A:A, USD!B:B, "")</f>
        <v>71.34</v>
      </c>
      <c r="D1044">
        <f>_xlfn.XLOOKUP(A1044, Brent!A:A, Brent!B:B, "")</f>
        <v>57.83</v>
      </c>
      <c r="E1044">
        <f>_xlfn.XLOOKUP(
  A1044,
  Repo!A:A,
  Repo!B:B,
  "",
  -1
)</f>
        <v>5.15</v>
      </c>
      <c r="F1044" s="10">
        <f>_xlfn.XLOOKUP(
  A1044,
  CPI!D:D,
  CPI!C:C,
  "",
  -1
)</f>
        <v>6.58</v>
      </c>
      <c r="G1044">
        <v>40879</v>
      </c>
    </row>
    <row r="1045" spans="1:7">
      <c r="A1045" s="1">
        <v>43879</v>
      </c>
      <c r="B1045">
        <v>41311</v>
      </c>
      <c r="C1045">
        <f>_xlfn.XLOOKUP(A1045, USD!A:A, USD!B:B, "")</f>
        <v>71.584999999999994</v>
      </c>
      <c r="D1045">
        <f>_xlfn.XLOOKUP(A1045, Brent!A:A, Brent!B:B, "")</f>
        <v>57.35</v>
      </c>
      <c r="E1045">
        <f>_xlfn.XLOOKUP(
  A1045,
  Repo!A:A,
  Repo!B:B,
  "",
  -1
)</f>
        <v>5.15</v>
      </c>
      <c r="F1045" s="10">
        <f>_xlfn.XLOOKUP(
  A1045,
  CPI!D:D,
  CPI!C:C,
  "",
  -1
)</f>
        <v>6.58</v>
      </c>
      <c r="G1045">
        <v>40686</v>
      </c>
    </row>
    <row r="1046" spans="1:7">
      <c r="A1046" s="1">
        <v>43880</v>
      </c>
      <c r="B1046">
        <v>41463</v>
      </c>
      <c r="C1046">
        <f>_xlfn.XLOOKUP(A1046, USD!A:A, USD!B:B, "")</f>
        <v>71.599999999999994</v>
      </c>
      <c r="D1046">
        <f>_xlfn.XLOOKUP(A1046, Brent!A:A, Brent!B:B, "")</f>
        <v>59.72</v>
      </c>
      <c r="E1046">
        <f>_xlfn.XLOOKUP(
  A1046,
  Repo!A:A,
  Repo!B:B,
  "",
  -1
)</f>
        <v>5.15</v>
      </c>
      <c r="F1046" s="10">
        <f>_xlfn.XLOOKUP(
  A1046,
  CPI!D:D,
  CPI!C:C,
  "",
  -1
)</f>
        <v>6.58</v>
      </c>
      <c r="G1046">
        <v>41311</v>
      </c>
    </row>
    <row r="1047" spans="1:7">
      <c r="A1047" s="1">
        <v>43881</v>
      </c>
      <c r="B1047">
        <v>41886</v>
      </c>
      <c r="C1047">
        <f>_xlfn.XLOOKUP(A1047, USD!A:A, USD!B:B, "")</f>
        <v>71.680000000000007</v>
      </c>
      <c r="D1047">
        <f>_xlfn.XLOOKUP(A1047, Brent!A:A, Brent!B:B, "")</f>
        <v>59.57</v>
      </c>
      <c r="E1047">
        <f>_xlfn.XLOOKUP(
  A1047,
  Repo!A:A,
  Repo!B:B,
  "",
  -1
)</f>
        <v>5.15</v>
      </c>
      <c r="F1047" s="10">
        <f>_xlfn.XLOOKUP(
  A1047,
  CPI!D:D,
  CPI!C:C,
  "",
  -1
)</f>
        <v>6.58</v>
      </c>
      <c r="G1047">
        <v>41463</v>
      </c>
    </row>
    <row r="1048" spans="1:7">
      <c r="A1048" s="1">
        <v>43882</v>
      </c>
      <c r="B1048">
        <v>42511</v>
      </c>
      <c r="C1048">
        <f>_xlfn.XLOOKUP(A1048, USD!A:A, USD!B:B, "")</f>
        <v>71.88</v>
      </c>
      <c r="D1048">
        <f>_xlfn.XLOOKUP(A1048, Brent!A:A, Brent!B:B, "")</f>
        <v>58.6</v>
      </c>
      <c r="E1048">
        <f>_xlfn.XLOOKUP(
  A1048,
  Repo!A:A,
  Repo!B:B,
  "",
  -1
)</f>
        <v>5.15</v>
      </c>
      <c r="F1048" s="10">
        <f>_xlfn.XLOOKUP(
  A1048,
  CPI!D:D,
  CPI!C:C,
  "",
  -1
)</f>
        <v>6.58</v>
      </c>
      <c r="G1048">
        <v>41886</v>
      </c>
    </row>
    <row r="1049" spans="1:7">
      <c r="A1049" s="1">
        <v>43885</v>
      </c>
      <c r="B1049">
        <v>43456</v>
      </c>
      <c r="C1049">
        <f>_xlfn.XLOOKUP(A1049, USD!A:A, USD!B:B, "")</f>
        <v>71.935000000000002</v>
      </c>
      <c r="D1049">
        <f>_xlfn.XLOOKUP(A1049, Brent!A:A, Brent!B:B, "")</f>
        <v>56.71</v>
      </c>
      <c r="E1049">
        <f>_xlfn.XLOOKUP(
  A1049,
  Repo!A:A,
  Repo!B:B,
  "",
  -1
)</f>
        <v>5.15</v>
      </c>
      <c r="F1049" s="10">
        <f>_xlfn.XLOOKUP(
  A1049,
  CPI!D:D,
  CPI!C:C,
  "",
  -1
)</f>
        <v>6.58</v>
      </c>
      <c r="G1049">
        <v>42511</v>
      </c>
    </row>
    <row r="1050" spans="1:7">
      <c r="A1050" s="1">
        <v>43886</v>
      </c>
      <c r="B1050">
        <v>42675</v>
      </c>
      <c r="C1050">
        <f>_xlfn.XLOOKUP(A1050, USD!A:A, USD!B:B, "")</f>
        <v>71.819999999999993</v>
      </c>
      <c r="D1050">
        <f>_xlfn.XLOOKUP(A1050, Brent!A:A, Brent!B:B, "")</f>
        <v>55.29</v>
      </c>
      <c r="E1050">
        <f>_xlfn.XLOOKUP(
  A1050,
  Repo!A:A,
  Repo!B:B,
  "",
  -1
)</f>
        <v>5.15</v>
      </c>
      <c r="F1050" s="10">
        <f>_xlfn.XLOOKUP(
  A1050,
  CPI!D:D,
  CPI!C:C,
  "",
  -1
)</f>
        <v>6.58</v>
      </c>
      <c r="G1050">
        <v>43456</v>
      </c>
    </row>
    <row r="1051" spans="1:7">
      <c r="A1051" s="1">
        <v>43887</v>
      </c>
      <c r="B1051">
        <v>42349</v>
      </c>
      <c r="C1051">
        <f>_xlfn.XLOOKUP(A1051, USD!A:A, USD!B:B, "")</f>
        <v>71.58</v>
      </c>
      <c r="D1051">
        <f>_xlfn.XLOOKUP(A1051, Brent!A:A, Brent!B:B, "")</f>
        <v>54.96</v>
      </c>
      <c r="E1051">
        <f>_xlfn.XLOOKUP(
  A1051,
  Repo!A:A,
  Repo!B:B,
  "",
  -1
)</f>
        <v>5.15</v>
      </c>
      <c r="F1051" s="10">
        <f>_xlfn.XLOOKUP(
  A1051,
  CPI!D:D,
  CPI!C:C,
  "",
  -1
)</f>
        <v>6.58</v>
      </c>
      <c r="G1051">
        <v>42675</v>
      </c>
    </row>
    <row r="1052" spans="1:7">
      <c r="A1052" s="1">
        <v>43888</v>
      </c>
      <c r="B1052">
        <v>42193</v>
      </c>
      <c r="C1052">
        <f>_xlfn.XLOOKUP(A1052, USD!A:A, USD!B:B, "")</f>
        <v>71.655000000000001</v>
      </c>
      <c r="D1052">
        <f>_xlfn.XLOOKUP(A1052, Brent!A:A, Brent!B:B, "")</f>
        <v>52.19</v>
      </c>
      <c r="E1052">
        <f>_xlfn.XLOOKUP(
  A1052,
  Repo!A:A,
  Repo!B:B,
  "",
  -1
)</f>
        <v>5.15</v>
      </c>
      <c r="F1052" s="10">
        <f>_xlfn.XLOOKUP(
  A1052,
  CPI!D:D,
  CPI!C:C,
  "",
  -1
)</f>
        <v>6.58</v>
      </c>
      <c r="G1052">
        <v>42349</v>
      </c>
    </row>
    <row r="1053" spans="1:7">
      <c r="A1053" s="1">
        <v>43889</v>
      </c>
      <c r="B1053">
        <v>41763</v>
      </c>
      <c r="C1053">
        <f>_xlfn.XLOOKUP(A1053, USD!A:A, USD!B:B, "")</f>
        <v>72.539000000000001</v>
      </c>
      <c r="D1053">
        <f>_xlfn.XLOOKUP(A1053, Brent!A:A, Brent!B:B, "")</f>
        <v>51.31</v>
      </c>
      <c r="E1053">
        <f>_xlfn.XLOOKUP(
  A1053,
  Repo!A:A,
  Repo!B:B,
  "",
  -1
)</f>
        <v>5.15</v>
      </c>
      <c r="F1053" s="10">
        <f>_xlfn.XLOOKUP(
  A1053,
  CPI!D:D,
  CPI!C:C,
  "",
  -1
)</f>
        <v>6.58</v>
      </c>
      <c r="G1053">
        <v>42193</v>
      </c>
    </row>
    <row r="1054" spans="1:7">
      <c r="A1054" s="1">
        <v>43892</v>
      </c>
      <c r="B1054">
        <v>42017</v>
      </c>
      <c r="C1054">
        <f>_xlfn.XLOOKUP(A1054, USD!A:A, USD!B:B, "")</f>
        <v>72.882000000000005</v>
      </c>
      <c r="D1054">
        <f>_xlfn.XLOOKUP(A1054, Brent!A:A, Brent!B:B, "")</f>
        <v>52.52</v>
      </c>
      <c r="E1054">
        <f>_xlfn.XLOOKUP(
  A1054,
  Repo!A:A,
  Repo!B:B,
  "",
  -1
)</f>
        <v>5.15</v>
      </c>
      <c r="F1054" s="10">
        <f>_xlfn.XLOOKUP(
  A1054,
  CPI!D:D,
  CPI!C:C,
  "",
  -1
)</f>
        <v>5.84</v>
      </c>
      <c r="G1054">
        <v>41763</v>
      </c>
    </row>
    <row r="1055" spans="1:7">
      <c r="A1055" s="1">
        <v>43893</v>
      </c>
      <c r="B1055">
        <v>43100</v>
      </c>
      <c r="C1055">
        <f>_xlfn.XLOOKUP(A1055, USD!A:A, USD!B:B, "")</f>
        <v>73.05</v>
      </c>
      <c r="D1055">
        <f>_xlfn.XLOOKUP(A1055, Brent!A:A, Brent!B:B, "")</f>
        <v>52.24</v>
      </c>
      <c r="E1055">
        <f>_xlfn.XLOOKUP(
  A1055,
  Repo!A:A,
  Repo!B:B,
  "",
  -1
)</f>
        <v>5.15</v>
      </c>
      <c r="F1055" s="10">
        <f>_xlfn.XLOOKUP(
  A1055,
  CPI!D:D,
  CPI!C:C,
  "",
  -1
)</f>
        <v>5.84</v>
      </c>
      <c r="G1055">
        <v>42017</v>
      </c>
    </row>
    <row r="1056" spans="1:7">
      <c r="A1056" s="1">
        <v>43894</v>
      </c>
      <c r="B1056">
        <v>43235</v>
      </c>
      <c r="C1056">
        <f>_xlfn.XLOOKUP(A1056, USD!A:A, USD!B:B, "")</f>
        <v>73.540000000000006</v>
      </c>
      <c r="D1056">
        <f>_xlfn.XLOOKUP(A1056, Brent!A:A, Brent!B:B, "")</f>
        <v>51.86</v>
      </c>
      <c r="E1056">
        <f>_xlfn.XLOOKUP(
  A1056,
  Repo!A:A,
  Repo!B:B,
  "",
  -1
)</f>
        <v>5.15</v>
      </c>
      <c r="F1056" s="10">
        <f>_xlfn.XLOOKUP(
  A1056,
  CPI!D:D,
  CPI!C:C,
  "",
  -1
)</f>
        <v>5.84</v>
      </c>
      <c r="G1056">
        <v>43100</v>
      </c>
    </row>
    <row r="1057" spans="1:7">
      <c r="A1057" s="1">
        <v>43895</v>
      </c>
      <c r="B1057">
        <v>43874</v>
      </c>
      <c r="C1057">
        <f>_xlfn.XLOOKUP(A1057, USD!A:A, USD!B:B, "")</f>
        <v>73.506</v>
      </c>
      <c r="D1057">
        <f>_xlfn.XLOOKUP(A1057, Brent!A:A, Brent!B:B, "")</f>
        <v>51.29</v>
      </c>
      <c r="E1057">
        <f>_xlfn.XLOOKUP(
  A1057,
  Repo!A:A,
  Repo!B:B,
  "",
  -1
)</f>
        <v>5.15</v>
      </c>
      <c r="F1057" s="10">
        <f>_xlfn.XLOOKUP(
  A1057,
  CPI!D:D,
  CPI!C:C,
  "",
  -1
)</f>
        <v>5.84</v>
      </c>
      <c r="G1057">
        <v>43235</v>
      </c>
    </row>
    <row r="1058" spans="1:7">
      <c r="A1058" s="1">
        <v>43896</v>
      </c>
      <c r="B1058">
        <v>44098</v>
      </c>
      <c r="C1058">
        <f>_xlfn.XLOOKUP(A1058, USD!A:A, USD!B:B, "")</f>
        <v>74.004000000000005</v>
      </c>
      <c r="D1058">
        <f>_xlfn.XLOOKUP(A1058, Brent!A:A, Brent!B:B, "")</f>
        <v>45.6</v>
      </c>
      <c r="E1058">
        <f>_xlfn.XLOOKUP(
  A1058,
  Repo!A:A,
  Repo!B:B,
  "",
  -1
)</f>
        <v>5.15</v>
      </c>
      <c r="F1058" s="10">
        <f>_xlfn.XLOOKUP(
  A1058,
  CPI!D:D,
  CPI!C:C,
  "",
  -1
)</f>
        <v>5.84</v>
      </c>
      <c r="G1058">
        <v>43874</v>
      </c>
    </row>
    <row r="1059" spans="1:7">
      <c r="A1059" s="1">
        <v>43899</v>
      </c>
      <c r="B1059">
        <v>44308</v>
      </c>
      <c r="C1059">
        <f>_xlfn.XLOOKUP(A1059, USD!A:A, USD!B:B, "")</f>
        <v>74.195999999999998</v>
      </c>
      <c r="D1059">
        <f>_xlfn.XLOOKUP(A1059, Brent!A:A, Brent!B:B, "")</f>
        <v>35.33</v>
      </c>
      <c r="E1059">
        <f>_xlfn.XLOOKUP(
  A1059,
  Repo!A:A,
  Repo!B:B,
  "",
  -1
)</f>
        <v>5.15</v>
      </c>
      <c r="F1059" s="10">
        <f>_xlfn.XLOOKUP(
  A1059,
  CPI!D:D,
  CPI!C:C,
  "",
  -1
)</f>
        <v>5.84</v>
      </c>
      <c r="G1059">
        <v>44098</v>
      </c>
    </row>
    <row r="1060" spans="1:7">
      <c r="A1060" s="1">
        <v>43900</v>
      </c>
      <c r="B1060">
        <v>43694</v>
      </c>
      <c r="C1060">
        <f>_xlfn.XLOOKUP(A1060, USD!A:A, USD!B:B, "")</f>
        <v>74.150000000000006</v>
      </c>
      <c r="D1060">
        <f>_xlfn.XLOOKUP(A1060, Brent!A:A, Brent!B:B, "")</f>
        <v>35.57</v>
      </c>
      <c r="E1060">
        <f>_xlfn.XLOOKUP(
  A1060,
  Repo!A:A,
  Repo!B:B,
  "",
  -1
)</f>
        <v>5.15</v>
      </c>
      <c r="F1060" s="10">
        <f>_xlfn.XLOOKUP(
  A1060,
  CPI!D:D,
  CPI!C:C,
  "",
  -1
)</f>
        <v>5.84</v>
      </c>
      <c r="G1060">
        <v>44308</v>
      </c>
    </row>
    <row r="1061" spans="1:7">
      <c r="A1061" s="1">
        <v>43901</v>
      </c>
      <c r="B1061">
        <v>43334</v>
      </c>
      <c r="C1061">
        <f>_xlfn.XLOOKUP(A1061, USD!A:A, USD!B:B, "")</f>
        <v>73.682000000000002</v>
      </c>
      <c r="D1061">
        <f>_xlfn.XLOOKUP(A1061, Brent!A:A, Brent!B:B, "")</f>
        <v>34.450000000000003</v>
      </c>
      <c r="E1061">
        <f>_xlfn.XLOOKUP(
  A1061,
  Repo!A:A,
  Repo!B:B,
  "",
  -1
)</f>
        <v>5.15</v>
      </c>
      <c r="F1061" s="10">
        <f>_xlfn.XLOOKUP(
  A1061,
  CPI!D:D,
  CPI!C:C,
  "",
  -1
)</f>
        <v>5.84</v>
      </c>
      <c r="G1061">
        <v>43694</v>
      </c>
    </row>
    <row r="1062" spans="1:7">
      <c r="A1062" s="1">
        <v>43902</v>
      </c>
      <c r="B1062">
        <v>42217</v>
      </c>
      <c r="C1062">
        <f>_xlfn.XLOOKUP(A1062, USD!A:A, USD!B:B, "")</f>
        <v>74.575999999999993</v>
      </c>
      <c r="D1062">
        <f>_xlfn.XLOOKUP(A1062, Brent!A:A, Brent!B:B, "")</f>
        <v>31.02</v>
      </c>
      <c r="E1062">
        <f>_xlfn.XLOOKUP(
  A1062,
  Repo!A:A,
  Repo!B:B,
  "",
  -1
)</f>
        <v>5.15</v>
      </c>
      <c r="F1062" s="10">
        <f>_xlfn.XLOOKUP(
  A1062,
  CPI!D:D,
  CPI!C:C,
  "",
  -1
)</f>
        <v>5.84</v>
      </c>
      <c r="G1062">
        <v>43334</v>
      </c>
    </row>
    <row r="1063" spans="1:7">
      <c r="A1063" s="1">
        <v>43903</v>
      </c>
      <c r="B1063">
        <v>40382</v>
      </c>
      <c r="C1063">
        <f>_xlfn.XLOOKUP(A1063, USD!A:A, USD!B:B, "")</f>
        <v>73.84</v>
      </c>
      <c r="D1063">
        <f>_xlfn.XLOOKUP(A1063, Brent!A:A, Brent!B:B, "")</f>
        <v>32.25</v>
      </c>
      <c r="E1063">
        <f>_xlfn.XLOOKUP(
  A1063,
  Repo!A:A,
  Repo!B:B,
  "",
  -1
)</f>
        <v>5.15</v>
      </c>
      <c r="F1063" s="10">
        <f>_xlfn.XLOOKUP(
  A1063,
  CPI!D:D,
  CPI!C:C,
  "",
  -1
)</f>
        <v>5.84</v>
      </c>
      <c r="G1063">
        <v>42217</v>
      </c>
    </row>
    <row r="1064" spans="1:7">
      <c r="A1064" s="1">
        <v>43906</v>
      </c>
      <c r="B1064">
        <v>39548</v>
      </c>
      <c r="C1064">
        <f>_xlfn.XLOOKUP(A1064, USD!A:A, USD!B:B, "")</f>
        <v>74.003</v>
      </c>
      <c r="D1064">
        <f>_xlfn.XLOOKUP(A1064, Brent!A:A, Brent!B:B, "")</f>
        <v>27.98</v>
      </c>
      <c r="E1064">
        <f>_xlfn.XLOOKUP(
  A1064,
  Repo!A:A,
  Repo!B:B,
  "",
  -1
)</f>
        <v>5.15</v>
      </c>
      <c r="F1064" s="10">
        <f>_xlfn.XLOOKUP(
  A1064,
  CPI!D:D,
  CPI!C:C,
  "",
  -1
)</f>
        <v>5.84</v>
      </c>
      <c r="G1064">
        <v>40382</v>
      </c>
    </row>
    <row r="1065" spans="1:7">
      <c r="A1065" s="1">
        <v>43907</v>
      </c>
      <c r="B1065">
        <v>40279</v>
      </c>
      <c r="C1065">
        <f>_xlfn.XLOOKUP(A1065, USD!A:A, USD!B:B, "")</f>
        <v>74.061999999999998</v>
      </c>
      <c r="D1065">
        <f>_xlfn.XLOOKUP(A1065, Brent!A:A, Brent!B:B, "")</f>
        <v>27.97</v>
      </c>
      <c r="E1065">
        <f>_xlfn.XLOOKUP(
  A1065,
  Repo!A:A,
  Repo!B:B,
  "",
  -1
)</f>
        <v>5.15</v>
      </c>
      <c r="F1065" s="10">
        <f>_xlfn.XLOOKUP(
  A1065,
  CPI!D:D,
  CPI!C:C,
  "",
  -1
)</f>
        <v>5.84</v>
      </c>
      <c r="G1065">
        <v>39548</v>
      </c>
    </row>
    <row r="1066" spans="1:7">
      <c r="A1066" s="1">
        <v>43908</v>
      </c>
      <c r="B1066">
        <v>39764</v>
      </c>
      <c r="C1066">
        <f>_xlfn.XLOOKUP(A1066, USD!A:A, USD!B:B, "")</f>
        <v>74.55</v>
      </c>
      <c r="D1066">
        <f>_xlfn.XLOOKUP(A1066, Brent!A:A, Brent!B:B, "")</f>
        <v>22.79</v>
      </c>
      <c r="E1066">
        <f>_xlfn.XLOOKUP(
  A1066,
  Repo!A:A,
  Repo!B:B,
  "",
  -1
)</f>
        <v>5.15</v>
      </c>
      <c r="F1066" s="10">
        <f>_xlfn.XLOOKUP(
  A1066,
  CPI!D:D,
  CPI!C:C,
  "",
  -1
)</f>
        <v>5.84</v>
      </c>
      <c r="G1066">
        <v>40279</v>
      </c>
    </row>
    <row r="1067" spans="1:7">
      <c r="A1067" s="1">
        <v>43909</v>
      </c>
      <c r="B1067">
        <v>39889</v>
      </c>
      <c r="C1067">
        <f>_xlfn.XLOOKUP(A1067, USD!A:A, USD!B:B, "")</f>
        <v>74.786000000000001</v>
      </c>
      <c r="D1067">
        <f>_xlfn.XLOOKUP(A1067, Brent!A:A, Brent!B:B, "")</f>
        <v>23.98</v>
      </c>
      <c r="E1067">
        <f>_xlfn.XLOOKUP(
  A1067,
  Repo!A:A,
  Repo!B:B,
  "",
  -1
)</f>
        <v>5.15</v>
      </c>
      <c r="F1067" s="10">
        <f>_xlfn.XLOOKUP(
  A1067,
  CPI!D:D,
  CPI!C:C,
  "",
  -1
)</f>
        <v>5.84</v>
      </c>
      <c r="G1067">
        <v>39764</v>
      </c>
    </row>
    <row r="1068" spans="1:7">
      <c r="A1068" s="1">
        <v>43910</v>
      </c>
      <c r="B1068">
        <v>40419</v>
      </c>
      <c r="C1068">
        <f>_xlfn.XLOOKUP(A1068, USD!A:A, USD!B:B, "")</f>
        <v>75.399000000000001</v>
      </c>
      <c r="D1068">
        <f>_xlfn.XLOOKUP(A1068, Brent!A:A, Brent!B:B, "")</f>
        <v>25.55</v>
      </c>
      <c r="E1068">
        <f>_xlfn.XLOOKUP(
  A1068,
  Repo!A:A,
  Repo!B:B,
  "",
  -1
)</f>
        <v>5.15</v>
      </c>
      <c r="F1068" s="10">
        <f>_xlfn.XLOOKUP(
  A1068,
  CPI!D:D,
  CPI!C:C,
  "",
  -1
)</f>
        <v>5.84</v>
      </c>
      <c r="G1068">
        <v>39889</v>
      </c>
    </row>
    <row r="1069" spans="1:7">
      <c r="A1069" s="1">
        <v>43913</v>
      </c>
      <c r="B1069">
        <v>41317</v>
      </c>
      <c r="C1069">
        <f>_xlfn.XLOOKUP(A1069, USD!A:A, USD!B:B, "")</f>
        <v>76.334999999999994</v>
      </c>
      <c r="D1069">
        <f>_xlfn.XLOOKUP(A1069, Brent!A:A, Brent!B:B, "")</f>
        <v>23.75</v>
      </c>
      <c r="E1069">
        <f>_xlfn.XLOOKUP(
  A1069,
  Repo!A:A,
  Repo!B:B,
  "",
  -1
)</f>
        <v>5.15</v>
      </c>
      <c r="F1069" s="10">
        <f>_xlfn.XLOOKUP(
  A1069,
  CPI!D:D,
  CPI!C:C,
  "",
  -1
)</f>
        <v>5.84</v>
      </c>
      <c r="G1069">
        <v>40419</v>
      </c>
    </row>
    <row r="1070" spans="1:7">
      <c r="A1070" s="1">
        <v>43914</v>
      </c>
      <c r="B1070">
        <v>41873</v>
      </c>
      <c r="C1070">
        <f>_xlfn.XLOOKUP(A1070, USD!A:A, USD!B:B, "")</f>
        <v>76.379000000000005</v>
      </c>
      <c r="D1070">
        <f>_xlfn.XLOOKUP(A1070, Brent!A:A, Brent!B:B, "")</f>
        <v>24.5</v>
      </c>
      <c r="E1070">
        <f>_xlfn.XLOOKUP(
  A1070,
  Repo!A:A,
  Repo!B:B,
  "",
  -1
)</f>
        <v>5.15</v>
      </c>
      <c r="F1070" s="10">
        <f>_xlfn.XLOOKUP(
  A1070,
  CPI!D:D,
  CPI!C:C,
  "",
  -1
)</f>
        <v>5.84</v>
      </c>
      <c r="G1070">
        <v>41317</v>
      </c>
    </row>
    <row r="1071" spans="1:7">
      <c r="A1071" s="1">
        <v>43915</v>
      </c>
      <c r="B1071">
        <v>42713</v>
      </c>
      <c r="C1071">
        <f>_xlfn.XLOOKUP(A1071, USD!A:A, USD!B:B, "")</f>
        <v>76.375</v>
      </c>
      <c r="D1071">
        <f>_xlfn.XLOOKUP(A1071, Brent!A:A, Brent!B:B, "")</f>
        <v>25.62</v>
      </c>
      <c r="E1071">
        <f>_xlfn.XLOOKUP(
  A1071,
  Repo!A:A,
  Repo!B:B,
  "",
  -1
)</f>
        <v>5.15</v>
      </c>
      <c r="F1071" s="10">
        <f>_xlfn.XLOOKUP(
  A1071,
  CPI!D:D,
  CPI!C:C,
  "",
  -1
)</f>
        <v>5.84</v>
      </c>
      <c r="G1071">
        <v>41873</v>
      </c>
    </row>
    <row r="1072" spans="1:7">
      <c r="A1072" s="1">
        <v>43916</v>
      </c>
      <c r="B1072">
        <v>43631</v>
      </c>
      <c r="C1072">
        <f>_xlfn.XLOOKUP(A1072, USD!A:A, USD!B:B, "")</f>
        <v>74.888999999999996</v>
      </c>
      <c r="D1072">
        <f>_xlfn.XLOOKUP(A1072, Brent!A:A, Brent!B:B, "")</f>
        <v>23.55</v>
      </c>
      <c r="E1072">
        <f>_xlfn.XLOOKUP(
  A1072,
  Repo!A:A,
  Repo!B:B,
  "",
  -1
)</f>
        <v>5.15</v>
      </c>
      <c r="F1072" s="10">
        <f>_xlfn.XLOOKUP(
  A1072,
  CPI!D:D,
  CPI!C:C,
  "",
  -1
)</f>
        <v>5.84</v>
      </c>
      <c r="G1072">
        <v>42713</v>
      </c>
    </row>
    <row r="1073" spans="1:7">
      <c r="A1073" s="1">
        <v>43917</v>
      </c>
      <c r="B1073">
        <v>43590</v>
      </c>
      <c r="C1073">
        <f>_xlfn.XLOOKUP(A1073, USD!A:A, USD!B:B, "")</f>
        <v>75.471999999999994</v>
      </c>
      <c r="D1073">
        <f>_xlfn.XLOOKUP(A1073, Brent!A:A, Brent!B:B, "")</f>
        <v>22.39</v>
      </c>
      <c r="E1073">
        <f>_xlfn.XLOOKUP(
  A1073,
  Repo!A:A,
  Repo!B:B,
  "",
  -1
)</f>
        <v>5.15</v>
      </c>
      <c r="F1073" s="10">
        <f>_xlfn.XLOOKUP(
  A1073,
  CPI!D:D,
  CPI!C:C,
  "",
  -1
)</f>
        <v>5.84</v>
      </c>
      <c r="G1073">
        <v>43631</v>
      </c>
    </row>
    <row r="1074" spans="1:7">
      <c r="A1074" s="1">
        <v>43920</v>
      </c>
      <c r="B1074">
        <v>43883</v>
      </c>
      <c r="C1074">
        <f>_xlfn.XLOOKUP(A1074, USD!A:A, USD!B:B, "")</f>
        <v>75.41</v>
      </c>
      <c r="D1074">
        <f>_xlfn.XLOOKUP(A1074, Brent!A:A, Brent!B:B, "")</f>
        <v>19.190000000000001</v>
      </c>
      <c r="E1074">
        <f>_xlfn.XLOOKUP(
  A1074,
  Repo!A:A,
  Repo!B:B,
  "",
  -1
)</f>
        <v>5.15</v>
      </c>
      <c r="F1074" s="10">
        <f>_xlfn.XLOOKUP(
  A1074,
  CPI!D:D,
  CPI!C:C,
  "",
  -1
)</f>
        <v>5.84</v>
      </c>
      <c r="G1074">
        <v>43590</v>
      </c>
    </row>
    <row r="1075" spans="1:7">
      <c r="A1075" s="1">
        <v>43921</v>
      </c>
      <c r="B1075">
        <v>43225</v>
      </c>
      <c r="C1075">
        <f>_xlfn.XLOOKUP(A1075, USD!A:A, USD!B:B, "")</f>
        <v>75.343000000000004</v>
      </c>
      <c r="D1075">
        <f>_xlfn.XLOOKUP(A1075, Brent!A:A, Brent!B:B, "")</f>
        <v>14.85</v>
      </c>
      <c r="E1075">
        <f>_xlfn.XLOOKUP(
  A1075,
  Repo!A:A,
  Repo!B:B,
  "",
  -1
)</f>
        <v>4.4000000000000004</v>
      </c>
      <c r="F1075" s="10">
        <f>_xlfn.XLOOKUP(
  A1075,
  CPI!D:D,
  CPI!C:C,
  "",
  -1
)</f>
        <v>5.84</v>
      </c>
      <c r="G1075">
        <v>43883</v>
      </c>
    </row>
    <row r="1076" spans="1:7">
      <c r="A1076" s="1">
        <v>43922</v>
      </c>
      <c r="B1076">
        <v>43578</v>
      </c>
      <c r="C1076">
        <f>_xlfn.XLOOKUP(A1076, USD!A:A, USD!B:B, "")</f>
        <v>76.403999999999996</v>
      </c>
      <c r="D1076">
        <f>_xlfn.XLOOKUP(A1076, Brent!A:A, Brent!B:B, "")</f>
        <v>14.97</v>
      </c>
      <c r="E1076">
        <f>_xlfn.XLOOKUP(
  A1076,
  Repo!A:A,
  Repo!B:B,
  "",
  -1
)</f>
        <v>4.4000000000000004</v>
      </c>
      <c r="F1076" s="10">
        <f>_xlfn.XLOOKUP(
  A1076,
  CPI!D:D,
  CPI!C:C,
  "",
  -1
)</f>
        <v>5.84</v>
      </c>
      <c r="G1076">
        <v>43225</v>
      </c>
    </row>
    <row r="1077" spans="1:7">
      <c r="A1077" s="1">
        <v>43924</v>
      </c>
      <c r="B1077">
        <v>44298</v>
      </c>
      <c r="C1077">
        <f>_xlfn.XLOOKUP(A1077, USD!A:A, USD!B:B, "")</f>
        <v>76.239999999999995</v>
      </c>
      <c r="D1077">
        <f>_xlfn.XLOOKUP(A1077, Brent!A:A, Brent!B:B, "")</f>
        <v>24.33</v>
      </c>
      <c r="E1077">
        <f>_xlfn.XLOOKUP(
  A1077,
  Repo!A:A,
  Repo!B:B,
  "",
  -1
)</f>
        <v>4.4000000000000004</v>
      </c>
      <c r="F1077" s="10">
        <f>_xlfn.XLOOKUP(
  A1077,
  CPI!D:D,
  CPI!C:C,
  "",
  -1
)</f>
        <v>5.84</v>
      </c>
      <c r="G1077">
        <v>43578</v>
      </c>
    </row>
    <row r="1078" spans="1:7">
      <c r="A1078" s="1">
        <v>43928</v>
      </c>
      <c r="B1078">
        <v>45043</v>
      </c>
      <c r="C1078">
        <f>_xlfn.XLOOKUP(A1078, USD!A:A, USD!B:B, "")</f>
        <v>75.644999999999996</v>
      </c>
      <c r="D1078">
        <f>_xlfn.XLOOKUP(A1078, Brent!A:A, Brent!B:B, "")</f>
        <v>22.1</v>
      </c>
      <c r="E1078">
        <f>_xlfn.XLOOKUP(
  A1078,
  Repo!A:A,
  Repo!B:B,
  "",
  -1
)</f>
        <v>4.4000000000000004</v>
      </c>
      <c r="F1078" s="10">
        <f>_xlfn.XLOOKUP(
  A1078,
  CPI!D:D,
  CPI!C:C,
  "",
  -1
)</f>
        <v>5.84</v>
      </c>
      <c r="G1078">
        <v>44298</v>
      </c>
    </row>
    <row r="1079" spans="1:7">
      <c r="A1079" s="1">
        <v>43929</v>
      </c>
      <c r="B1079">
        <v>44944</v>
      </c>
      <c r="C1079">
        <f>_xlfn.XLOOKUP(A1079, USD!A:A, USD!B:B, "")</f>
        <v>75.944999999999993</v>
      </c>
      <c r="D1079">
        <f>_xlfn.XLOOKUP(A1079, Brent!A:A, Brent!B:B, "")</f>
        <v>25.22</v>
      </c>
      <c r="E1079">
        <f>_xlfn.XLOOKUP(
  A1079,
  Repo!A:A,
  Repo!B:B,
  "",
  -1
)</f>
        <v>4.4000000000000004</v>
      </c>
      <c r="F1079" s="10">
        <f>_xlfn.XLOOKUP(
  A1079,
  CPI!D:D,
  CPI!C:C,
  "",
  -1
)</f>
        <v>5.84</v>
      </c>
      <c r="G1079">
        <v>45043</v>
      </c>
    </row>
    <row r="1080" spans="1:7">
      <c r="A1080" s="1">
        <v>43930</v>
      </c>
      <c r="B1080">
        <v>45279</v>
      </c>
      <c r="C1080">
        <f>_xlfn.XLOOKUP(A1080, USD!A:A, USD!B:B, "")</f>
        <v>76.3</v>
      </c>
      <c r="D1080">
        <f>_xlfn.XLOOKUP(A1080, Brent!A:A, Brent!B:B, "")</f>
        <v>20.23</v>
      </c>
      <c r="E1080">
        <f>_xlfn.XLOOKUP(
  A1080,
  Repo!A:A,
  Repo!B:B,
  "",
  -1
)</f>
        <v>4.4000000000000004</v>
      </c>
      <c r="F1080" s="10">
        <f>_xlfn.XLOOKUP(
  A1080,
  CPI!D:D,
  CPI!C:C,
  "",
  -1
)</f>
        <v>5.84</v>
      </c>
      <c r="G1080">
        <v>44944</v>
      </c>
    </row>
    <row r="1081" spans="1:7">
      <c r="A1081" s="1">
        <v>43936</v>
      </c>
      <c r="B1081">
        <v>46696</v>
      </c>
      <c r="C1081">
        <f>_xlfn.XLOOKUP(A1081, USD!A:A, USD!B:B, "")</f>
        <v>76.563999999999993</v>
      </c>
      <c r="D1081">
        <f>_xlfn.XLOOKUP(A1081, Brent!A:A, Brent!B:B, "")</f>
        <v>19.8</v>
      </c>
      <c r="E1081">
        <f>_xlfn.XLOOKUP(
  A1081,
  Repo!A:A,
  Repo!B:B,
  "",
  -1
)</f>
        <v>4.4000000000000004</v>
      </c>
      <c r="F1081" s="10">
        <f>_xlfn.XLOOKUP(
  A1081,
  CPI!D:D,
  CPI!C:C,
  "",
  -1
)</f>
        <v>5.84</v>
      </c>
      <c r="G1081">
        <v>45279</v>
      </c>
    </row>
    <row r="1082" spans="1:7">
      <c r="A1082" s="1">
        <v>43937</v>
      </c>
      <c r="B1082">
        <v>47203</v>
      </c>
      <c r="C1082">
        <f>_xlfn.XLOOKUP(A1082, USD!A:A, USD!B:B, "")</f>
        <v>76.805000000000007</v>
      </c>
      <c r="D1082">
        <f>_xlfn.XLOOKUP(A1082, Brent!A:A, Brent!B:B, "")</f>
        <v>18.690000000000001</v>
      </c>
      <c r="E1082">
        <f>_xlfn.XLOOKUP(
  A1082,
  Repo!A:A,
  Repo!B:B,
  "",
  -1
)</f>
        <v>4.4000000000000004</v>
      </c>
      <c r="F1082" s="10">
        <f>_xlfn.XLOOKUP(
  A1082,
  CPI!D:D,
  CPI!C:C,
  "",
  -1
)</f>
        <v>5.84</v>
      </c>
      <c r="G1082">
        <v>46696</v>
      </c>
    </row>
    <row r="1083" spans="1:7">
      <c r="A1083" s="1">
        <v>43938</v>
      </c>
      <c r="B1083">
        <v>45855</v>
      </c>
      <c r="C1083">
        <f>_xlfn.XLOOKUP(A1083, USD!A:A, USD!B:B, "")</f>
        <v>76.55</v>
      </c>
      <c r="D1083">
        <f>_xlfn.XLOOKUP(A1083, Brent!A:A, Brent!B:B, "")</f>
        <v>19.75</v>
      </c>
      <c r="E1083">
        <f>_xlfn.XLOOKUP(
  A1083,
  Repo!A:A,
  Repo!B:B,
  "",
  -1
)</f>
        <v>4.4000000000000004</v>
      </c>
      <c r="F1083" s="10">
        <f>_xlfn.XLOOKUP(
  A1083,
  CPI!D:D,
  CPI!C:C,
  "",
  -1
)</f>
        <v>5.84</v>
      </c>
      <c r="G1083">
        <v>47203</v>
      </c>
    </row>
    <row r="1084" spans="1:7">
      <c r="A1084" s="1">
        <v>43941</v>
      </c>
      <c r="B1084">
        <v>45724</v>
      </c>
      <c r="C1084">
        <f>_xlfn.XLOOKUP(A1084, USD!A:A, USD!B:B, "")</f>
        <v>76.575000000000003</v>
      </c>
      <c r="D1084">
        <f>_xlfn.XLOOKUP(A1084, Brent!A:A, Brent!B:B, "")</f>
        <v>17.36</v>
      </c>
      <c r="E1084">
        <f>_xlfn.XLOOKUP(
  A1084,
  Repo!A:A,
  Repo!B:B,
  "",
  -1
)</f>
        <v>4.4000000000000004</v>
      </c>
      <c r="F1084" s="10">
        <f>_xlfn.XLOOKUP(
  A1084,
  CPI!D:D,
  CPI!C:C,
  "",
  -1
)</f>
        <v>5.84</v>
      </c>
      <c r="G1084">
        <v>45855</v>
      </c>
    </row>
    <row r="1085" spans="1:7">
      <c r="A1085" s="1">
        <v>43942</v>
      </c>
      <c r="B1085">
        <v>45383</v>
      </c>
      <c r="C1085">
        <f>_xlfn.XLOOKUP(A1085, USD!A:A, USD!B:B, "")</f>
        <v>76.974999999999994</v>
      </c>
      <c r="D1085">
        <f>_xlfn.XLOOKUP(A1085, Brent!A:A, Brent!B:B, "")</f>
        <v>9.1199999999999992</v>
      </c>
      <c r="E1085">
        <f>_xlfn.XLOOKUP(
  A1085,
  Repo!A:A,
  Repo!B:B,
  "",
  -1
)</f>
        <v>4.4000000000000004</v>
      </c>
      <c r="F1085" s="10">
        <f>_xlfn.XLOOKUP(
  A1085,
  CPI!D:D,
  CPI!C:C,
  "",
  -1
)</f>
        <v>5.84</v>
      </c>
      <c r="G1085">
        <v>45724</v>
      </c>
    </row>
    <row r="1086" spans="1:7">
      <c r="A1086" s="1">
        <v>43943</v>
      </c>
      <c r="B1086">
        <v>46189</v>
      </c>
      <c r="C1086">
        <f>_xlfn.XLOOKUP(A1086, USD!A:A, USD!B:B, "")</f>
        <v>76.41</v>
      </c>
      <c r="D1086">
        <f>_xlfn.XLOOKUP(A1086, Brent!A:A, Brent!B:B, "")</f>
        <v>13.77</v>
      </c>
      <c r="E1086">
        <f>_xlfn.XLOOKUP(
  A1086,
  Repo!A:A,
  Repo!B:B,
  "",
  -1
)</f>
        <v>4.4000000000000004</v>
      </c>
      <c r="F1086" s="10">
        <f>_xlfn.XLOOKUP(
  A1086,
  CPI!D:D,
  CPI!C:C,
  "",
  -1
)</f>
        <v>5.84</v>
      </c>
      <c r="G1086">
        <v>45383</v>
      </c>
    </row>
    <row r="1087" spans="1:7">
      <c r="A1087" s="1">
        <v>43944</v>
      </c>
      <c r="B1087">
        <v>46475</v>
      </c>
      <c r="C1087">
        <f>_xlfn.XLOOKUP(A1087, USD!A:A, USD!B:B, "")</f>
        <v>75.894999999999996</v>
      </c>
      <c r="D1087">
        <f>_xlfn.XLOOKUP(A1087, Brent!A:A, Brent!B:B, "")</f>
        <v>15.06</v>
      </c>
      <c r="E1087">
        <f>_xlfn.XLOOKUP(
  A1087,
  Repo!A:A,
  Repo!B:B,
  "",
  -1
)</f>
        <v>4.4000000000000004</v>
      </c>
      <c r="F1087" s="10">
        <f>_xlfn.XLOOKUP(
  A1087,
  CPI!D:D,
  CPI!C:C,
  "",
  -1
)</f>
        <v>5.84</v>
      </c>
      <c r="G1087">
        <v>46189</v>
      </c>
    </row>
    <row r="1088" spans="1:7">
      <c r="A1088" s="1">
        <v>43945</v>
      </c>
      <c r="B1088">
        <v>46550</v>
      </c>
      <c r="C1088">
        <f>_xlfn.XLOOKUP(A1088, USD!A:A, USD!B:B, "")</f>
        <v>76.27</v>
      </c>
      <c r="D1088">
        <f>_xlfn.XLOOKUP(A1088, Brent!A:A, Brent!B:B, "")</f>
        <v>15.87</v>
      </c>
      <c r="E1088">
        <f>_xlfn.XLOOKUP(
  A1088,
  Repo!A:A,
  Repo!B:B,
  "",
  -1
)</f>
        <v>4.4000000000000004</v>
      </c>
      <c r="F1088" s="10">
        <f>_xlfn.XLOOKUP(
  A1088,
  CPI!D:D,
  CPI!C:C,
  "",
  -1
)</f>
        <v>5.84</v>
      </c>
      <c r="G1088">
        <v>46475</v>
      </c>
    </row>
    <row r="1089" spans="1:7">
      <c r="A1089" s="1">
        <v>43948</v>
      </c>
      <c r="B1089">
        <v>46353</v>
      </c>
      <c r="C1089">
        <f>_xlfn.XLOOKUP(A1089, USD!A:A, USD!B:B, "")</f>
        <v>76.228999999999999</v>
      </c>
      <c r="D1089">
        <f>_xlfn.XLOOKUP(A1089, Brent!A:A, Brent!B:B, "")</f>
        <v>15.17</v>
      </c>
      <c r="E1089">
        <f>_xlfn.XLOOKUP(
  A1089,
  Repo!A:A,
  Repo!B:B,
  "",
  -1
)</f>
        <v>4.4000000000000004</v>
      </c>
      <c r="F1089" s="10">
        <f>_xlfn.XLOOKUP(
  A1089,
  CPI!D:D,
  CPI!C:C,
  "",
  -1
)</f>
        <v>5.84</v>
      </c>
      <c r="G1089">
        <v>46550</v>
      </c>
    </row>
    <row r="1090" spans="1:7">
      <c r="A1090" s="1">
        <v>43949</v>
      </c>
      <c r="B1090">
        <v>46188</v>
      </c>
      <c r="C1090">
        <f>_xlfn.XLOOKUP(A1090, USD!A:A, USD!B:B, "")</f>
        <v>76.064999999999998</v>
      </c>
      <c r="D1090">
        <f>_xlfn.XLOOKUP(A1090, Brent!A:A, Brent!B:B, "")</f>
        <v>15.6</v>
      </c>
      <c r="E1090">
        <f>_xlfn.XLOOKUP(
  A1090,
  Repo!A:A,
  Repo!B:B,
  "",
  -1
)</f>
        <v>4.4000000000000004</v>
      </c>
      <c r="F1090" s="10">
        <f>_xlfn.XLOOKUP(
  A1090,
  CPI!D:D,
  CPI!C:C,
  "",
  -1
)</f>
        <v>5.84</v>
      </c>
      <c r="G1090">
        <v>46353</v>
      </c>
    </row>
    <row r="1091" spans="1:7">
      <c r="A1091" s="1">
        <v>43950</v>
      </c>
      <c r="B1091">
        <v>45439</v>
      </c>
      <c r="C1091">
        <f>_xlfn.XLOOKUP(A1091, USD!A:A, USD!B:B, "")</f>
        <v>75.454999999999998</v>
      </c>
      <c r="D1091">
        <f>_xlfn.XLOOKUP(A1091, Brent!A:A, Brent!B:B, "")</f>
        <v>17.86</v>
      </c>
      <c r="E1091">
        <f>_xlfn.XLOOKUP(
  A1091,
  Repo!A:A,
  Repo!B:B,
  "",
  -1
)</f>
        <v>4.4000000000000004</v>
      </c>
      <c r="F1091" s="10">
        <f>_xlfn.XLOOKUP(
  A1091,
  CPI!D:D,
  CPI!C:C,
  "",
  -1
)</f>
        <v>5.84</v>
      </c>
      <c r="G1091">
        <v>46188</v>
      </c>
    </row>
    <row r="1092" spans="1:7">
      <c r="A1092" s="1">
        <v>43951</v>
      </c>
      <c r="B1092">
        <v>44647</v>
      </c>
      <c r="C1092">
        <f>_xlfn.XLOOKUP(A1092, USD!A:A, USD!B:B, "")</f>
        <v>75.08</v>
      </c>
      <c r="D1092">
        <f>_xlfn.XLOOKUP(A1092, Brent!A:A, Brent!B:B, "")</f>
        <v>18.11</v>
      </c>
      <c r="E1092">
        <f>_xlfn.XLOOKUP(
  A1092,
  Repo!A:A,
  Repo!B:B,
  "",
  -1
)</f>
        <v>4.4000000000000004</v>
      </c>
      <c r="F1092" s="10">
        <f>_xlfn.XLOOKUP(
  A1092,
  CPI!D:D,
  CPI!C:C,
  "",
  -1
)</f>
        <v>5.84</v>
      </c>
      <c r="G1092">
        <v>45439</v>
      </c>
    </row>
    <row r="1093" spans="1:7">
      <c r="A1093" s="1">
        <v>43952</v>
      </c>
      <c r="B1093">
        <v>45251</v>
      </c>
      <c r="C1093">
        <f>_xlfn.XLOOKUP(A1093, USD!A:A, USD!B:B, "")</f>
        <v>75.748999999999995</v>
      </c>
      <c r="D1093">
        <f>_xlfn.XLOOKUP(A1093, Brent!A:A, Brent!B:B, "")</f>
        <v>18.489999999999998</v>
      </c>
      <c r="E1093">
        <f>_xlfn.XLOOKUP(
  A1093,
  Repo!A:A,
  Repo!B:B,
  "",
  -1
)</f>
        <v>4.4000000000000004</v>
      </c>
      <c r="F1093" s="10">
        <f>_xlfn.XLOOKUP(
  A1093,
  CPI!D:D,
  CPI!C:C,
  "",
  -1
)</f>
        <v>5.84</v>
      </c>
      <c r="G1093">
        <v>44647</v>
      </c>
    </row>
    <row r="1094" spans="1:7">
      <c r="A1094" s="1">
        <v>43955</v>
      </c>
      <c r="B1094">
        <v>45762</v>
      </c>
      <c r="C1094">
        <f>_xlfn.XLOOKUP(A1094, USD!A:A, USD!B:B, "")</f>
        <v>75.64</v>
      </c>
      <c r="D1094">
        <f>_xlfn.XLOOKUP(A1094, Brent!A:A, Brent!B:B, "")</f>
        <v>20.399999999999999</v>
      </c>
      <c r="E1094">
        <f>_xlfn.XLOOKUP(
  A1094,
  Repo!A:A,
  Repo!B:B,
  "",
  -1
)</f>
        <v>4.4000000000000004</v>
      </c>
      <c r="F1094" s="10">
        <f>_xlfn.XLOOKUP(
  A1094,
  CPI!D:D,
  CPI!C:C,
  "",
  -1
)</f>
        <v>5.84</v>
      </c>
      <c r="G1094">
        <v>45251</v>
      </c>
    </row>
    <row r="1095" spans="1:7">
      <c r="A1095" s="1">
        <v>43956</v>
      </c>
      <c r="B1095">
        <v>45539</v>
      </c>
      <c r="C1095">
        <f>_xlfn.XLOOKUP(A1095, USD!A:A, USD!B:B, "")</f>
        <v>75.709999999999994</v>
      </c>
      <c r="D1095">
        <f>_xlfn.XLOOKUP(A1095, Brent!A:A, Brent!B:B, "")</f>
        <v>25.46</v>
      </c>
      <c r="E1095">
        <f>_xlfn.XLOOKUP(
  A1095,
  Repo!A:A,
  Repo!B:B,
  "",
  -1
)</f>
        <v>4.4000000000000004</v>
      </c>
      <c r="F1095" s="10">
        <f>_xlfn.XLOOKUP(
  A1095,
  CPI!D:D,
  CPI!C:C,
  "",
  -1
)</f>
        <v>5.84</v>
      </c>
      <c r="G1095">
        <v>45762</v>
      </c>
    </row>
    <row r="1096" spans="1:7">
      <c r="A1096" s="1">
        <v>43957</v>
      </c>
      <c r="B1096">
        <v>45387</v>
      </c>
      <c r="C1096">
        <f>_xlfn.XLOOKUP(A1096, USD!A:A, USD!B:B, "")</f>
        <v>76.105000000000004</v>
      </c>
      <c r="D1096">
        <f>_xlfn.XLOOKUP(A1096, Brent!A:A, Brent!B:B, "")</f>
        <v>24.2</v>
      </c>
      <c r="E1096">
        <f>_xlfn.XLOOKUP(
  A1096,
  Repo!A:A,
  Repo!B:B,
  "",
  -1
)</f>
        <v>4.4000000000000004</v>
      </c>
      <c r="F1096" s="10">
        <f>_xlfn.XLOOKUP(
  A1096,
  CPI!D:D,
  CPI!C:C,
  "",
  -1
)</f>
        <v>5.84</v>
      </c>
      <c r="G1096">
        <v>45539</v>
      </c>
    </row>
    <row r="1097" spans="1:7">
      <c r="A1097" s="1">
        <v>43958</v>
      </c>
      <c r="B1097">
        <v>46147</v>
      </c>
      <c r="C1097">
        <f>_xlfn.XLOOKUP(A1097, USD!A:A, USD!B:B, "")</f>
        <v>75.793999999999997</v>
      </c>
      <c r="D1097">
        <f>_xlfn.XLOOKUP(A1097, Brent!A:A, Brent!B:B, "")</f>
        <v>24.23</v>
      </c>
      <c r="E1097">
        <f>_xlfn.XLOOKUP(
  A1097,
  Repo!A:A,
  Repo!B:B,
  "",
  -1
)</f>
        <v>4.4000000000000004</v>
      </c>
      <c r="F1097" s="10">
        <f>_xlfn.XLOOKUP(
  A1097,
  CPI!D:D,
  CPI!C:C,
  "",
  -1
)</f>
        <v>5.84</v>
      </c>
      <c r="G1097">
        <v>45387</v>
      </c>
    </row>
    <row r="1098" spans="1:7">
      <c r="A1098" s="1">
        <v>43962</v>
      </c>
      <c r="B1098">
        <v>45785</v>
      </c>
      <c r="C1098">
        <f>_xlfn.XLOOKUP(A1098, USD!A:A, USD!B:B, "")</f>
        <v>75.888000000000005</v>
      </c>
      <c r="D1098">
        <f>_xlfn.XLOOKUP(A1098, Brent!A:A, Brent!B:B, "")</f>
        <v>25.53</v>
      </c>
      <c r="E1098">
        <f>_xlfn.XLOOKUP(
  A1098,
  Repo!A:A,
  Repo!B:B,
  "",
  -1
)</f>
        <v>4.4000000000000004</v>
      </c>
      <c r="F1098" s="10">
        <f>_xlfn.XLOOKUP(
  A1098,
  CPI!D:D,
  CPI!C:C,
  "",
  -1
)</f>
        <v>5.84</v>
      </c>
      <c r="G1098">
        <v>46147</v>
      </c>
    </row>
    <row r="1099" spans="1:7">
      <c r="A1099" s="1">
        <v>43963</v>
      </c>
      <c r="B1099">
        <v>45635</v>
      </c>
      <c r="C1099">
        <f>_xlfn.XLOOKUP(A1099, USD!A:A, USD!B:B, "")</f>
        <v>75.061999999999998</v>
      </c>
      <c r="D1099">
        <f>_xlfn.XLOOKUP(A1099, Brent!A:A, Brent!B:B, "")</f>
        <v>26.67</v>
      </c>
      <c r="E1099">
        <f>_xlfn.XLOOKUP(
  A1099,
  Repo!A:A,
  Repo!B:B,
  "",
  -1
)</f>
        <v>4.4000000000000004</v>
      </c>
      <c r="F1099" s="10">
        <f>_xlfn.XLOOKUP(
  A1099,
  CPI!D:D,
  CPI!C:C,
  "",
  -1
)</f>
        <v>5.84</v>
      </c>
      <c r="G1099">
        <v>45785</v>
      </c>
    </row>
    <row r="1100" spans="1:7">
      <c r="A1100" s="1">
        <v>43964</v>
      </c>
      <c r="B1100">
        <v>45983</v>
      </c>
      <c r="C1100">
        <f>_xlfn.XLOOKUP(A1100, USD!A:A, USD!B:B, "")</f>
        <v>75.364999999999995</v>
      </c>
      <c r="D1100">
        <f>_xlfn.XLOOKUP(A1100, Brent!A:A, Brent!B:B, "")</f>
        <v>27.89</v>
      </c>
      <c r="E1100">
        <f>_xlfn.XLOOKUP(
  A1100,
  Repo!A:A,
  Repo!B:B,
  "",
  -1
)</f>
        <v>4.4000000000000004</v>
      </c>
      <c r="F1100" s="10">
        <f>_xlfn.XLOOKUP(
  A1100,
  CPI!D:D,
  CPI!C:C,
  "",
  -1
)</f>
        <v>5.84</v>
      </c>
      <c r="G1100">
        <v>45635</v>
      </c>
    </row>
    <row r="1101" spans="1:7">
      <c r="A1101" s="1">
        <v>43965</v>
      </c>
      <c r="B1101">
        <v>46631</v>
      </c>
      <c r="C1101">
        <f>_xlfn.XLOOKUP(A1101, USD!A:A, USD!B:B, "")</f>
        <v>75.495000000000005</v>
      </c>
      <c r="D1101">
        <f>_xlfn.XLOOKUP(A1101, Brent!A:A, Brent!B:B, "")</f>
        <v>29.87</v>
      </c>
      <c r="E1101">
        <f>_xlfn.XLOOKUP(
  A1101,
  Repo!A:A,
  Repo!B:B,
  "",
  -1
)</f>
        <v>4.4000000000000004</v>
      </c>
      <c r="F1101" s="10">
        <f>_xlfn.XLOOKUP(
  A1101,
  CPI!D:D,
  CPI!C:C,
  "",
  -1
)</f>
        <v>5.84</v>
      </c>
      <c r="G1101">
        <v>45983</v>
      </c>
    </row>
    <row r="1102" spans="1:7">
      <c r="A1102" s="1">
        <v>43966</v>
      </c>
      <c r="B1102">
        <v>47352</v>
      </c>
      <c r="C1102">
        <f>_xlfn.XLOOKUP(A1102, USD!A:A, USD!B:B, "")</f>
        <v>75.83</v>
      </c>
      <c r="D1102">
        <f>_xlfn.XLOOKUP(A1102, Brent!A:A, Brent!B:B, "")</f>
        <v>30.95</v>
      </c>
      <c r="E1102">
        <f>_xlfn.XLOOKUP(
  A1102,
  Repo!A:A,
  Repo!B:B,
  "",
  -1
)</f>
        <v>4.4000000000000004</v>
      </c>
      <c r="F1102" s="10">
        <f>_xlfn.XLOOKUP(
  A1102,
  CPI!D:D,
  CPI!C:C,
  "",
  -1
)</f>
        <v>5.84</v>
      </c>
      <c r="G1102">
        <v>46631</v>
      </c>
    </row>
    <row r="1103" spans="1:7">
      <c r="A1103" s="1">
        <v>43969</v>
      </c>
      <c r="B1103">
        <v>46652</v>
      </c>
      <c r="C1103">
        <f>_xlfn.XLOOKUP(A1103, USD!A:A, USD!B:B, "")</f>
        <v>75.7</v>
      </c>
      <c r="D1103">
        <f>_xlfn.XLOOKUP(A1103, Brent!A:A, Brent!B:B, "")</f>
        <v>33.299999999999997</v>
      </c>
      <c r="E1103">
        <f>_xlfn.XLOOKUP(
  A1103,
  Repo!A:A,
  Repo!B:B,
  "",
  -1
)</f>
        <v>4.4000000000000004</v>
      </c>
      <c r="F1103" s="10">
        <f>_xlfn.XLOOKUP(
  A1103,
  CPI!D:D,
  CPI!C:C,
  "",
  -1
)</f>
        <v>5.84</v>
      </c>
      <c r="G1103">
        <v>47352</v>
      </c>
    </row>
    <row r="1104" spans="1:7">
      <c r="A1104" s="1">
        <v>43970</v>
      </c>
      <c r="B1104">
        <v>47036</v>
      </c>
      <c r="C1104">
        <f>_xlfn.XLOOKUP(A1104, USD!A:A, USD!B:B, "")</f>
        <v>75.644999999999996</v>
      </c>
      <c r="D1104">
        <f>_xlfn.XLOOKUP(A1104, Brent!A:A, Brent!B:B, "")</f>
        <v>33.06</v>
      </c>
      <c r="E1104">
        <f>_xlfn.XLOOKUP(
  A1104,
  Repo!A:A,
  Repo!B:B,
  "",
  -1
)</f>
        <v>4.4000000000000004</v>
      </c>
      <c r="F1104" s="10">
        <f>_xlfn.XLOOKUP(
  A1104,
  CPI!D:D,
  CPI!C:C,
  "",
  -1
)</f>
        <v>5.84</v>
      </c>
      <c r="G1104">
        <v>46652</v>
      </c>
    </row>
    <row r="1105" spans="1:7">
      <c r="A1105" s="1">
        <v>43971</v>
      </c>
      <c r="B1105">
        <v>47129</v>
      </c>
      <c r="C1105">
        <f>_xlfn.XLOOKUP(A1105, USD!A:A, USD!B:B, "")</f>
        <v>75.555000000000007</v>
      </c>
      <c r="D1105">
        <f>_xlfn.XLOOKUP(A1105, Brent!A:A, Brent!B:B, "")</f>
        <v>34.76</v>
      </c>
      <c r="E1105">
        <f>_xlfn.XLOOKUP(
  A1105,
  Repo!A:A,
  Repo!B:B,
  "",
  -1
)</f>
        <v>4.4000000000000004</v>
      </c>
      <c r="F1105" s="10">
        <f>_xlfn.XLOOKUP(
  A1105,
  CPI!D:D,
  CPI!C:C,
  "",
  -1
)</f>
        <v>5.84</v>
      </c>
      <c r="G1105">
        <v>47036</v>
      </c>
    </row>
    <row r="1106" spans="1:7">
      <c r="A1106" s="1">
        <v>43972</v>
      </c>
      <c r="B1106">
        <v>46417</v>
      </c>
      <c r="C1106">
        <f>_xlfn.XLOOKUP(A1106, USD!A:A, USD!B:B, "")</f>
        <v>75.62</v>
      </c>
      <c r="D1106">
        <f>_xlfn.XLOOKUP(A1106, Brent!A:A, Brent!B:B, "")</f>
        <v>34.78</v>
      </c>
      <c r="E1106">
        <f>_xlfn.XLOOKUP(
  A1106,
  Repo!A:A,
  Repo!B:B,
  "",
  -1
)</f>
        <v>4.4000000000000004</v>
      </c>
      <c r="F1106" s="10">
        <f>_xlfn.XLOOKUP(
  A1106,
  CPI!D:D,
  CPI!C:C,
  "",
  -1
)</f>
        <v>5.84</v>
      </c>
      <c r="G1106">
        <v>47129</v>
      </c>
    </row>
    <row r="1107" spans="1:7">
      <c r="A1107" s="1">
        <v>43973</v>
      </c>
      <c r="B1107">
        <v>47057</v>
      </c>
      <c r="C1107">
        <f>_xlfn.XLOOKUP(A1107, USD!A:A, USD!B:B, "")</f>
        <v>75.95</v>
      </c>
      <c r="D1107">
        <f>_xlfn.XLOOKUP(A1107, Brent!A:A, Brent!B:B, "")</f>
        <v>33.799999999999997</v>
      </c>
      <c r="E1107">
        <f>_xlfn.XLOOKUP(
  A1107,
  Repo!A:A,
  Repo!B:B,
  "",
  -1
)</f>
        <v>4.4000000000000004</v>
      </c>
      <c r="F1107" s="10">
        <f>_xlfn.XLOOKUP(
  A1107,
  CPI!D:D,
  CPI!C:C,
  "",
  -1
)</f>
        <v>5.84</v>
      </c>
      <c r="G1107">
        <v>46417</v>
      </c>
    </row>
    <row r="1108" spans="1:7">
      <c r="A1108" s="1">
        <v>43977</v>
      </c>
      <c r="B1108">
        <v>46393</v>
      </c>
      <c r="C1108">
        <f>_xlfn.XLOOKUP(A1108, USD!A:A, USD!B:B, "")</f>
        <v>75.459000000000003</v>
      </c>
      <c r="D1108">
        <f>_xlfn.XLOOKUP(A1108, Brent!A:A, Brent!B:B, "")</f>
        <v>33.950000000000003</v>
      </c>
      <c r="E1108">
        <f>_xlfn.XLOOKUP(
  A1108,
  Repo!A:A,
  Repo!B:B,
  "",
  -1
)</f>
        <v>4.4000000000000004</v>
      </c>
      <c r="F1108" s="10">
        <f>_xlfn.XLOOKUP(
  A1108,
  CPI!D:D,
  CPI!C:C,
  "",
  -1
)</f>
        <v>5.84</v>
      </c>
      <c r="G1108">
        <v>47057</v>
      </c>
    </row>
    <row r="1109" spans="1:7">
      <c r="A1109" s="1">
        <v>43978</v>
      </c>
      <c r="B1109">
        <v>46647</v>
      </c>
      <c r="C1109">
        <f>_xlfn.XLOOKUP(A1109, USD!A:A, USD!B:B, "")</f>
        <v>75.92</v>
      </c>
      <c r="D1109">
        <f>_xlfn.XLOOKUP(A1109, Brent!A:A, Brent!B:B, "")</f>
        <v>32.729999999999997</v>
      </c>
      <c r="E1109">
        <f>_xlfn.XLOOKUP(
  A1109,
  Repo!A:A,
  Repo!B:B,
  "",
  -1
)</f>
        <v>4.4000000000000004</v>
      </c>
      <c r="F1109" s="10">
        <f>_xlfn.XLOOKUP(
  A1109,
  CPI!D:D,
  CPI!C:C,
  "",
  -1
)</f>
        <v>5.84</v>
      </c>
      <c r="G1109">
        <v>46393</v>
      </c>
    </row>
    <row r="1110" spans="1:7">
      <c r="A1110" s="1">
        <v>43979</v>
      </c>
      <c r="B1110">
        <v>46474</v>
      </c>
      <c r="C1110">
        <f>_xlfn.XLOOKUP(A1110, USD!A:A, USD!B:B, "")</f>
        <v>75.66</v>
      </c>
      <c r="D1110">
        <f>_xlfn.XLOOKUP(A1110, Brent!A:A, Brent!B:B, "")</f>
        <v>33.979999999999997</v>
      </c>
      <c r="E1110">
        <f>_xlfn.XLOOKUP(
  A1110,
  Repo!A:A,
  Repo!B:B,
  "",
  -1
)</f>
        <v>4.4000000000000004</v>
      </c>
      <c r="F1110" s="10">
        <f>_xlfn.XLOOKUP(
  A1110,
  CPI!D:D,
  CPI!C:C,
  "",
  -1
)</f>
        <v>5.84</v>
      </c>
      <c r="G1110">
        <v>46647</v>
      </c>
    </row>
    <row r="1111" spans="1:7">
      <c r="A1111" s="1">
        <v>43980</v>
      </c>
      <c r="B1111">
        <v>46858</v>
      </c>
      <c r="C1111">
        <f>_xlfn.XLOOKUP(A1111, USD!A:A, USD!B:B, "")</f>
        <v>75.605000000000004</v>
      </c>
      <c r="D1111">
        <f>_xlfn.XLOOKUP(A1111, Brent!A:A, Brent!B:B, "")</f>
        <v>34.15</v>
      </c>
      <c r="E1111">
        <f>_xlfn.XLOOKUP(
  A1111,
  Repo!A:A,
  Repo!B:B,
  "",
  -1
)</f>
        <v>4.4000000000000004</v>
      </c>
      <c r="F1111" s="10">
        <f>_xlfn.XLOOKUP(
  A1111,
  CPI!D:D,
  CPI!C:C,
  "",
  -1
)</f>
        <v>5.84</v>
      </c>
      <c r="G1111">
        <v>46474</v>
      </c>
    </row>
    <row r="1112" spans="1:7">
      <c r="A1112" s="1">
        <v>43983</v>
      </c>
      <c r="B1112">
        <v>47018</v>
      </c>
      <c r="C1112">
        <f>_xlfn.XLOOKUP(A1112, USD!A:A, USD!B:B, "")</f>
        <v>75.504999999999995</v>
      </c>
      <c r="D1112">
        <f>_xlfn.XLOOKUP(A1112, Brent!A:A, Brent!B:B, "")</f>
        <v>36.74</v>
      </c>
      <c r="E1112">
        <f>_xlfn.XLOOKUP(
  A1112,
  Repo!A:A,
  Repo!B:B,
  "",
  -1
)</f>
        <v>4</v>
      </c>
      <c r="F1112" s="10">
        <f>_xlfn.XLOOKUP(
  A1112,
  CPI!D:D,
  CPI!C:C,
  "",
  -1
)</f>
        <v>6.23</v>
      </c>
      <c r="G1112">
        <v>46858</v>
      </c>
    </row>
    <row r="1113" spans="1:7">
      <c r="A1113" s="1">
        <v>43984</v>
      </c>
      <c r="B1113">
        <v>46796</v>
      </c>
      <c r="C1113">
        <f>_xlfn.XLOOKUP(A1113, USD!A:A, USD!B:B, "")</f>
        <v>75.099999999999994</v>
      </c>
      <c r="D1113">
        <f>_xlfn.XLOOKUP(A1113, Brent!A:A, Brent!B:B, "")</f>
        <v>37.72</v>
      </c>
      <c r="E1113">
        <f>_xlfn.XLOOKUP(
  A1113,
  Repo!A:A,
  Repo!B:B,
  "",
  -1
)</f>
        <v>4</v>
      </c>
      <c r="F1113" s="10">
        <f>_xlfn.XLOOKUP(
  A1113,
  CPI!D:D,
  CPI!C:C,
  "",
  -1
)</f>
        <v>6.23</v>
      </c>
      <c r="G1113">
        <v>47018</v>
      </c>
    </row>
    <row r="1114" spans="1:7">
      <c r="A1114" s="1">
        <v>43985</v>
      </c>
      <c r="B1114">
        <v>46203</v>
      </c>
      <c r="C1114">
        <f>_xlfn.XLOOKUP(A1114, USD!A:A, USD!B:B, "")</f>
        <v>75.325000000000003</v>
      </c>
      <c r="D1114">
        <f>_xlfn.XLOOKUP(A1114, Brent!A:A, Brent!B:B, "")</f>
        <v>37.979999999999997</v>
      </c>
      <c r="E1114">
        <f>_xlfn.XLOOKUP(
  A1114,
  Repo!A:A,
  Repo!B:B,
  "",
  -1
)</f>
        <v>4</v>
      </c>
      <c r="F1114" s="10">
        <f>_xlfn.XLOOKUP(
  A1114,
  CPI!D:D,
  CPI!C:C,
  "",
  -1
)</f>
        <v>6.23</v>
      </c>
      <c r="G1114">
        <v>46796</v>
      </c>
    </row>
    <row r="1115" spans="1:7">
      <c r="A1115" s="1">
        <v>43986</v>
      </c>
      <c r="B1115">
        <v>46781</v>
      </c>
      <c r="C1115">
        <f>_xlfn.XLOOKUP(A1115, USD!A:A, USD!B:B, "")</f>
        <v>75.459000000000003</v>
      </c>
      <c r="D1115">
        <f>_xlfn.XLOOKUP(A1115, Brent!A:A, Brent!B:B, "")</f>
        <v>38.409999999999997</v>
      </c>
      <c r="E1115">
        <f>_xlfn.XLOOKUP(
  A1115,
  Repo!A:A,
  Repo!B:B,
  "",
  -1
)</f>
        <v>4</v>
      </c>
      <c r="F1115" s="10">
        <f>_xlfn.XLOOKUP(
  A1115,
  CPI!D:D,
  CPI!C:C,
  "",
  -1
)</f>
        <v>6.23</v>
      </c>
      <c r="G1115">
        <v>46203</v>
      </c>
    </row>
    <row r="1116" spans="1:7">
      <c r="A1116" s="1">
        <v>43987</v>
      </c>
      <c r="B1116">
        <v>46346</v>
      </c>
      <c r="C1116">
        <f>_xlfn.XLOOKUP(A1116, USD!A:A, USD!B:B, "")</f>
        <v>75.56</v>
      </c>
      <c r="D1116">
        <f>_xlfn.XLOOKUP(A1116, Brent!A:A, Brent!B:B, "")</f>
        <v>41</v>
      </c>
      <c r="E1116">
        <f>_xlfn.XLOOKUP(
  A1116,
  Repo!A:A,
  Repo!B:B,
  "",
  -1
)</f>
        <v>4</v>
      </c>
      <c r="F1116" s="10">
        <f>_xlfn.XLOOKUP(
  A1116,
  CPI!D:D,
  CPI!C:C,
  "",
  -1
)</f>
        <v>6.23</v>
      </c>
      <c r="G1116">
        <v>46781</v>
      </c>
    </row>
    <row r="1117" spans="1:7">
      <c r="A1117" s="1">
        <v>43990</v>
      </c>
      <c r="B1117">
        <v>46110</v>
      </c>
      <c r="C1117">
        <f>_xlfn.XLOOKUP(A1117, USD!A:A, USD!B:B, "")</f>
        <v>75.400000000000006</v>
      </c>
      <c r="D1117">
        <f>_xlfn.XLOOKUP(A1117, Brent!A:A, Brent!B:B, "")</f>
        <v>39.659999999999997</v>
      </c>
      <c r="E1117">
        <f>_xlfn.XLOOKUP(
  A1117,
  Repo!A:A,
  Repo!B:B,
  "",
  -1
)</f>
        <v>4</v>
      </c>
      <c r="F1117" s="10">
        <f>_xlfn.XLOOKUP(
  A1117,
  CPI!D:D,
  CPI!C:C,
  "",
  -1
)</f>
        <v>6.23</v>
      </c>
      <c r="G1117">
        <v>46346</v>
      </c>
    </row>
    <row r="1118" spans="1:7">
      <c r="A1118" s="1">
        <v>43991</v>
      </c>
      <c r="B1118">
        <v>46595</v>
      </c>
      <c r="C1118">
        <f>_xlfn.XLOOKUP(A1118, USD!A:A, USD!B:B, "")</f>
        <v>75.504999999999995</v>
      </c>
      <c r="D1118">
        <f>_xlfn.XLOOKUP(A1118, Brent!A:A, Brent!B:B, "")</f>
        <v>40.450000000000003</v>
      </c>
      <c r="E1118">
        <f>_xlfn.XLOOKUP(
  A1118,
  Repo!A:A,
  Repo!B:B,
  "",
  -1
)</f>
        <v>4</v>
      </c>
      <c r="F1118" s="10">
        <f>_xlfn.XLOOKUP(
  A1118,
  CPI!D:D,
  CPI!C:C,
  "",
  -1
)</f>
        <v>6.23</v>
      </c>
      <c r="G1118">
        <v>46110</v>
      </c>
    </row>
    <row r="1119" spans="1:7">
      <c r="A1119" s="1">
        <v>43992</v>
      </c>
      <c r="B1119">
        <v>46629</v>
      </c>
      <c r="C1119">
        <f>_xlfn.XLOOKUP(A1119, USD!A:A, USD!B:B, "")</f>
        <v>75.635000000000005</v>
      </c>
      <c r="D1119">
        <f>_xlfn.XLOOKUP(A1119, Brent!A:A, Brent!B:B, "")</f>
        <v>41.18</v>
      </c>
      <c r="E1119">
        <f>_xlfn.XLOOKUP(
  A1119,
  Repo!A:A,
  Repo!B:B,
  "",
  -1
)</f>
        <v>4</v>
      </c>
      <c r="F1119" s="10">
        <f>_xlfn.XLOOKUP(
  A1119,
  CPI!D:D,
  CPI!C:C,
  "",
  -1
)</f>
        <v>6.23</v>
      </c>
      <c r="G1119">
        <v>46595</v>
      </c>
    </row>
    <row r="1120" spans="1:7">
      <c r="A1120" s="1">
        <v>43993</v>
      </c>
      <c r="B1120">
        <v>47405</v>
      </c>
      <c r="C1120">
        <f>_xlfn.XLOOKUP(A1120, USD!A:A, USD!B:B, "")</f>
        <v>75.971000000000004</v>
      </c>
      <c r="D1120">
        <f>_xlfn.XLOOKUP(A1120, Brent!A:A, Brent!B:B, "")</f>
        <v>37.76</v>
      </c>
      <c r="E1120">
        <f>_xlfn.XLOOKUP(
  A1120,
  Repo!A:A,
  Repo!B:B,
  "",
  -1
)</f>
        <v>4</v>
      </c>
      <c r="F1120" s="10">
        <f>_xlfn.XLOOKUP(
  A1120,
  CPI!D:D,
  CPI!C:C,
  "",
  -1
)</f>
        <v>6.23</v>
      </c>
      <c r="G1120">
        <v>46629</v>
      </c>
    </row>
    <row r="1121" spans="1:7">
      <c r="A1121" s="1">
        <v>43994</v>
      </c>
      <c r="B1121">
        <v>47325</v>
      </c>
      <c r="C1121">
        <f>_xlfn.XLOOKUP(A1121, USD!A:A, USD!B:B, "")</f>
        <v>76.05</v>
      </c>
      <c r="D1121">
        <f>_xlfn.XLOOKUP(A1121, Brent!A:A, Brent!B:B, "")</f>
        <v>38.54</v>
      </c>
      <c r="E1121">
        <f>_xlfn.XLOOKUP(
  A1121,
  Repo!A:A,
  Repo!B:B,
  "",
  -1
)</f>
        <v>4</v>
      </c>
      <c r="F1121" s="10">
        <f>_xlfn.XLOOKUP(
  A1121,
  CPI!D:D,
  CPI!C:C,
  "",
  -1
)</f>
        <v>6.23</v>
      </c>
      <c r="G1121">
        <v>47405</v>
      </c>
    </row>
    <row r="1122" spans="1:7">
      <c r="A1122" s="1">
        <v>43997</v>
      </c>
      <c r="B1122">
        <v>46999</v>
      </c>
      <c r="C1122">
        <f>_xlfn.XLOOKUP(A1122, USD!A:A, USD!B:B, "")</f>
        <v>75.978999999999999</v>
      </c>
      <c r="D1122">
        <f>_xlfn.XLOOKUP(A1122, Brent!A:A, Brent!B:B, "")</f>
        <v>39.44</v>
      </c>
      <c r="E1122">
        <f>_xlfn.XLOOKUP(
  A1122,
  Repo!A:A,
  Repo!B:B,
  "",
  -1
)</f>
        <v>4</v>
      </c>
      <c r="F1122" s="10">
        <f>_xlfn.XLOOKUP(
  A1122,
  CPI!D:D,
  CPI!C:C,
  "",
  -1
)</f>
        <v>6.23</v>
      </c>
      <c r="G1122">
        <v>47325</v>
      </c>
    </row>
    <row r="1123" spans="1:7">
      <c r="A1123" s="1">
        <v>43998</v>
      </c>
      <c r="B1123">
        <v>47534</v>
      </c>
      <c r="C1123">
        <f>_xlfn.XLOOKUP(A1123, USD!A:A, USD!B:B, "")</f>
        <v>76.25</v>
      </c>
      <c r="D1123">
        <f>_xlfn.XLOOKUP(A1123, Brent!A:A, Brent!B:B, "")</f>
        <v>40.75</v>
      </c>
      <c r="E1123">
        <f>_xlfn.XLOOKUP(
  A1123,
  Repo!A:A,
  Repo!B:B,
  "",
  -1
)</f>
        <v>4</v>
      </c>
      <c r="F1123" s="10">
        <f>_xlfn.XLOOKUP(
  A1123,
  CPI!D:D,
  CPI!C:C,
  "",
  -1
)</f>
        <v>6.23</v>
      </c>
      <c r="G1123">
        <v>46999</v>
      </c>
    </row>
    <row r="1124" spans="1:7">
      <c r="A1124" s="1">
        <v>43999</v>
      </c>
      <c r="B1124">
        <v>47320</v>
      </c>
      <c r="C1124">
        <f>_xlfn.XLOOKUP(A1124, USD!A:A, USD!B:B, "")</f>
        <v>76.290000000000006</v>
      </c>
      <c r="D1124">
        <f>_xlfn.XLOOKUP(A1124, Brent!A:A, Brent!B:B, "")</f>
        <v>40.47</v>
      </c>
      <c r="E1124">
        <f>_xlfn.XLOOKUP(
  A1124,
  Repo!A:A,
  Repo!B:B,
  "",
  -1
)</f>
        <v>4</v>
      </c>
      <c r="F1124" s="10">
        <f>_xlfn.XLOOKUP(
  A1124,
  CPI!D:D,
  CPI!C:C,
  "",
  -1
)</f>
        <v>6.23</v>
      </c>
      <c r="G1124">
        <v>47534</v>
      </c>
    </row>
    <row r="1125" spans="1:7">
      <c r="A1125" s="1">
        <v>44000</v>
      </c>
      <c r="B1125">
        <v>47328</v>
      </c>
      <c r="C1125">
        <f>_xlfn.XLOOKUP(A1125, USD!A:A, USD!B:B, "")</f>
        <v>76.400000000000006</v>
      </c>
      <c r="D1125">
        <f>_xlfn.XLOOKUP(A1125, Brent!A:A, Brent!B:B, "")</f>
        <v>41.75</v>
      </c>
      <c r="E1125">
        <f>_xlfn.XLOOKUP(
  A1125,
  Repo!A:A,
  Repo!B:B,
  "",
  -1
)</f>
        <v>4</v>
      </c>
      <c r="F1125" s="10">
        <f>_xlfn.XLOOKUP(
  A1125,
  CPI!D:D,
  CPI!C:C,
  "",
  -1
)</f>
        <v>6.23</v>
      </c>
      <c r="G1125">
        <v>47320</v>
      </c>
    </row>
    <row r="1126" spans="1:7">
      <c r="A1126" s="1">
        <v>44001</v>
      </c>
      <c r="B1126">
        <v>47907</v>
      </c>
      <c r="C1126">
        <f>_xlfn.XLOOKUP(A1126, USD!A:A, USD!B:B, "")</f>
        <v>76.260000000000005</v>
      </c>
      <c r="D1126">
        <f>_xlfn.XLOOKUP(A1126, Brent!A:A, Brent!B:B, "")</f>
        <v>42.33</v>
      </c>
      <c r="E1126">
        <f>_xlfn.XLOOKUP(
  A1126,
  Repo!A:A,
  Repo!B:B,
  "",
  -1
)</f>
        <v>4</v>
      </c>
      <c r="F1126" s="10">
        <f>_xlfn.XLOOKUP(
  A1126,
  CPI!D:D,
  CPI!C:C,
  "",
  -1
)</f>
        <v>6.23</v>
      </c>
      <c r="G1126">
        <v>47328</v>
      </c>
    </row>
    <row r="1127" spans="1:7">
      <c r="A1127" s="1">
        <v>44004</v>
      </c>
      <c r="B1127">
        <v>47912</v>
      </c>
      <c r="C1127">
        <f>_xlfn.XLOOKUP(A1127, USD!A:A, USD!B:B, "")</f>
        <v>75.790000000000006</v>
      </c>
      <c r="D1127">
        <f>_xlfn.XLOOKUP(A1127, Brent!A:A, Brent!B:B, "")</f>
        <v>43.2</v>
      </c>
      <c r="E1127">
        <f>_xlfn.XLOOKUP(
  A1127,
  Repo!A:A,
  Repo!B:B,
  "",
  -1
)</f>
        <v>4</v>
      </c>
      <c r="F1127" s="10">
        <f>_xlfn.XLOOKUP(
  A1127,
  CPI!D:D,
  CPI!C:C,
  "",
  -1
)</f>
        <v>6.23</v>
      </c>
      <c r="G1127">
        <v>47907</v>
      </c>
    </row>
    <row r="1128" spans="1:7">
      <c r="A1128" s="1">
        <v>44005</v>
      </c>
      <c r="B1128">
        <v>48186</v>
      </c>
      <c r="C1128">
        <f>_xlfn.XLOOKUP(A1128, USD!A:A, USD!B:B, "")</f>
        <v>75.503</v>
      </c>
      <c r="D1128">
        <f>_xlfn.XLOOKUP(A1128, Brent!A:A, Brent!B:B, "")</f>
        <v>42.72</v>
      </c>
      <c r="E1128">
        <f>_xlfn.XLOOKUP(
  A1128,
  Repo!A:A,
  Repo!B:B,
  "",
  -1
)</f>
        <v>4</v>
      </c>
      <c r="F1128" s="10">
        <f>_xlfn.XLOOKUP(
  A1128,
  CPI!D:D,
  CPI!C:C,
  "",
  -1
)</f>
        <v>6.23</v>
      </c>
      <c r="G1128">
        <v>47912</v>
      </c>
    </row>
    <row r="1129" spans="1:7">
      <c r="A1129" s="1">
        <v>44006</v>
      </c>
      <c r="B1129">
        <v>48105</v>
      </c>
      <c r="C1129">
        <f>_xlfn.XLOOKUP(A1129, USD!A:A, USD!B:B, "")</f>
        <v>75.665000000000006</v>
      </c>
      <c r="D1129">
        <f>_xlfn.XLOOKUP(A1129, Brent!A:A, Brent!B:B, "")</f>
        <v>40.4</v>
      </c>
      <c r="E1129">
        <f>_xlfn.XLOOKUP(
  A1129,
  Repo!A:A,
  Repo!B:B,
  "",
  -1
)</f>
        <v>4</v>
      </c>
      <c r="F1129" s="10">
        <f>_xlfn.XLOOKUP(
  A1129,
  CPI!D:D,
  CPI!C:C,
  "",
  -1
)</f>
        <v>6.23</v>
      </c>
      <c r="G1129">
        <v>48186</v>
      </c>
    </row>
    <row r="1130" spans="1:7">
      <c r="A1130" s="1">
        <v>44007</v>
      </c>
      <c r="B1130">
        <v>47952</v>
      </c>
      <c r="C1130">
        <f>_xlfn.XLOOKUP(A1130, USD!A:A, USD!B:B, "")</f>
        <v>75.587000000000003</v>
      </c>
      <c r="D1130">
        <f>_xlfn.XLOOKUP(A1130, Brent!A:A, Brent!B:B, "")</f>
        <v>41.18</v>
      </c>
      <c r="E1130">
        <f>_xlfn.XLOOKUP(
  A1130,
  Repo!A:A,
  Repo!B:B,
  "",
  -1
)</f>
        <v>4</v>
      </c>
      <c r="F1130" s="10">
        <f>_xlfn.XLOOKUP(
  A1130,
  CPI!D:D,
  CPI!C:C,
  "",
  -1
)</f>
        <v>6.23</v>
      </c>
      <c r="G1130">
        <v>48105</v>
      </c>
    </row>
    <row r="1131" spans="1:7">
      <c r="A1131" s="1">
        <v>44008</v>
      </c>
      <c r="B1131">
        <v>48363</v>
      </c>
      <c r="C1131">
        <f>_xlfn.XLOOKUP(A1131, USD!A:A, USD!B:B, "")</f>
        <v>75.62</v>
      </c>
      <c r="D1131">
        <f>_xlfn.XLOOKUP(A1131, Brent!A:A, Brent!B:B, "")</f>
        <v>40.97</v>
      </c>
      <c r="E1131">
        <f>_xlfn.XLOOKUP(
  A1131,
  Repo!A:A,
  Repo!B:B,
  "",
  -1
)</f>
        <v>4</v>
      </c>
      <c r="F1131" s="10">
        <f>_xlfn.XLOOKUP(
  A1131,
  CPI!D:D,
  CPI!C:C,
  "",
  -1
)</f>
        <v>6.23</v>
      </c>
      <c r="G1131">
        <v>47952</v>
      </c>
    </row>
    <row r="1132" spans="1:7">
      <c r="A1132" s="1">
        <v>44011</v>
      </c>
      <c r="B1132">
        <v>48194</v>
      </c>
      <c r="C1132">
        <f>_xlfn.XLOOKUP(A1132, USD!A:A, USD!B:B, "")</f>
        <v>75.510000000000005</v>
      </c>
      <c r="D1132">
        <f>_xlfn.XLOOKUP(A1132, Brent!A:A, Brent!B:B, "")</f>
        <v>41.58</v>
      </c>
      <c r="E1132">
        <f>_xlfn.XLOOKUP(
  A1132,
  Repo!A:A,
  Repo!B:B,
  "",
  -1
)</f>
        <v>4</v>
      </c>
      <c r="F1132" s="10">
        <f>_xlfn.XLOOKUP(
  A1132,
  CPI!D:D,
  CPI!C:C,
  "",
  -1
)</f>
        <v>6.23</v>
      </c>
      <c r="G1132">
        <v>48363</v>
      </c>
    </row>
    <row r="1133" spans="1:7">
      <c r="A1133" s="1">
        <v>44012</v>
      </c>
      <c r="B1133">
        <v>48861</v>
      </c>
      <c r="C1133">
        <f>_xlfn.XLOOKUP(A1133, USD!A:A, USD!B:B, "")</f>
        <v>75.545000000000002</v>
      </c>
      <c r="D1133">
        <f>_xlfn.XLOOKUP(A1133, Brent!A:A, Brent!B:B, "")</f>
        <v>41.64</v>
      </c>
      <c r="E1133">
        <f>_xlfn.XLOOKUP(
  A1133,
  Repo!A:A,
  Repo!B:B,
  "",
  -1
)</f>
        <v>4</v>
      </c>
      <c r="F1133" s="10">
        <f>_xlfn.XLOOKUP(
  A1133,
  CPI!D:D,
  CPI!C:C,
  "",
  -1
)</f>
        <v>6.23</v>
      </c>
      <c r="G1133">
        <v>48194</v>
      </c>
    </row>
    <row r="1134" spans="1:7">
      <c r="A1134" s="1">
        <v>44013</v>
      </c>
      <c r="B1134">
        <v>48400</v>
      </c>
      <c r="C1134">
        <f>_xlfn.XLOOKUP(A1134, USD!A:A, USD!B:B, "")</f>
        <v>75.489999999999995</v>
      </c>
      <c r="D1134">
        <f>_xlfn.XLOOKUP(A1134, Brent!A:A, Brent!B:B, "")</f>
        <v>42.18</v>
      </c>
      <c r="E1134">
        <f>_xlfn.XLOOKUP(
  A1134,
  Repo!A:A,
  Repo!B:B,
  "",
  -1
)</f>
        <v>4</v>
      </c>
      <c r="F1134" s="10">
        <f>_xlfn.XLOOKUP(
  A1134,
  CPI!D:D,
  CPI!C:C,
  "",
  -1
)</f>
        <v>6.73</v>
      </c>
      <c r="G1134">
        <v>48861</v>
      </c>
    </row>
    <row r="1135" spans="1:7">
      <c r="A1135" s="1">
        <v>44014</v>
      </c>
      <c r="B1135">
        <v>48437</v>
      </c>
      <c r="C1135">
        <f>_xlfn.XLOOKUP(A1135, USD!A:A, USD!B:B, "")</f>
        <v>74.75</v>
      </c>
      <c r="D1135">
        <f>_xlfn.XLOOKUP(A1135, Brent!A:A, Brent!B:B, "")</f>
        <v>43.19</v>
      </c>
      <c r="E1135">
        <f>_xlfn.XLOOKUP(
  A1135,
  Repo!A:A,
  Repo!B:B,
  "",
  -1
)</f>
        <v>4</v>
      </c>
      <c r="F1135" s="10">
        <f>_xlfn.XLOOKUP(
  A1135,
  CPI!D:D,
  CPI!C:C,
  "",
  -1
)</f>
        <v>6.73</v>
      </c>
      <c r="G1135">
        <v>48400</v>
      </c>
    </row>
    <row r="1136" spans="1:7">
      <c r="A1136" s="1">
        <v>44015</v>
      </c>
      <c r="B1136">
        <v>48336</v>
      </c>
      <c r="C1136">
        <f>_xlfn.XLOOKUP(A1136, USD!A:A, USD!B:B, "")</f>
        <v>74.635999999999996</v>
      </c>
      <c r="D1136">
        <f>_xlfn.XLOOKUP(A1136, Brent!A:A, Brent!B:B, "")</f>
        <v>42.92</v>
      </c>
      <c r="E1136">
        <f>_xlfn.XLOOKUP(
  A1136,
  Repo!A:A,
  Repo!B:B,
  "",
  -1
)</f>
        <v>4</v>
      </c>
      <c r="F1136" s="10">
        <f>_xlfn.XLOOKUP(
  A1136,
  CPI!D:D,
  CPI!C:C,
  "",
  -1
)</f>
        <v>6.73</v>
      </c>
      <c r="G1136">
        <v>48437</v>
      </c>
    </row>
    <row r="1137" spans="1:7">
      <c r="A1137" s="1">
        <v>44018</v>
      </c>
      <c r="B1137">
        <v>48247</v>
      </c>
      <c r="C1137">
        <f>_xlfn.XLOOKUP(A1137, USD!A:A, USD!B:B, "")</f>
        <v>74.635000000000005</v>
      </c>
      <c r="D1137">
        <f>_xlfn.XLOOKUP(A1137, Brent!A:A, Brent!B:B, "")</f>
        <v>42.73</v>
      </c>
      <c r="E1137">
        <f>_xlfn.XLOOKUP(
  A1137,
  Repo!A:A,
  Repo!B:B,
  "",
  -1
)</f>
        <v>4</v>
      </c>
      <c r="F1137" s="10">
        <f>_xlfn.XLOOKUP(
  A1137,
  CPI!D:D,
  CPI!C:C,
  "",
  -1
)</f>
        <v>6.73</v>
      </c>
      <c r="G1137">
        <v>48336</v>
      </c>
    </row>
    <row r="1138" spans="1:7">
      <c r="A1138" s="1">
        <v>44019</v>
      </c>
      <c r="B1138">
        <v>48796</v>
      </c>
      <c r="C1138">
        <f>_xlfn.XLOOKUP(A1138, USD!A:A, USD!B:B, "")</f>
        <v>74.81</v>
      </c>
      <c r="D1138">
        <f>_xlfn.XLOOKUP(A1138, Brent!A:A, Brent!B:B, "")</f>
        <v>43.28</v>
      </c>
      <c r="E1138">
        <f>_xlfn.XLOOKUP(
  A1138,
  Repo!A:A,
  Repo!B:B,
  "",
  -1
)</f>
        <v>4</v>
      </c>
      <c r="F1138" s="10">
        <f>_xlfn.XLOOKUP(
  A1138,
  CPI!D:D,
  CPI!C:C,
  "",
  -1
)</f>
        <v>6.73</v>
      </c>
      <c r="G1138">
        <v>48247</v>
      </c>
    </row>
    <row r="1139" spans="1:7">
      <c r="A1139" s="1">
        <v>44020</v>
      </c>
      <c r="B1139">
        <v>49160</v>
      </c>
      <c r="C1139">
        <f>_xlfn.XLOOKUP(A1139, USD!A:A, USD!B:B, "")</f>
        <v>74.944999999999993</v>
      </c>
      <c r="D1139">
        <f>_xlfn.XLOOKUP(A1139, Brent!A:A, Brent!B:B, "")</f>
        <v>43.67</v>
      </c>
      <c r="E1139">
        <f>_xlfn.XLOOKUP(
  A1139,
  Repo!A:A,
  Repo!B:B,
  "",
  -1
)</f>
        <v>4</v>
      </c>
      <c r="F1139" s="10">
        <f>_xlfn.XLOOKUP(
  A1139,
  CPI!D:D,
  CPI!C:C,
  "",
  -1
)</f>
        <v>6.73</v>
      </c>
      <c r="G1139">
        <v>48796</v>
      </c>
    </row>
    <row r="1140" spans="1:7">
      <c r="A1140" s="1">
        <v>44021</v>
      </c>
      <c r="B1140">
        <v>48896</v>
      </c>
      <c r="C1140">
        <f>_xlfn.XLOOKUP(A1140, USD!A:A, USD!B:B, "")</f>
        <v>75.155000000000001</v>
      </c>
      <c r="D1140">
        <f>_xlfn.XLOOKUP(A1140, Brent!A:A, Brent!B:B, "")</f>
        <v>42.35</v>
      </c>
      <c r="E1140">
        <f>_xlfn.XLOOKUP(
  A1140,
  Repo!A:A,
  Repo!B:B,
  "",
  -1
)</f>
        <v>4</v>
      </c>
      <c r="F1140" s="10">
        <f>_xlfn.XLOOKUP(
  A1140,
  CPI!D:D,
  CPI!C:C,
  "",
  -1
)</f>
        <v>6.73</v>
      </c>
      <c r="G1140">
        <v>49160</v>
      </c>
    </row>
    <row r="1141" spans="1:7">
      <c r="A1141" s="1">
        <v>44022</v>
      </c>
      <c r="B1141">
        <v>48883</v>
      </c>
      <c r="C1141">
        <f>_xlfn.XLOOKUP(A1141, USD!A:A, USD!B:B, "")</f>
        <v>75.194999999999993</v>
      </c>
      <c r="D1141">
        <f>_xlfn.XLOOKUP(A1141, Brent!A:A, Brent!B:B, "")</f>
        <v>43.27</v>
      </c>
      <c r="E1141">
        <f>_xlfn.XLOOKUP(
  A1141,
  Repo!A:A,
  Repo!B:B,
  "",
  -1
)</f>
        <v>4</v>
      </c>
      <c r="F1141" s="10">
        <f>_xlfn.XLOOKUP(
  A1141,
  CPI!D:D,
  CPI!C:C,
  "",
  -1
)</f>
        <v>6.73</v>
      </c>
      <c r="G1141">
        <v>48896</v>
      </c>
    </row>
    <row r="1142" spans="1:7">
      <c r="A1142" s="1">
        <v>44025</v>
      </c>
      <c r="B1142">
        <v>49180</v>
      </c>
      <c r="C1142">
        <f>_xlfn.XLOOKUP(A1142, USD!A:A, USD!B:B, "")</f>
        <v>75.212000000000003</v>
      </c>
      <c r="D1142">
        <f>_xlfn.XLOOKUP(A1142, Brent!A:A, Brent!B:B, "")</f>
        <v>42.85</v>
      </c>
      <c r="E1142">
        <f>_xlfn.XLOOKUP(
  A1142,
  Repo!A:A,
  Repo!B:B,
  "",
  -1
)</f>
        <v>4</v>
      </c>
      <c r="F1142" s="10">
        <f>_xlfn.XLOOKUP(
  A1142,
  CPI!D:D,
  CPI!C:C,
  "",
  -1
)</f>
        <v>6.73</v>
      </c>
      <c r="G1142">
        <v>48883</v>
      </c>
    </row>
    <row r="1143" spans="1:7">
      <c r="A1143" s="1">
        <v>44026</v>
      </c>
      <c r="B1143">
        <v>49277</v>
      </c>
      <c r="C1143">
        <f>_xlfn.XLOOKUP(A1143, USD!A:A, USD!B:B, "")</f>
        <v>75.406000000000006</v>
      </c>
      <c r="D1143">
        <f>_xlfn.XLOOKUP(A1143, Brent!A:A, Brent!B:B, "")</f>
        <v>42.97</v>
      </c>
      <c r="E1143">
        <f>_xlfn.XLOOKUP(
  A1143,
  Repo!A:A,
  Repo!B:B,
  "",
  -1
)</f>
        <v>4</v>
      </c>
      <c r="F1143" s="10">
        <f>_xlfn.XLOOKUP(
  A1143,
  CPI!D:D,
  CPI!C:C,
  "",
  -1
)</f>
        <v>6.73</v>
      </c>
      <c r="G1143">
        <v>49180</v>
      </c>
    </row>
    <row r="1144" spans="1:7">
      <c r="A1144" s="1">
        <v>44027</v>
      </c>
      <c r="B1144">
        <v>49182</v>
      </c>
      <c r="C1144">
        <f>_xlfn.XLOOKUP(A1144, USD!A:A, USD!B:B, "")</f>
        <v>75.125</v>
      </c>
      <c r="D1144">
        <f>_xlfn.XLOOKUP(A1144, Brent!A:A, Brent!B:B, "")</f>
        <v>43.96</v>
      </c>
      <c r="E1144">
        <f>_xlfn.XLOOKUP(
  A1144,
  Repo!A:A,
  Repo!B:B,
  "",
  -1
)</f>
        <v>4</v>
      </c>
      <c r="F1144" s="10">
        <f>_xlfn.XLOOKUP(
  A1144,
  CPI!D:D,
  CPI!C:C,
  "",
  -1
)</f>
        <v>6.73</v>
      </c>
      <c r="G1144">
        <v>49277</v>
      </c>
    </row>
    <row r="1145" spans="1:7">
      <c r="A1145" s="1">
        <v>44028</v>
      </c>
      <c r="B1145">
        <v>48811</v>
      </c>
      <c r="C1145">
        <f>_xlfn.XLOOKUP(A1145, USD!A:A, USD!B:B, "")</f>
        <v>75.180000000000007</v>
      </c>
      <c r="D1145">
        <f>_xlfn.XLOOKUP(A1145, Brent!A:A, Brent!B:B, "")</f>
        <v>43.71</v>
      </c>
      <c r="E1145">
        <f>_xlfn.XLOOKUP(
  A1145,
  Repo!A:A,
  Repo!B:B,
  "",
  -1
)</f>
        <v>4</v>
      </c>
      <c r="F1145" s="10">
        <f>_xlfn.XLOOKUP(
  A1145,
  CPI!D:D,
  CPI!C:C,
  "",
  -1
)</f>
        <v>6.73</v>
      </c>
      <c r="G1145">
        <v>49182</v>
      </c>
    </row>
    <row r="1146" spans="1:7">
      <c r="A1146" s="1">
        <v>44029</v>
      </c>
      <c r="B1146">
        <v>49001</v>
      </c>
      <c r="C1146">
        <f>_xlfn.XLOOKUP(A1146, USD!A:A, USD!B:B, "")</f>
        <v>74.897999999999996</v>
      </c>
      <c r="D1146">
        <f>_xlfn.XLOOKUP(A1146, Brent!A:A, Brent!B:B, "")</f>
        <v>43.53</v>
      </c>
      <c r="E1146">
        <f>_xlfn.XLOOKUP(
  A1146,
  Repo!A:A,
  Repo!B:B,
  "",
  -1
)</f>
        <v>4</v>
      </c>
      <c r="F1146" s="10">
        <f>_xlfn.XLOOKUP(
  A1146,
  CPI!D:D,
  CPI!C:C,
  "",
  -1
)</f>
        <v>6.73</v>
      </c>
      <c r="G1146">
        <v>48811</v>
      </c>
    </row>
    <row r="1147" spans="1:7">
      <c r="A1147" s="1">
        <v>44032</v>
      </c>
      <c r="B1147">
        <v>49067</v>
      </c>
      <c r="C1147">
        <f>_xlfn.XLOOKUP(A1147, USD!A:A, USD!B:B, "")</f>
        <v>74.75</v>
      </c>
      <c r="D1147">
        <f>_xlfn.XLOOKUP(A1147, Brent!A:A, Brent!B:B, "")</f>
        <v>43.3</v>
      </c>
      <c r="E1147">
        <f>_xlfn.XLOOKUP(
  A1147,
  Repo!A:A,
  Repo!B:B,
  "",
  -1
)</f>
        <v>4</v>
      </c>
      <c r="F1147" s="10">
        <f>_xlfn.XLOOKUP(
  A1147,
  CPI!D:D,
  CPI!C:C,
  "",
  -1
)</f>
        <v>6.73</v>
      </c>
      <c r="G1147">
        <v>49001</v>
      </c>
    </row>
    <row r="1148" spans="1:7">
      <c r="A1148" s="1">
        <v>44033</v>
      </c>
      <c r="B1148">
        <v>49559</v>
      </c>
      <c r="C1148">
        <f>_xlfn.XLOOKUP(A1148, USD!A:A, USD!B:B, "")</f>
        <v>74.540000000000006</v>
      </c>
      <c r="D1148">
        <f>_xlfn.XLOOKUP(A1148, Brent!A:A, Brent!B:B, "")</f>
        <v>44.31</v>
      </c>
      <c r="E1148">
        <f>_xlfn.XLOOKUP(
  A1148,
  Repo!A:A,
  Repo!B:B,
  "",
  -1
)</f>
        <v>4</v>
      </c>
      <c r="F1148" s="10">
        <f>_xlfn.XLOOKUP(
  A1148,
  CPI!D:D,
  CPI!C:C,
  "",
  -1
)</f>
        <v>6.73</v>
      </c>
      <c r="G1148">
        <v>49067</v>
      </c>
    </row>
    <row r="1149" spans="1:7">
      <c r="A1149" s="1">
        <v>44034</v>
      </c>
      <c r="B1149">
        <v>50115</v>
      </c>
      <c r="C1149">
        <f>_xlfn.XLOOKUP(A1149, USD!A:A, USD!B:B, "")</f>
        <v>74.61</v>
      </c>
      <c r="D1149">
        <f>_xlfn.XLOOKUP(A1149, Brent!A:A, Brent!B:B, "")</f>
        <v>43.98</v>
      </c>
      <c r="E1149">
        <f>_xlfn.XLOOKUP(
  A1149,
  Repo!A:A,
  Repo!B:B,
  "",
  -1
)</f>
        <v>4</v>
      </c>
      <c r="F1149" s="10">
        <f>_xlfn.XLOOKUP(
  A1149,
  CPI!D:D,
  CPI!C:C,
  "",
  -1
)</f>
        <v>6.73</v>
      </c>
      <c r="G1149">
        <v>49559</v>
      </c>
    </row>
    <row r="1150" spans="1:7">
      <c r="A1150" s="1">
        <v>44035</v>
      </c>
      <c r="B1150">
        <v>50762</v>
      </c>
      <c r="C1150">
        <f>_xlfn.XLOOKUP(A1150, USD!A:A, USD!B:B, "")</f>
        <v>74.814999999999998</v>
      </c>
      <c r="D1150">
        <f>_xlfn.XLOOKUP(A1150, Brent!A:A, Brent!B:B, "")</f>
        <v>42.96</v>
      </c>
      <c r="E1150">
        <f>_xlfn.XLOOKUP(
  A1150,
  Repo!A:A,
  Repo!B:B,
  "",
  -1
)</f>
        <v>4</v>
      </c>
      <c r="F1150" s="10">
        <f>_xlfn.XLOOKUP(
  A1150,
  CPI!D:D,
  CPI!C:C,
  "",
  -1
)</f>
        <v>6.73</v>
      </c>
      <c r="G1150">
        <v>50115</v>
      </c>
    </row>
    <row r="1151" spans="1:7">
      <c r="A1151" s="1">
        <v>44036</v>
      </c>
      <c r="B1151">
        <v>51120</v>
      </c>
      <c r="C1151">
        <f>_xlfn.XLOOKUP(A1151, USD!A:A, USD!B:B, "")</f>
        <v>74.760000000000005</v>
      </c>
      <c r="D1151">
        <f>_xlfn.XLOOKUP(A1151, Brent!A:A, Brent!B:B, "")</f>
        <v>43.29</v>
      </c>
      <c r="E1151">
        <f>_xlfn.XLOOKUP(
  A1151,
  Repo!A:A,
  Repo!B:B,
  "",
  -1
)</f>
        <v>4</v>
      </c>
      <c r="F1151" s="10">
        <f>_xlfn.XLOOKUP(
  A1151,
  CPI!D:D,
  CPI!C:C,
  "",
  -1
)</f>
        <v>6.73</v>
      </c>
      <c r="G1151">
        <v>50762</v>
      </c>
    </row>
    <row r="1152" spans="1:7">
      <c r="A1152" s="1">
        <v>44039</v>
      </c>
      <c r="B1152">
        <v>52227</v>
      </c>
      <c r="C1152">
        <f>_xlfn.XLOOKUP(A1152, USD!A:A, USD!B:B, "")</f>
        <v>74.8</v>
      </c>
      <c r="D1152">
        <f>_xlfn.XLOOKUP(A1152, Brent!A:A, Brent!B:B, "")</f>
        <v>43.39</v>
      </c>
      <c r="E1152">
        <f>_xlfn.XLOOKUP(
  A1152,
  Repo!A:A,
  Repo!B:B,
  "",
  -1
)</f>
        <v>4</v>
      </c>
      <c r="F1152" s="10">
        <f>_xlfn.XLOOKUP(
  A1152,
  CPI!D:D,
  CPI!C:C,
  "",
  -1
)</f>
        <v>6.73</v>
      </c>
      <c r="G1152">
        <v>51120</v>
      </c>
    </row>
    <row r="1153" spans="1:7">
      <c r="A1153" s="1">
        <v>44040</v>
      </c>
      <c r="B1153">
        <v>52731</v>
      </c>
      <c r="C1153">
        <f>_xlfn.XLOOKUP(A1153, USD!A:A, USD!B:B, "")</f>
        <v>74.909000000000006</v>
      </c>
      <c r="D1153">
        <f>_xlfn.XLOOKUP(A1153, Brent!A:A, Brent!B:B, "")</f>
        <v>43.11</v>
      </c>
      <c r="E1153">
        <f>_xlfn.XLOOKUP(
  A1153,
  Repo!A:A,
  Repo!B:B,
  "",
  -1
)</f>
        <v>4</v>
      </c>
      <c r="F1153" s="10">
        <f>_xlfn.XLOOKUP(
  A1153,
  CPI!D:D,
  CPI!C:C,
  "",
  -1
)</f>
        <v>6.73</v>
      </c>
      <c r="G1153">
        <v>52227</v>
      </c>
    </row>
    <row r="1154" spans="1:7">
      <c r="A1154" s="1">
        <v>44041</v>
      </c>
      <c r="B1154">
        <v>53207</v>
      </c>
      <c r="C1154">
        <f>_xlfn.XLOOKUP(A1154, USD!A:A, USD!B:B, "")</f>
        <v>74.947999999999993</v>
      </c>
      <c r="D1154">
        <f>_xlfn.XLOOKUP(A1154, Brent!A:A, Brent!B:B, "")</f>
        <v>43.51</v>
      </c>
      <c r="E1154">
        <f>_xlfn.XLOOKUP(
  A1154,
  Repo!A:A,
  Repo!B:B,
  "",
  -1
)</f>
        <v>4</v>
      </c>
      <c r="F1154" s="10">
        <f>_xlfn.XLOOKUP(
  A1154,
  CPI!D:D,
  CPI!C:C,
  "",
  -1
)</f>
        <v>6.73</v>
      </c>
      <c r="G1154">
        <v>52731</v>
      </c>
    </row>
    <row r="1155" spans="1:7">
      <c r="A1155" s="1">
        <v>44042</v>
      </c>
      <c r="B1155">
        <v>52986</v>
      </c>
      <c r="C1155">
        <f>_xlfn.XLOOKUP(A1155, USD!A:A, USD!B:B, "")</f>
        <v>74.876000000000005</v>
      </c>
      <c r="D1155">
        <f>_xlfn.XLOOKUP(A1155, Brent!A:A, Brent!B:B, "")</f>
        <v>42.98</v>
      </c>
      <c r="E1155">
        <f>_xlfn.XLOOKUP(
  A1155,
  Repo!A:A,
  Repo!B:B,
  "",
  -1
)</f>
        <v>4</v>
      </c>
      <c r="F1155" s="10">
        <f>_xlfn.XLOOKUP(
  A1155,
  CPI!D:D,
  CPI!C:C,
  "",
  -1
)</f>
        <v>6.73</v>
      </c>
      <c r="G1155">
        <v>53207</v>
      </c>
    </row>
    <row r="1156" spans="1:7">
      <c r="A1156" s="1">
        <v>44043</v>
      </c>
      <c r="B1156">
        <v>53582</v>
      </c>
      <c r="C1156">
        <f>_xlfn.XLOOKUP(A1156, USD!A:A, USD!B:B, "")</f>
        <v>74.918000000000006</v>
      </c>
      <c r="D1156">
        <f>_xlfn.XLOOKUP(A1156, Brent!A:A, Brent!B:B, "")</f>
        <v>43.13</v>
      </c>
      <c r="E1156">
        <f>_xlfn.XLOOKUP(
  A1156,
  Repo!A:A,
  Repo!B:B,
  "",
  -1
)</f>
        <v>4</v>
      </c>
      <c r="F1156" s="10">
        <f>_xlfn.XLOOKUP(
  A1156,
  CPI!D:D,
  CPI!C:C,
  "",
  -1
)</f>
        <v>6.73</v>
      </c>
      <c r="G1156">
        <v>52986</v>
      </c>
    </row>
    <row r="1157" spans="1:7">
      <c r="A1157" s="1">
        <v>44046</v>
      </c>
      <c r="B1157">
        <v>53927</v>
      </c>
      <c r="C1157">
        <f>_xlfn.XLOOKUP(A1157, USD!A:A, USD!B:B, "")</f>
        <v>75.185000000000002</v>
      </c>
      <c r="D1157">
        <f>_xlfn.XLOOKUP(A1157, Brent!A:A, Brent!B:B, "")</f>
        <v>43.76</v>
      </c>
      <c r="E1157">
        <f>_xlfn.XLOOKUP(
  A1157,
  Repo!A:A,
  Repo!B:B,
  "",
  -1
)</f>
        <v>4</v>
      </c>
      <c r="F1157" s="10">
        <f>_xlfn.XLOOKUP(
  A1157,
  CPI!D:D,
  CPI!C:C,
  "",
  -1
)</f>
        <v>6.69</v>
      </c>
      <c r="G1157">
        <v>53582</v>
      </c>
    </row>
    <row r="1158" spans="1:7">
      <c r="A1158" s="1">
        <v>44047</v>
      </c>
      <c r="B1158">
        <v>54784</v>
      </c>
      <c r="C1158">
        <f>_xlfn.XLOOKUP(A1158, USD!A:A, USD!B:B, "")</f>
        <v>75.061000000000007</v>
      </c>
      <c r="D1158">
        <f>_xlfn.XLOOKUP(A1158, Brent!A:A, Brent!B:B, "")</f>
        <v>43.99</v>
      </c>
      <c r="E1158">
        <f>_xlfn.XLOOKUP(
  A1158,
  Repo!A:A,
  Repo!B:B,
  "",
  -1
)</f>
        <v>4</v>
      </c>
      <c r="F1158" s="10">
        <f>_xlfn.XLOOKUP(
  A1158,
  CPI!D:D,
  CPI!C:C,
  "",
  -1
)</f>
        <v>6.69</v>
      </c>
      <c r="G1158">
        <v>53927</v>
      </c>
    </row>
    <row r="1159" spans="1:7">
      <c r="A1159" s="1">
        <v>44048</v>
      </c>
      <c r="B1159">
        <v>55597</v>
      </c>
      <c r="C1159">
        <f>_xlfn.XLOOKUP(A1159, USD!A:A, USD!B:B, "")</f>
        <v>74.798000000000002</v>
      </c>
      <c r="D1159">
        <f>_xlfn.XLOOKUP(A1159, Brent!A:A, Brent!B:B, "")</f>
        <v>44.92</v>
      </c>
      <c r="E1159">
        <f>_xlfn.XLOOKUP(
  A1159,
  Repo!A:A,
  Repo!B:B,
  "",
  -1
)</f>
        <v>4</v>
      </c>
      <c r="F1159" s="10">
        <f>_xlfn.XLOOKUP(
  A1159,
  CPI!D:D,
  CPI!C:C,
  "",
  -1
)</f>
        <v>6.69</v>
      </c>
      <c r="G1159">
        <v>54784</v>
      </c>
    </row>
    <row r="1160" spans="1:7">
      <c r="A1160" s="1">
        <v>44049</v>
      </c>
      <c r="B1160">
        <v>56117</v>
      </c>
      <c r="C1160">
        <f>_xlfn.XLOOKUP(A1160, USD!A:A, USD!B:B, "")</f>
        <v>74.900000000000006</v>
      </c>
      <c r="D1160">
        <f>_xlfn.XLOOKUP(A1160, Brent!A:A, Brent!B:B, "")</f>
        <v>45.04</v>
      </c>
      <c r="E1160">
        <f>_xlfn.XLOOKUP(
  A1160,
  Repo!A:A,
  Repo!B:B,
  "",
  -1
)</f>
        <v>4</v>
      </c>
      <c r="F1160" s="10">
        <f>_xlfn.XLOOKUP(
  A1160,
  CPI!D:D,
  CPI!C:C,
  "",
  -1
)</f>
        <v>6.69</v>
      </c>
      <c r="G1160">
        <v>55597</v>
      </c>
    </row>
    <row r="1161" spans="1:7">
      <c r="A1161" s="1">
        <v>44050</v>
      </c>
      <c r="B1161">
        <v>55018</v>
      </c>
      <c r="C1161">
        <f>_xlfn.XLOOKUP(A1161, USD!A:A, USD!B:B, "")</f>
        <v>75.025000000000006</v>
      </c>
      <c r="D1161">
        <f>_xlfn.XLOOKUP(A1161, Brent!A:A, Brent!B:B, "")</f>
        <v>44.07</v>
      </c>
      <c r="E1161">
        <f>_xlfn.XLOOKUP(
  A1161,
  Repo!A:A,
  Repo!B:B,
  "",
  -1
)</f>
        <v>4</v>
      </c>
      <c r="F1161" s="10">
        <f>_xlfn.XLOOKUP(
  A1161,
  CPI!D:D,
  CPI!C:C,
  "",
  -1
)</f>
        <v>6.69</v>
      </c>
      <c r="G1161">
        <v>56117</v>
      </c>
    </row>
    <row r="1162" spans="1:7">
      <c r="A1162" s="1">
        <v>44053</v>
      </c>
      <c r="B1162">
        <v>55243</v>
      </c>
      <c r="C1162">
        <f>_xlfn.XLOOKUP(A1162, USD!A:A, USD!B:B, "")</f>
        <v>74.875</v>
      </c>
      <c r="D1162">
        <f>_xlfn.XLOOKUP(A1162, Brent!A:A, Brent!B:B, "")</f>
        <v>44.19</v>
      </c>
      <c r="E1162">
        <f>_xlfn.XLOOKUP(
  A1162,
  Repo!A:A,
  Repo!B:B,
  "",
  -1
)</f>
        <v>4</v>
      </c>
      <c r="F1162" s="10">
        <f>_xlfn.XLOOKUP(
  A1162,
  CPI!D:D,
  CPI!C:C,
  "",
  -1
)</f>
        <v>6.69</v>
      </c>
      <c r="G1162">
        <v>55018</v>
      </c>
    </row>
    <row r="1163" spans="1:7">
      <c r="A1163" s="1">
        <v>44054</v>
      </c>
      <c r="B1163">
        <v>52144</v>
      </c>
      <c r="C1163">
        <f>_xlfn.XLOOKUP(A1163, USD!A:A, USD!B:B, "")</f>
        <v>74.62</v>
      </c>
      <c r="D1163">
        <f>_xlfn.XLOOKUP(A1163, Brent!A:A, Brent!B:B, "")</f>
        <v>43.68</v>
      </c>
      <c r="E1163">
        <f>_xlfn.XLOOKUP(
  A1163,
  Repo!A:A,
  Repo!B:B,
  "",
  -1
)</f>
        <v>4</v>
      </c>
      <c r="F1163" s="10">
        <f>_xlfn.XLOOKUP(
  A1163,
  CPI!D:D,
  CPI!C:C,
  "",
  -1
)</f>
        <v>6.69</v>
      </c>
      <c r="G1163">
        <v>55243</v>
      </c>
    </row>
    <row r="1164" spans="1:7">
      <c r="A1164" s="1">
        <v>44055</v>
      </c>
      <c r="B1164">
        <v>52505</v>
      </c>
      <c r="C1164">
        <f>_xlfn.XLOOKUP(A1164, USD!A:A, USD!B:B, "")</f>
        <v>74.795000000000002</v>
      </c>
      <c r="D1164">
        <f>_xlfn.XLOOKUP(A1164, Brent!A:A, Brent!B:B, "")</f>
        <v>45.09</v>
      </c>
      <c r="E1164">
        <f>_xlfn.XLOOKUP(
  A1164,
  Repo!A:A,
  Repo!B:B,
  "",
  -1
)</f>
        <v>4</v>
      </c>
      <c r="F1164" s="10">
        <f>_xlfn.XLOOKUP(
  A1164,
  CPI!D:D,
  CPI!C:C,
  "",
  -1
)</f>
        <v>6.69</v>
      </c>
      <c r="G1164">
        <v>52144</v>
      </c>
    </row>
    <row r="1165" spans="1:7">
      <c r="A1165" s="1">
        <v>44056</v>
      </c>
      <c r="B1165">
        <v>53148</v>
      </c>
      <c r="C1165">
        <f>_xlfn.XLOOKUP(A1165, USD!A:A, USD!B:B, "")</f>
        <v>74.811999999999998</v>
      </c>
      <c r="D1165">
        <f>_xlfn.XLOOKUP(A1165, Brent!A:A, Brent!B:B, "")</f>
        <v>44.87</v>
      </c>
      <c r="E1165">
        <f>_xlfn.XLOOKUP(
  A1165,
  Repo!A:A,
  Repo!B:B,
  "",
  -1
)</f>
        <v>4</v>
      </c>
      <c r="F1165" s="10">
        <f>_xlfn.XLOOKUP(
  A1165,
  CPI!D:D,
  CPI!C:C,
  "",
  -1
)</f>
        <v>6.69</v>
      </c>
      <c r="G1165">
        <v>52505</v>
      </c>
    </row>
    <row r="1166" spans="1:7">
      <c r="A1166" s="1">
        <v>44057</v>
      </c>
      <c r="B1166">
        <v>52451</v>
      </c>
      <c r="C1166">
        <f>_xlfn.XLOOKUP(A1166, USD!A:A, USD!B:B, "")</f>
        <v>74.903000000000006</v>
      </c>
      <c r="D1166">
        <f>_xlfn.XLOOKUP(A1166, Brent!A:A, Brent!B:B, "")</f>
        <v>44.86</v>
      </c>
      <c r="E1166">
        <f>_xlfn.XLOOKUP(
  A1166,
  Repo!A:A,
  Repo!B:B,
  "",
  -1
)</f>
        <v>4</v>
      </c>
      <c r="F1166" s="10">
        <f>_xlfn.XLOOKUP(
  A1166,
  CPI!D:D,
  CPI!C:C,
  "",
  -1
)</f>
        <v>6.69</v>
      </c>
      <c r="G1166">
        <v>53148</v>
      </c>
    </row>
    <row r="1167" spans="1:7">
      <c r="A1167" s="1">
        <v>44060</v>
      </c>
      <c r="B1167">
        <v>53435</v>
      </c>
      <c r="C1167">
        <f>_xlfn.XLOOKUP(A1167, USD!A:A, USD!B:B, "")</f>
        <v>74.744</v>
      </c>
      <c r="D1167">
        <f>_xlfn.XLOOKUP(A1167, Brent!A:A, Brent!B:B, "")</f>
        <v>44.91</v>
      </c>
      <c r="E1167">
        <f>_xlfn.XLOOKUP(
  A1167,
  Repo!A:A,
  Repo!B:B,
  "",
  -1
)</f>
        <v>4</v>
      </c>
      <c r="F1167" s="10">
        <f>_xlfn.XLOOKUP(
  A1167,
  CPI!D:D,
  CPI!C:C,
  "",
  -1
)</f>
        <v>6.69</v>
      </c>
      <c r="G1167">
        <v>52451</v>
      </c>
    </row>
    <row r="1168" spans="1:7">
      <c r="A1168" s="1">
        <v>44061</v>
      </c>
      <c r="B1168">
        <v>53738</v>
      </c>
      <c r="C1168">
        <f>_xlfn.XLOOKUP(A1168, USD!A:A, USD!B:B, "")</f>
        <v>74.575000000000003</v>
      </c>
      <c r="D1168">
        <f>_xlfn.XLOOKUP(A1168, Brent!A:A, Brent!B:B, "")</f>
        <v>45.34</v>
      </c>
      <c r="E1168">
        <f>_xlfn.XLOOKUP(
  A1168,
  Repo!A:A,
  Repo!B:B,
  "",
  -1
)</f>
        <v>4</v>
      </c>
      <c r="F1168" s="10">
        <f>_xlfn.XLOOKUP(
  A1168,
  CPI!D:D,
  CPI!C:C,
  "",
  -1
)</f>
        <v>6.69</v>
      </c>
      <c r="G1168">
        <v>53435</v>
      </c>
    </row>
    <row r="1169" spans="1:7">
      <c r="A1169" s="1">
        <v>44062</v>
      </c>
      <c r="B1169">
        <v>52824</v>
      </c>
      <c r="C1169">
        <f>_xlfn.XLOOKUP(A1169, USD!A:A, USD!B:B, "")</f>
        <v>74.846999999999994</v>
      </c>
      <c r="D1169">
        <f>_xlfn.XLOOKUP(A1169, Brent!A:A, Brent!B:B, "")</f>
        <v>45.21</v>
      </c>
      <c r="E1169">
        <f>_xlfn.XLOOKUP(
  A1169,
  Repo!A:A,
  Repo!B:B,
  "",
  -1
)</f>
        <v>4</v>
      </c>
      <c r="F1169" s="10">
        <f>_xlfn.XLOOKUP(
  A1169,
  CPI!D:D,
  CPI!C:C,
  "",
  -1
)</f>
        <v>6.69</v>
      </c>
      <c r="G1169">
        <v>53738</v>
      </c>
    </row>
    <row r="1170" spans="1:7">
      <c r="A1170" s="1">
        <v>44063</v>
      </c>
      <c r="B1170">
        <v>52302</v>
      </c>
      <c r="C1170">
        <f>_xlfn.XLOOKUP(A1170, USD!A:A, USD!B:B, "")</f>
        <v>75.013000000000005</v>
      </c>
      <c r="D1170">
        <f>_xlfn.XLOOKUP(A1170, Brent!A:A, Brent!B:B, "")</f>
        <v>44.56</v>
      </c>
      <c r="E1170">
        <f>_xlfn.XLOOKUP(
  A1170,
  Repo!A:A,
  Repo!B:B,
  "",
  -1
)</f>
        <v>4</v>
      </c>
      <c r="F1170" s="10">
        <f>_xlfn.XLOOKUP(
  A1170,
  CPI!D:D,
  CPI!C:C,
  "",
  -1
)</f>
        <v>6.69</v>
      </c>
      <c r="G1170">
        <v>52824</v>
      </c>
    </row>
    <row r="1171" spans="1:7">
      <c r="A1171" s="1">
        <v>44064</v>
      </c>
      <c r="B1171">
        <v>52045</v>
      </c>
      <c r="C1171">
        <f>_xlfn.XLOOKUP(A1171, USD!A:A, USD!B:B, "")</f>
        <v>74.921999999999997</v>
      </c>
      <c r="D1171">
        <f>_xlfn.XLOOKUP(A1171, Brent!A:A, Brent!B:B, "")</f>
        <v>43.94</v>
      </c>
      <c r="E1171">
        <f>_xlfn.XLOOKUP(
  A1171,
  Repo!A:A,
  Repo!B:B,
  "",
  -1
)</f>
        <v>4</v>
      </c>
      <c r="F1171" s="10">
        <f>_xlfn.XLOOKUP(
  A1171,
  CPI!D:D,
  CPI!C:C,
  "",
  -1
)</f>
        <v>6.69</v>
      </c>
      <c r="G1171">
        <v>52302</v>
      </c>
    </row>
    <row r="1172" spans="1:7">
      <c r="A1172" s="1">
        <v>44067</v>
      </c>
      <c r="B1172">
        <v>51385</v>
      </c>
      <c r="C1172">
        <f>_xlfn.XLOOKUP(A1172, USD!A:A, USD!B:B, "")</f>
        <v>74.168999999999997</v>
      </c>
      <c r="D1172">
        <f>_xlfn.XLOOKUP(A1172, Brent!A:A, Brent!B:B, "")</f>
        <v>44.43</v>
      </c>
      <c r="E1172">
        <f>_xlfn.XLOOKUP(
  A1172,
  Repo!A:A,
  Repo!B:B,
  "",
  -1
)</f>
        <v>4</v>
      </c>
      <c r="F1172" s="10">
        <f>_xlfn.XLOOKUP(
  A1172,
  CPI!D:D,
  CPI!C:C,
  "",
  -1
)</f>
        <v>6.69</v>
      </c>
      <c r="G1172">
        <v>52045</v>
      </c>
    </row>
    <row r="1173" spans="1:7">
      <c r="A1173" s="1">
        <v>44068</v>
      </c>
      <c r="B1173">
        <v>50936</v>
      </c>
      <c r="C1173">
        <f>_xlfn.XLOOKUP(A1173, USD!A:A, USD!B:B, "")</f>
        <v>74.222999999999999</v>
      </c>
      <c r="D1173">
        <f>_xlfn.XLOOKUP(A1173, Brent!A:A, Brent!B:B, "")</f>
        <v>46.01</v>
      </c>
      <c r="E1173">
        <f>_xlfn.XLOOKUP(
  A1173,
  Repo!A:A,
  Repo!B:B,
  "",
  -1
)</f>
        <v>4</v>
      </c>
      <c r="F1173" s="10">
        <f>_xlfn.XLOOKUP(
  A1173,
  CPI!D:D,
  CPI!C:C,
  "",
  -1
)</f>
        <v>6.69</v>
      </c>
      <c r="G1173">
        <v>51385</v>
      </c>
    </row>
    <row r="1174" spans="1:7">
      <c r="A1174" s="1">
        <v>44069</v>
      </c>
      <c r="B1174">
        <v>51619</v>
      </c>
      <c r="C1174">
        <f>_xlfn.XLOOKUP(A1174, USD!A:A, USD!B:B, "")</f>
        <v>74.221999999999994</v>
      </c>
      <c r="D1174">
        <f>_xlfn.XLOOKUP(A1174, Brent!A:A, Brent!B:B, "")</f>
        <v>45.79</v>
      </c>
      <c r="E1174">
        <f>_xlfn.XLOOKUP(
  A1174,
  Repo!A:A,
  Repo!B:B,
  "",
  -1
)</f>
        <v>4</v>
      </c>
      <c r="F1174" s="10">
        <f>_xlfn.XLOOKUP(
  A1174,
  CPI!D:D,
  CPI!C:C,
  "",
  -1
)</f>
        <v>6.69</v>
      </c>
      <c r="G1174">
        <v>50936</v>
      </c>
    </row>
    <row r="1175" spans="1:7">
      <c r="A1175" s="1">
        <v>44070</v>
      </c>
      <c r="B1175">
        <v>50507</v>
      </c>
      <c r="C1175">
        <f>_xlfn.XLOOKUP(A1175, USD!A:A, USD!B:B, "")</f>
        <v>73.903999999999996</v>
      </c>
      <c r="D1175">
        <f>_xlfn.XLOOKUP(A1175, Brent!A:A, Brent!B:B, "")</f>
        <v>44.84</v>
      </c>
      <c r="E1175">
        <f>_xlfn.XLOOKUP(
  A1175,
  Repo!A:A,
  Repo!B:B,
  "",
  -1
)</f>
        <v>4</v>
      </c>
      <c r="F1175" s="10">
        <f>_xlfn.XLOOKUP(
  A1175,
  CPI!D:D,
  CPI!C:C,
  "",
  -1
)</f>
        <v>6.69</v>
      </c>
      <c r="G1175">
        <v>51619</v>
      </c>
    </row>
    <row r="1176" spans="1:7">
      <c r="A1176" s="1">
        <v>44071</v>
      </c>
      <c r="B1176">
        <v>51050</v>
      </c>
      <c r="C1176">
        <f>_xlfn.XLOOKUP(A1176, USD!A:A, USD!B:B, "")</f>
        <v>73.114999999999995</v>
      </c>
      <c r="D1176">
        <f>_xlfn.XLOOKUP(A1176, Brent!A:A, Brent!B:B, "")</f>
        <v>45.22</v>
      </c>
      <c r="E1176">
        <f>_xlfn.XLOOKUP(
  A1176,
  Repo!A:A,
  Repo!B:B,
  "",
  -1
)</f>
        <v>4</v>
      </c>
      <c r="F1176" s="10">
        <f>_xlfn.XLOOKUP(
  A1176,
  CPI!D:D,
  CPI!C:C,
  "",
  -1
)</f>
        <v>6.69</v>
      </c>
      <c r="G1176">
        <v>50507</v>
      </c>
    </row>
    <row r="1177" spans="1:7">
      <c r="A1177" s="1">
        <v>44075</v>
      </c>
      <c r="B1177">
        <v>51017</v>
      </c>
      <c r="C1177">
        <f>_xlfn.XLOOKUP(A1177, USD!A:A, USD!B:B, "")</f>
        <v>73.004000000000005</v>
      </c>
      <c r="D1177">
        <f>_xlfn.XLOOKUP(A1177, Brent!A:A, Brent!B:B, "")</f>
        <v>45.72</v>
      </c>
      <c r="E1177">
        <f>_xlfn.XLOOKUP(
  A1177,
  Repo!A:A,
  Repo!B:B,
  "",
  -1
)</f>
        <v>4</v>
      </c>
      <c r="F1177" s="10">
        <f>_xlfn.XLOOKUP(
  A1177,
  CPI!D:D,
  CPI!C:C,
  "",
  -1
)</f>
        <v>7.27</v>
      </c>
      <c r="G1177">
        <v>51050</v>
      </c>
    </row>
    <row r="1178" spans="1:7">
      <c r="A1178" s="1">
        <v>44076</v>
      </c>
      <c r="B1178">
        <v>50577</v>
      </c>
      <c r="C1178">
        <f>_xlfn.XLOOKUP(A1178, USD!A:A, USD!B:B, "")</f>
        <v>73.269000000000005</v>
      </c>
      <c r="D1178">
        <f>_xlfn.XLOOKUP(A1178, Brent!A:A, Brent!B:B, "")</f>
        <v>42.7</v>
      </c>
      <c r="E1178">
        <f>_xlfn.XLOOKUP(
  A1178,
  Repo!A:A,
  Repo!B:B,
  "",
  -1
)</f>
        <v>4</v>
      </c>
      <c r="F1178" s="10">
        <f>_xlfn.XLOOKUP(
  A1178,
  CPI!D:D,
  CPI!C:C,
  "",
  -1
)</f>
        <v>7.27</v>
      </c>
      <c r="G1178">
        <v>51017</v>
      </c>
    </row>
    <row r="1179" spans="1:7">
      <c r="A1179" s="1">
        <v>44077</v>
      </c>
      <c r="B1179">
        <v>50768</v>
      </c>
      <c r="C1179">
        <f>_xlfn.XLOOKUP(A1179, USD!A:A, USD!B:B, "")</f>
        <v>73.391000000000005</v>
      </c>
      <c r="D1179">
        <f>_xlfn.XLOOKUP(A1179, Brent!A:A, Brent!B:B, "")</f>
        <v>42.72</v>
      </c>
      <c r="E1179">
        <f>_xlfn.XLOOKUP(
  A1179,
  Repo!A:A,
  Repo!B:B,
  "",
  -1
)</f>
        <v>4</v>
      </c>
      <c r="F1179" s="10">
        <f>_xlfn.XLOOKUP(
  A1179,
  CPI!D:D,
  CPI!C:C,
  "",
  -1
)</f>
        <v>7.27</v>
      </c>
      <c r="G1179">
        <v>50577</v>
      </c>
    </row>
    <row r="1180" spans="1:7">
      <c r="A1180" s="1">
        <v>44078</v>
      </c>
      <c r="B1180">
        <v>50728</v>
      </c>
      <c r="C1180">
        <f>_xlfn.XLOOKUP(A1180, USD!A:A, USD!B:B, "")</f>
        <v>73.290999999999997</v>
      </c>
      <c r="D1180">
        <f>_xlfn.XLOOKUP(A1180, Brent!A:A, Brent!B:B, "")</f>
        <v>41.1</v>
      </c>
      <c r="E1180">
        <f>_xlfn.XLOOKUP(
  A1180,
  Repo!A:A,
  Repo!B:B,
  "",
  -1
)</f>
        <v>4</v>
      </c>
      <c r="F1180" s="10">
        <f>_xlfn.XLOOKUP(
  A1180,
  CPI!D:D,
  CPI!C:C,
  "",
  -1
)</f>
        <v>7.27</v>
      </c>
      <c r="G1180">
        <v>50768</v>
      </c>
    </row>
    <row r="1181" spans="1:7">
      <c r="A1181" s="1">
        <v>44081</v>
      </c>
      <c r="B1181">
        <v>51149</v>
      </c>
      <c r="C1181">
        <f>_xlfn.XLOOKUP(A1181, USD!A:A, USD!B:B, "")</f>
        <v>73.447000000000003</v>
      </c>
      <c r="D1181">
        <f>_xlfn.XLOOKUP(A1181, Brent!A:A, Brent!B:B, "")</f>
        <v>40.67</v>
      </c>
      <c r="E1181">
        <f>_xlfn.XLOOKUP(
  A1181,
  Repo!A:A,
  Repo!B:B,
  "",
  -1
)</f>
        <v>4</v>
      </c>
      <c r="F1181" s="10">
        <f>_xlfn.XLOOKUP(
  A1181,
  CPI!D:D,
  CPI!C:C,
  "",
  -1
)</f>
        <v>7.27</v>
      </c>
      <c r="G1181">
        <v>50728</v>
      </c>
    </row>
    <row r="1182" spans="1:7">
      <c r="A1182" s="1">
        <v>44082</v>
      </c>
      <c r="B1182">
        <v>51433</v>
      </c>
      <c r="C1182">
        <f>_xlfn.XLOOKUP(A1182, USD!A:A, USD!B:B, "")</f>
        <v>73.75</v>
      </c>
      <c r="D1182">
        <f>_xlfn.XLOOKUP(A1182, Brent!A:A, Brent!B:B, "")</f>
        <v>38.53</v>
      </c>
      <c r="E1182">
        <f>_xlfn.XLOOKUP(
  A1182,
  Repo!A:A,
  Repo!B:B,
  "",
  -1
)</f>
        <v>4</v>
      </c>
      <c r="F1182" s="10">
        <f>_xlfn.XLOOKUP(
  A1182,
  CPI!D:D,
  CPI!C:C,
  "",
  -1
)</f>
        <v>7.27</v>
      </c>
      <c r="G1182">
        <v>51149</v>
      </c>
    </row>
    <row r="1183" spans="1:7">
      <c r="A1183" s="1">
        <v>44083</v>
      </c>
      <c r="B1183">
        <v>51486</v>
      </c>
      <c r="C1183">
        <f>_xlfn.XLOOKUP(A1183, USD!A:A, USD!B:B, "")</f>
        <v>73.31</v>
      </c>
      <c r="D1183">
        <f>_xlfn.XLOOKUP(A1183, Brent!A:A, Brent!B:B, "")</f>
        <v>39.979999999999997</v>
      </c>
      <c r="E1183">
        <f>_xlfn.XLOOKUP(
  A1183,
  Repo!A:A,
  Repo!B:B,
  "",
  -1
)</f>
        <v>4</v>
      </c>
      <c r="F1183" s="10">
        <f>_xlfn.XLOOKUP(
  A1183,
  CPI!D:D,
  CPI!C:C,
  "",
  -1
)</f>
        <v>7.27</v>
      </c>
      <c r="G1183">
        <v>51433</v>
      </c>
    </row>
    <row r="1184" spans="1:7">
      <c r="A1184" s="1">
        <v>44084</v>
      </c>
      <c r="B1184">
        <v>51832</v>
      </c>
      <c r="C1184">
        <f>_xlfn.XLOOKUP(A1184, USD!A:A, USD!B:B, "")</f>
        <v>73.44</v>
      </c>
      <c r="D1184">
        <f>_xlfn.XLOOKUP(A1184, Brent!A:A, Brent!B:B, "")</f>
        <v>39.270000000000003</v>
      </c>
      <c r="E1184">
        <f>_xlfn.XLOOKUP(
  A1184,
  Repo!A:A,
  Repo!B:B,
  "",
  -1
)</f>
        <v>4</v>
      </c>
      <c r="F1184" s="10">
        <f>_xlfn.XLOOKUP(
  A1184,
  CPI!D:D,
  CPI!C:C,
  "",
  -1
)</f>
        <v>7.27</v>
      </c>
      <c r="G1184">
        <v>51486</v>
      </c>
    </row>
    <row r="1185" spans="1:7">
      <c r="A1185" s="1">
        <v>44085</v>
      </c>
      <c r="B1185">
        <v>51393</v>
      </c>
      <c r="C1185">
        <f>_xlfn.XLOOKUP(A1185, USD!A:A, USD!B:B, "")</f>
        <v>73.44</v>
      </c>
      <c r="D1185">
        <f>_xlfn.XLOOKUP(A1185, Brent!A:A, Brent!B:B, "")</f>
        <v>38.799999999999997</v>
      </c>
      <c r="E1185">
        <f>_xlfn.XLOOKUP(
  A1185,
  Repo!A:A,
  Repo!B:B,
  "",
  -1
)</f>
        <v>4</v>
      </c>
      <c r="F1185" s="10">
        <f>_xlfn.XLOOKUP(
  A1185,
  CPI!D:D,
  CPI!C:C,
  "",
  -1
)</f>
        <v>7.27</v>
      </c>
      <c r="G1185">
        <v>51832</v>
      </c>
    </row>
    <row r="1186" spans="1:7">
      <c r="A1186" s="1">
        <v>44088</v>
      </c>
      <c r="B1186">
        <v>51759</v>
      </c>
      <c r="C1186">
        <f>_xlfn.XLOOKUP(A1186, USD!A:A, USD!B:B, "")</f>
        <v>73.385000000000005</v>
      </c>
      <c r="D1186">
        <f>_xlfn.XLOOKUP(A1186, Brent!A:A, Brent!B:B, "")</f>
        <v>38.57</v>
      </c>
      <c r="E1186">
        <f>_xlfn.XLOOKUP(
  A1186,
  Repo!A:A,
  Repo!B:B,
  "",
  -1
)</f>
        <v>4</v>
      </c>
      <c r="F1186" s="10">
        <f>_xlfn.XLOOKUP(
  A1186,
  CPI!D:D,
  CPI!C:C,
  "",
  -1
)</f>
        <v>7.27</v>
      </c>
      <c r="G1186">
        <v>51393</v>
      </c>
    </row>
    <row r="1187" spans="1:7">
      <c r="A1187" s="1">
        <v>44089</v>
      </c>
      <c r="B1187">
        <v>51818</v>
      </c>
      <c r="C1187">
        <f>_xlfn.XLOOKUP(A1187, USD!A:A, USD!B:B, "")</f>
        <v>73.61</v>
      </c>
      <c r="D1187">
        <f>_xlfn.XLOOKUP(A1187, Brent!A:A, Brent!B:B, "")</f>
        <v>39.54</v>
      </c>
      <c r="E1187">
        <f>_xlfn.XLOOKUP(
  A1187,
  Repo!A:A,
  Repo!B:B,
  "",
  -1
)</f>
        <v>4</v>
      </c>
      <c r="F1187" s="10">
        <f>_xlfn.XLOOKUP(
  A1187,
  CPI!D:D,
  CPI!C:C,
  "",
  -1
)</f>
        <v>7.27</v>
      </c>
      <c r="G1187">
        <v>51759</v>
      </c>
    </row>
    <row r="1188" spans="1:7">
      <c r="A1188" s="1">
        <v>44090</v>
      </c>
      <c r="B1188">
        <v>51876</v>
      </c>
      <c r="C1188">
        <f>_xlfn.XLOOKUP(A1188, USD!A:A, USD!B:B, "")</f>
        <v>73.545000000000002</v>
      </c>
      <c r="D1188">
        <f>_xlfn.XLOOKUP(A1188, Brent!A:A, Brent!B:B, "")</f>
        <v>41.23</v>
      </c>
      <c r="E1188">
        <f>_xlfn.XLOOKUP(
  A1188,
  Repo!A:A,
  Repo!B:B,
  "",
  -1
)</f>
        <v>4</v>
      </c>
      <c r="F1188" s="10">
        <f>_xlfn.XLOOKUP(
  A1188,
  CPI!D:D,
  CPI!C:C,
  "",
  -1
)</f>
        <v>7.27</v>
      </c>
      <c r="G1188">
        <v>51818</v>
      </c>
    </row>
    <row r="1189" spans="1:7">
      <c r="A1189" s="1">
        <v>44091</v>
      </c>
      <c r="B1189">
        <v>51498</v>
      </c>
      <c r="C1189">
        <f>_xlfn.XLOOKUP(A1189, USD!A:A, USD!B:B, "")</f>
        <v>73.61</v>
      </c>
      <c r="D1189">
        <f>_xlfn.XLOOKUP(A1189, Brent!A:A, Brent!B:B, "")</f>
        <v>42.35</v>
      </c>
      <c r="E1189">
        <f>_xlfn.XLOOKUP(
  A1189,
  Repo!A:A,
  Repo!B:B,
  "",
  -1
)</f>
        <v>4</v>
      </c>
      <c r="F1189" s="10">
        <f>_xlfn.XLOOKUP(
  A1189,
  CPI!D:D,
  CPI!C:C,
  "",
  -1
)</f>
        <v>7.27</v>
      </c>
      <c r="G1189">
        <v>51876</v>
      </c>
    </row>
    <row r="1190" spans="1:7">
      <c r="A1190" s="1">
        <v>44092</v>
      </c>
      <c r="B1190">
        <v>51764</v>
      </c>
      <c r="C1190">
        <f>_xlfn.XLOOKUP(A1190, USD!A:A, USD!B:B, "")</f>
        <v>73.540000000000006</v>
      </c>
      <c r="D1190">
        <f>_xlfn.XLOOKUP(A1190, Brent!A:A, Brent!B:B, "")</f>
        <v>42.16</v>
      </c>
      <c r="E1190">
        <f>_xlfn.XLOOKUP(
  A1190,
  Repo!A:A,
  Repo!B:B,
  "",
  -1
)</f>
        <v>4</v>
      </c>
      <c r="F1190" s="10">
        <f>_xlfn.XLOOKUP(
  A1190,
  CPI!D:D,
  CPI!C:C,
  "",
  -1
)</f>
        <v>7.27</v>
      </c>
      <c r="G1190">
        <v>51498</v>
      </c>
    </row>
    <row r="1191" spans="1:7">
      <c r="A1191" s="1">
        <v>44095</v>
      </c>
      <c r="B1191">
        <v>50512</v>
      </c>
      <c r="C1191">
        <f>_xlfn.XLOOKUP(A1191, USD!A:A, USD!B:B, "")</f>
        <v>73.58</v>
      </c>
      <c r="D1191">
        <f>_xlfn.XLOOKUP(A1191, Brent!A:A, Brent!B:B, "")</f>
        <v>40.369999999999997</v>
      </c>
      <c r="E1191">
        <f>_xlfn.XLOOKUP(
  A1191,
  Repo!A:A,
  Repo!B:B,
  "",
  -1
)</f>
        <v>4</v>
      </c>
      <c r="F1191" s="10">
        <f>_xlfn.XLOOKUP(
  A1191,
  CPI!D:D,
  CPI!C:C,
  "",
  -1
)</f>
        <v>7.27</v>
      </c>
      <c r="G1191">
        <v>51764</v>
      </c>
    </row>
    <row r="1192" spans="1:7">
      <c r="A1192" s="1">
        <v>44096</v>
      </c>
      <c r="B1192">
        <v>50454</v>
      </c>
      <c r="C1192">
        <f>_xlfn.XLOOKUP(A1192, USD!A:A, USD!B:B, "")</f>
        <v>73.52</v>
      </c>
      <c r="D1192">
        <f>_xlfn.XLOOKUP(A1192, Brent!A:A, Brent!B:B, "")</f>
        <v>40.840000000000003</v>
      </c>
      <c r="E1192">
        <f>_xlfn.XLOOKUP(
  A1192,
  Repo!A:A,
  Repo!B:B,
  "",
  -1
)</f>
        <v>4</v>
      </c>
      <c r="F1192" s="10">
        <f>_xlfn.XLOOKUP(
  A1192,
  CPI!D:D,
  CPI!C:C,
  "",
  -1
)</f>
        <v>7.27</v>
      </c>
      <c r="G1192">
        <v>50512</v>
      </c>
    </row>
    <row r="1193" spans="1:7">
      <c r="A1193" s="1">
        <v>44097</v>
      </c>
      <c r="B1193">
        <v>49576</v>
      </c>
      <c r="C1193">
        <f>_xlfn.XLOOKUP(A1193, USD!A:A, USD!B:B, "")</f>
        <v>73.58</v>
      </c>
      <c r="D1193">
        <f>_xlfn.XLOOKUP(A1193, Brent!A:A, Brent!B:B, "")</f>
        <v>41.09</v>
      </c>
      <c r="E1193">
        <f>_xlfn.XLOOKUP(
  A1193,
  Repo!A:A,
  Repo!B:B,
  "",
  -1
)</f>
        <v>4</v>
      </c>
      <c r="F1193" s="10">
        <f>_xlfn.XLOOKUP(
  A1193,
  CPI!D:D,
  CPI!C:C,
  "",
  -1
)</f>
        <v>7.27</v>
      </c>
      <c r="G1193">
        <v>50454</v>
      </c>
    </row>
    <row r="1194" spans="1:7">
      <c r="A1194" s="1">
        <v>44098</v>
      </c>
      <c r="B1194">
        <v>49959</v>
      </c>
      <c r="C1194">
        <f>_xlfn.XLOOKUP(A1194, USD!A:A, USD!B:B, "")</f>
        <v>73.91</v>
      </c>
      <c r="D1194">
        <f>_xlfn.XLOOKUP(A1194, Brent!A:A, Brent!B:B, "")</f>
        <v>41.24</v>
      </c>
      <c r="E1194">
        <f>_xlfn.XLOOKUP(
  A1194,
  Repo!A:A,
  Repo!B:B,
  "",
  -1
)</f>
        <v>4</v>
      </c>
      <c r="F1194" s="10">
        <f>_xlfn.XLOOKUP(
  A1194,
  CPI!D:D,
  CPI!C:C,
  "",
  -1
)</f>
        <v>7.27</v>
      </c>
      <c r="G1194">
        <v>49576</v>
      </c>
    </row>
    <row r="1195" spans="1:7">
      <c r="A1195" s="1">
        <v>44099</v>
      </c>
      <c r="B1195">
        <v>49539</v>
      </c>
      <c r="C1195">
        <f>_xlfn.XLOOKUP(A1195, USD!A:A, USD!B:B, "")</f>
        <v>73.685000000000002</v>
      </c>
      <c r="D1195">
        <f>_xlfn.XLOOKUP(A1195, Brent!A:A, Brent!B:B, "")</f>
        <v>40.909999999999997</v>
      </c>
      <c r="E1195">
        <f>_xlfn.XLOOKUP(
  A1195,
  Repo!A:A,
  Repo!B:B,
  "",
  -1
)</f>
        <v>4</v>
      </c>
      <c r="F1195" s="10">
        <f>_xlfn.XLOOKUP(
  A1195,
  CPI!D:D,
  CPI!C:C,
  "",
  -1
)</f>
        <v>7.27</v>
      </c>
      <c r="G1195">
        <v>49959</v>
      </c>
    </row>
    <row r="1196" spans="1:7">
      <c r="A1196" s="1">
        <v>44102</v>
      </c>
      <c r="B1196">
        <v>49928</v>
      </c>
      <c r="C1196">
        <f>_xlfn.XLOOKUP(A1196, USD!A:A, USD!B:B, "")</f>
        <v>73.765000000000001</v>
      </c>
      <c r="D1196">
        <f>_xlfn.XLOOKUP(A1196, Brent!A:A, Brent!B:B, "")</f>
        <v>41.59</v>
      </c>
      <c r="E1196">
        <f>_xlfn.XLOOKUP(
  A1196,
  Repo!A:A,
  Repo!B:B,
  "",
  -1
)</f>
        <v>4</v>
      </c>
      <c r="F1196" s="10">
        <f>_xlfn.XLOOKUP(
  A1196,
  CPI!D:D,
  CPI!C:C,
  "",
  -1
)</f>
        <v>7.27</v>
      </c>
      <c r="G1196">
        <v>49539</v>
      </c>
    </row>
    <row r="1197" spans="1:7">
      <c r="A1197" s="1">
        <v>44103</v>
      </c>
      <c r="B1197">
        <v>50607</v>
      </c>
      <c r="C1197">
        <f>_xlfn.XLOOKUP(A1197, USD!A:A, USD!B:B, "")</f>
        <v>73.760000000000005</v>
      </c>
      <c r="D1197">
        <f>_xlfn.XLOOKUP(A1197, Brent!A:A, Brent!B:B, "")</f>
        <v>40.33</v>
      </c>
      <c r="E1197">
        <f>_xlfn.XLOOKUP(
  A1197,
  Repo!A:A,
  Repo!B:B,
  "",
  -1
)</f>
        <v>4</v>
      </c>
      <c r="F1197" s="10">
        <f>_xlfn.XLOOKUP(
  A1197,
  CPI!D:D,
  CPI!C:C,
  "",
  -1
)</f>
        <v>7.27</v>
      </c>
      <c r="G1197">
        <v>49928</v>
      </c>
    </row>
    <row r="1198" spans="1:7">
      <c r="A1198" s="1">
        <v>44104</v>
      </c>
      <c r="B1198">
        <v>50232</v>
      </c>
      <c r="C1198">
        <f>_xlfn.XLOOKUP(A1198, USD!A:A, USD!B:B, "")</f>
        <v>73.569999999999993</v>
      </c>
      <c r="D1198">
        <f>_xlfn.XLOOKUP(A1198, Brent!A:A, Brent!B:B, "")</f>
        <v>40.299999999999997</v>
      </c>
      <c r="E1198">
        <f>_xlfn.XLOOKUP(
  A1198,
  Repo!A:A,
  Repo!B:B,
  "",
  -1
)</f>
        <v>4</v>
      </c>
      <c r="F1198" s="10">
        <f>_xlfn.XLOOKUP(
  A1198,
  CPI!D:D,
  CPI!C:C,
  "",
  -1
)</f>
        <v>7.27</v>
      </c>
      <c r="G1198">
        <v>50607</v>
      </c>
    </row>
    <row r="1199" spans="1:7">
      <c r="A1199" s="1">
        <v>44105</v>
      </c>
      <c r="B1199">
        <v>50345</v>
      </c>
      <c r="C1199">
        <f>_xlfn.XLOOKUP(A1199, USD!A:A, USD!B:B, "")</f>
        <v>73.218000000000004</v>
      </c>
      <c r="D1199">
        <f>_xlfn.XLOOKUP(A1199, Brent!A:A, Brent!B:B, "")</f>
        <v>39.75</v>
      </c>
      <c r="E1199">
        <f>_xlfn.XLOOKUP(
  A1199,
  Repo!A:A,
  Repo!B:B,
  "",
  -1
)</f>
        <v>4</v>
      </c>
      <c r="F1199" s="10">
        <f>_xlfn.XLOOKUP(
  A1199,
  CPI!D:D,
  CPI!C:C,
  "",
  -1
)</f>
        <v>7.61</v>
      </c>
      <c r="G1199">
        <v>50232</v>
      </c>
    </row>
    <row r="1200" spans="1:7">
      <c r="A1200" s="1">
        <v>44109</v>
      </c>
      <c r="B1200">
        <v>50809</v>
      </c>
      <c r="C1200">
        <f>_xlfn.XLOOKUP(A1200, USD!A:A, USD!B:B, "")</f>
        <v>73.117000000000004</v>
      </c>
      <c r="D1200">
        <f>_xlfn.XLOOKUP(A1200, Brent!A:A, Brent!B:B, "")</f>
        <v>39.78</v>
      </c>
      <c r="E1200">
        <f>_xlfn.XLOOKUP(
  A1200,
  Repo!A:A,
  Repo!B:B,
  "",
  -1
)</f>
        <v>4</v>
      </c>
      <c r="F1200" s="10">
        <f>_xlfn.XLOOKUP(
  A1200,
  CPI!D:D,
  CPI!C:C,
  "",
  -1
)</f>
        <v>7.61</v>
      </c>
      <c r="G1200">
        <v>50345</v>
      </c>
    </row>
    <row r="1201" spans="1:7">
      <c r="A1201" s="1">
        <v>44110</v>
      </c>
      <c r="B1201">
        <v>50617</v>
      </c>
      <c r="C1201">
        <f>_xlfn.XLOOKUP(A1201, USD!A:A, USD!B:B, "")</f>
        <v>73.441000000000003</v>
      </c>
      <c r="D1201">
        <f>_xlfn.XLOOKUP(A1201, Brent!A:A, Brent!B:B, "")</f>
        <v>41.27</v>
      </c>
      <c r="E1201">
        <f>_xlfn.XLOOKUP(
  A1201,
  Repo!A:A,
  Repo!B:B,
  "",
  -1
)</f>
        <v>4</v>
      </c>
      <c r="F1201" s="10">
        <f>_xlfn.XLOOKUP(
  A1201,
  CPI!D:D,
  CPI!C:C,
  "",
  -1
)</f>
        <v>7.61</v>
      </c>
      <c r="G1201">
        <v>50809</v>
      </c>
    </row>
    <row r="1202" spans="1:7">
      <c r="A1202" s="1">
        <v>44111</v>
      </c>
      <c r="B1202">
        <v>50133</v>
      </c>
      <c r="C1202">
        <f>_xlfn.XLOOKUP(A1202, USD!A:A, USD!B:B, "")</f>
        <v>73.334999999999994</v>
      </c>
      <c r="D1202">
        <f>_xlfn.XLOOKUP(A1202, Brent!A:A, Brent!B:B, "")</f>
        <v>40.619999999999997</v>
      </c>
      <c r="E1202">
        <f>_xlfn.XLOOKUP(
  A1202,
  Repo!A:A,
  Repo!B:B,
  "",
  -1
)</f>
        <v>4</v>
      </c>
      <c r="F1202" s="10">
        <f>_xlfn.XLOOKUP(
  A1202,
  CPI!D:D,
  CPI!C:C,
  "",
  -1
)</f>
        <v>7.61</v>
      </c>
      <c r="G1202">
        <v>50617</v>
      </c>
    </row>
    <row r="1203" spans="1:7">
      <c r="A1203" s="1">
        <v>44112</v>
      </c>
      <c r="B1203">
        <v>50239</v>
      </c>
      <c r="C1203">
        <f>_xlfn.XLOOKUP(A1203, USD!A:A, USD!B:B, "")</f>
        <v>73.3</v>
      </c>
      <c r="D1203">
        <f>_xlfn.XLOOKUP(A1203, Brent!A:A, Brent!B:B, "")</f>
        <v>42</v>
      </c>
      <c r="E1203">
        <f>_xlfn.XLOOKUP(
  A1203,
  Repo!A:A,
  Repo!B:B,
  "",
  -1
)</f>
        <v>4</v>
      </c>
      <c r="F1203" s="10">
        <f>_xlfn.XLOOKUP(
  A1203,
  CPI!D:D,
  CPI!C:C,
  "",
  -1
)</f>
        <v>7.61</v>
      </c>
      <c r="G1203">
        <v>50133</v>
      </c>
    </row>
    <row r="1204" spans="1:7">
      <c r="A1204" s="1">
        <v>44113</v>
      </c>
      <c r="B1204">
        <v>50872</v>
      </c>
      <c r="C1204">
        <f>_xlfn.XLOOKUP(A1204, USD!A:A, USD!B:B, "")</f>
        <v>73.02</v>
      </c>
      <c r="D1204">
        <f>_xlfn.XLOOKUP(A1204, Brent!A:A, Brent!B:B, "")</f>
        <v>41.63</v>
      </c>
      <c r="E1204">
        <f>_xlfn.XLOOKUP(
  A1204,
  Repo!A:A,
  Repo!B:B,
  "",
  -1
)</f>
        <v>4</v>
      </c>
      <c r="F1204" s="10">
        <f>_xlfn.XLOOKUP(
  A1204,
  CPI!D:D,
  CPI!C:C,
  "",
  -1
)</f>
        <v>7.61</v>
      </c>
      <c r="G1204">
        <v>50239</v>
      </c>
    </row>
    <row r="1205" spans="1:7">
      <c r="A1205" s="1">
        <v>44116</v>
      </c>
      <c r="B1205">
        <v>51166</v>
      </c>
      <c r="C1205">
        <f>_xlfn.XLOOKUP(A1205, USD!A:A, USD!B:B, "")</f>
        <v>73.364000000000004</v>
      </c>
      <c r="D1205">
        <f>_xlfn.XLOOKUP(A1205, Brent!A:A, Brent!B:B, "")</f>
        <v>40.5</v>
      </c>
      <c r="E1205">
        <f>_xlfn.XLOOKUP(
  A1205,
  Repo!A:A,
  Repo!B:B,
  "",
  -1
)</f>
        <v>4</v>
      </c>
      <c r="F1205" s="10">
        <f>_xlfn.XLOOKUP(
  A1205,
  CPI!D:D,
  CPI!C:C,
  "",
  -1
)</f>
        <v>7.61</v>
      </c>
      <c r="G1205">
        <v>50872</v>
      </c>
    </row>
    <row r="1206" spans="1:7">
      <c r="A1206" s="1">
        <v>44117</v>
      </c>
      <c r="B1206">
        <v>50306</v>
      </c>
      <c r="C1206">
        <f>_xlfn.XLOOKUP(A1206, USD!A:A, USD!B:B, "")</f>
        <v>73.41</v>
      </c>
      <c r="D1206">
        <f>_xlfn.XLOOKUP(A1206, Brent!A:A, Brent!B:B, "")</f>
        <v>41.34</v>
      </c>
      <c r="E1206">
        <f>_xlfn.XLOOKUP(
  A1206,
  Repo!A:A,
  Repo!B:B,
  "",
  -1
)</f>
        <v>4</v>
      </c>
      <c r="F1206" s="10">
        <f>_xlfn.XLOOKUP(
  A1206,
  CPI!D:D,
  CPI!C:C,
  "",
  -1
)</f>
        <v>7.61</v>
      </c>
      <c r="G1206">
        <v>51166</v>
      </c>
    </row>
    <row r="1207" spans="1:7">
      <c r="A1207" s="1">
        <v>44118</v>
      </c>
      <c r="B1207">
        <v>50614</v>
      </c>
      <c r="C1207">
        <f>_xlfn.XLOOKUP(A1207, USD!A:A, USD!B:B, "")</f>
        <v>73.254999999999995</v>
      </c>
      <c r="D1207">
        <f>_xlfn.XLOOKUP(A1207, Brent!A:A, Brent!B:B, "")</f>
        <v>41.81</v>
      </c>
      <c r="E1207">
        <f>_xlfn.XLOOKUP(
  A1207,
  Repo!A:A,
  Repo!B:B,
  "",
  -1
)</f>
        <v>4</v>
      </c>
      <c r="F1207" s="10">
        <f>_xlfn.XLOOKUP(
  A1207,
  CPI!D:D,
  CPI!C:C,
  "",
  -1
)</f>
        <v>7.61</v>
      </c>
      <c r="G1207">
        <v>50306</v>
      </c>
    </row>
    <row r="1208" spans="1:7">
      <c r="A1208" s="1">
        <v>44119</v>
      </c>
      <c r="B1208">
        <v>50775</v>
      </c>
      <c r="C1208">
        <f>_xlfn.XLOOKUP(A1208, USD!A:A, USD!B:B, "")</f>
        <v>73.435000000000002</v>
      </c>
      <c r="D1208">
        <f>_xlfn.XLOOKUP(A1208, Brent!A:A, Brent!B:B, "")</f>
        <v>41.61</v>
      </c>
      <c r="E1208">
        <f>_xlfn.XLOOKUP(
  A1208,
  Repo!A:A,
  Repo!B:B,
  "",
  -1
)</f>
        <v>4</v>
      </c>
      <c r="F1208" s="10">
        <f>_xlfn.XLOOKUP(
  A1208,
  CPI!D:D,
  CPI!C:C,
  "",
  -1
)</f>
        <v>7.61</v>
      </c>
      <c r="G1208">
        <v>50614</v>
      </c>
    </row>
    <row r="1209" spans="1:7">
      <c r="A1209" s="1">
        <v>44120</v>
      </c>
      <c r="B1209">
        <v>50605</v>
      </c>
      <c r="C1209">
        <f>_xlfn.XLOOKUP(A1209, USD!A:A, USD!B:B, "")</f>
        <v>73.444000000000003</v>
      </c>
      <c r="D1209">
        <f>_xlfn.XLOOKUP(A1209, Brent!A:A, Brent!B:B, "")</f>
        <v>41.34</v>
      </c>
      <c r="E1209">
        <f>_xlfn.XLOOKUP(
  A1209,
  Repo!A:A,
  Repo!B:B,
  "",
  -1
)</f>
        <v>4</v>
      </c>
      <c r="F1209" s="10">
        <f>_xlfn.XLOOKUP(
  A1209,
  CPI!D:D,
  CPI!C:C,
  "",
  -1
)</f>
        <v>7.61</v>
      </c>
      <c r="G1209">
        <v>50775</v>
      </c>
    </row>
    <row r="1210" spans="1:7">
      <c r="A1210" s="1">
        <v>44123</v>
      </c>
      <c r="B1210">
        <v>50751</v>
      </c>
      <c r="C1210">
        <f>_xlfn.XLOOKUP(A1210, USD!A:A, USD!B:B, "")</f>
        <v>73.36</v>
      </c>
      <c r="D1210">
        <f>_xlfn.XLOOKUP(A1210, Brent!A:A, Brent!B:B, "")</f>
        <v>41.29</v>
      </c>
      <c r="E1210">
        <f>_xlfn.XLOOKUP(
  A1210,
  Repo!A:A,
  Repo!B:B,
  "",
  -1
)</f>
        <v>4</v>
      </c>
      <c r="F1210" s="10">
        <f>_xlfn.XLOOKUP(
  A1210,
  CPI!D:D,
  CPI!C:C,
  "",
  -1
)</f>
        <v>7.61</v>
      </c>
      <c r="G1210">
        <v>50605</v>
      </c>
    </row>
    <row r="1211" spans="1:7">
      <c r="A1211" s="1">
        <v>44124</v>
      </c>
      <c r="B1211">
        <v>50937</v>
      </c>
      <c r="C1211">
        <f>_xlfn.XLOOKUP(A1211, USD!A:A, USD!B:B, "")</f>
        <v>73.45</v>
      </c>
      <c r="D1211">
        <f>_xlfn.XLOOKUP(A1211, Brent!A:A, Brent!B:B, "")</f>
        <v>41.62</v>
      </c>
      <c r="E1211">
        <f>_xlfn.XLOOKUP(
  A1211,
  Repo!A:A,
  Repo!B:B,
  "",
  -1
)</f>
        <v>4</v>
      </c>
      <c r="F1211" s="10">
        <f>_xlfn.XLOOKUP(
  A1211,
  CPI!D:D,
  CPI!C:C,
  "",
  -1
)</f>
        <v>7.61</v>
      </c>
      <c r="G1211">
        <v>50751</v>
      </c>
    </row>
    <row r="1212" spans="1:7">
      <c r="A1212" s="1">
        <v>44125</v>
      </c>
      <c r="B1212">
        <v>51313</v>
      </c>
      <c r="C1212">
        <f>_xlfn.XLOOKUP(A1212, USD!A:A, USD!B:B, "")</f>
        <v>73.599999999999994</v>
      </c>
      <c r="D1212">
        <f>_xlfn.XLOOKUP(A1212, Brent!A:A, Brent!B:B, "")</f>
        <v>40.090000000000003</v>
      </c>
      <c r="E1212">
        <f>_xlfn.XLOOKUP(
  A1212,
  Repo!A:A,
  Repo!B:B,
  "",
  -1
)</f>
        <v>4</v>
      </c>
      <c r="F1212" s="10">
        <f>_xlfn.XLOOKUP(
  A1212,
  CPI!D:D,
  CPI!C:C,
  "",
  -1
)</f>
        <v>7.61</v>
      </c>
      <c r="G1212">
        <v>50937</v>
      </c>
    </row>
    <row r="1213" spans="1:7">
      <c r="A1213" s="1">
        <v>44126</v>
      </c>
      <c r="B1213">
        <v>50741</v>
      </c>
      <c r="C1213">
        <f>_xlfn.XLOOKUP(A1213, USD!A:A, USD!B:B, "")</f>
        <v>73.67</v>
      </c>
      <c r="D1213">
        <f>_xlfn.XLOOKUP(A1213, Brent!A:A, Brent!B:B, "")</f>
        <v>41.28</v>
      </c>
      <c r="E1213">
        <f>_xlfn.XLOOKUP(
  A1213,
  Repo!A:A,
  Repo!B:B,
  "",
  -1
)</f>
        <v>4</v>
      </c>
      <c r="F1213" s="10">
        <f>_xlfn.XLOOKUP(
  A1213,
  CPI!D:D,
  CPI!C:C,
  "",
  -1
)</f>
        <v>7.61</v>
      </c>
      <c r="G1213">
        <v>51313</v>
      </c>
    </row>
    <row r="1214" spans="1:7">
      <c r="A1214" s="1">
        <v>44127</v>
      </c>
      <c r="B1214">
        <v>50820</v>
      </c>
      <c r="C1214">
        <f>_xlfn.XLOOKUP(A1214, USD!A:A, USD!B:B, "")</f>
        <v>73.841999999999999</v>
      </c>
      <c r="D1214">
        <f>_xlfn.XLOOKUP(A1214, Brent!A:A, Brent!B:B, "")</f>
        <v>40.71</v>
      </c>
      <c r="E1214">
        <f>_xlfn.XLOOKUP(
  A1214,
  Repo!A:A,
  Repo!B:B,
  "",
  -1
)</f>
        <v>4</v>
      </c>
      <c r="F1214" s="10">
        <f>_xlfn.XLOOKUP(
  A1214,
  CPI!D:D,
  CPI!C:C,
  "",
  -1
)</f>
        <v>7.61</v>
      </c>
      <c r="G1214">
        <v>50741</v>
      </c>
    </row>
    <row r="1215" spans="1:7">
      <c r="A1215" s="1">
        <v>44130</v>
      </c>
      <c r="B1215">
        <v>50953</v>
      </c>
      <c r="C1215">
        <f>_xlfn.XLOOKUP(A1215, USD!A:A, USD!B:B, "")</f>
        <v>73.97</v>
      </c>
      <c r="D1215">
        <f>_xlfn.XLOOKUP(A1215, Brent!A:A, Brent!B:B, "")</f>
        <v>39.06</v>
      </c>
      <c r="E1215">
        <f>_xlfn.XLOOKUP(
  A1215,
  Repo!A:A,
  Repo!B:B,
  "",
  -1
)</f>
        <v>4</v>
      </c>
      <c r="F1215" s="10">
        <f>_xlfn.XLOOKUP(
  A1215,
  CPI!D:D,
  CPI!C:C,
  "",
  -1
)</f>
        <v>7.61</v>
      </c>
      <c r="G1215">
        <v>50820</v>
      </c>
    </row>
    <row r="1216" spans="1:7">
      <c r="A1216" s="1">
        <v>44131</v>
      </c>
      <c r="B1216">
        <v>50984</v>
      </c>
      <c r="C1216">
        <f>_xlfn.XLOOKUP(A1216, USD!A:A, USD!B:B, "")</f>
        <v>73.623999999999995</v>
      </c>
      <c r="D1216">
        <f>_xlfn.XLOOKUP(A1216, Brent!A:A, Brent!B:B, "")</f>
        <v>39.72</v>
      </c>
      <c r="E1216">
        <f>_xlfn.XLOOKUP(
  A1216,
  Repo!A:A,
  Repo!B:B,
  "",
  -1
)</f>
        <v>4</v>
      </c>
      <c r="F1216" s="10">
        <f>_xlfn.XLOOKUP(
  A1216,
  CPI!D:D,
  CPI!C:C,
  "",
  -1
)</f>
        <v>7.61</v>
      </c>
      <c r="G1216">
        <v>50953</v>
      </c>
    </row>
    <row r="1217" spans="1:7">
      <c r="A1217" s="1">
        <v>44132</v>
      </c>
      <c r="B1217">
        <v>50483</v>
      </c>
      <c r="C1217">
        <f>_xlfn.XLOOKUP(A1217, USD!A:A, USD!B:B, "")</f>
        <v>74.19</v>
      </c>
      <c r="D1217">
        <f>_xlfn.XLOOKUP(A1217, Brent!A:A, Brent!B:B, "")</f>
        <v>37.86</v>
      </c>
      <c r="E1217">
        <f>_xlfn.XLOOKUP(
  A1217,
  Repo!A:A,
  Repo!B:B,
  "",
  -1
)</f>
        <v>4</v>
      </c>
      <c r="F1217" s="10">
        <f>_xlfn.XLOOKUP(
  A1217,
  CPI!D:D,
  CPI!C:C,
  "",
  -1
)</f>
        <v>7.61</v>
      </c>
      <c r="G1217">
        <v>50984</v>
      </c>
    </row>
    <row r="1218" spans="1:7">
      <c r="A1218" s="1">
        <v>44133</v>
      </c>
      <c r="B1218">
        <v>50276</v>
      </c>
      <c r="C1218">
        <f>_xlfn.XLOOKUP(A1218, USD!A:A, USD!B:B, "")</f>
        <v>74.38</v>
      </c>
      <c r="D1218">
        <f>_xlfn.XLOOKUP(A1218, Brent!A:A, Brent!B:B, "")</f>
        <v>36.56</v>
      </c>
      <c r="E1218">
        <f>_xlfn.XLOOKUP(
  A1218,
  Repo!A:A,
  Repo!B:B,
  "",
  -1
)</f>
        <v>4</v>
      </c>
      <c r="F1218" s="10">
        <f>_xlfn.XLOOKUP(
  A1218,
  CPI!D:D,
  CPI!C:C,
  "",
  -1
)</f>
        <v>7.61</v>
      </c>
      <c r="G1218">
        <v>50483</v>
      </c>
    </row>
    <row r="1219" spans="1:7">
      <c r="A1219" s="1">
        <v>44134</v>
      </c>
      <c r="B1219">
        <v>50641</v>
      </c>
      <c r="C1219">
        <f>_xlfn.XLOOKUP(A1219, USD!A:A, USD!B:B, "")</f>
        <v>74.566999999999993</v>
      </c>
      <c r="D1219">
        <f>_xlfn.XLOOKUP(A1219, Brent!A:A, Brent!B:B, "")</f>
        <v>36.33</v>
      </c>
      <c r="E1219">
        <f>_xlfn.XLOOKUP(
  A1219,
  Repo!A:A,
  Repo!B:B,
  "",
  -1
)</f>
        <v>4</v>
      </c>
      <c r="F1219" s="10">
        <f>_xlfn.XLOOKUP(
  A1219,
  CPI!D:D,
  CPI!C:C,
  "",
  -1
)</f>
        <v>7.61</v>
      </c>
      <c r="G1219">
        <v>50276</v>
      </c>
    </row>
    <row r="1220" spans="1:7">
      <c r="A1220" s="1">
        <v>44137</v>
      </c>
      <c r="B1220">
        <v>51032</v>
      </c>
      <c r="C1220">
        <f>_xlfn.XLOOKUP(A1220, USD!A:A, USD!B:B, "")</f>
        <v>74.510000000000005</v>
      </c>
      <c r="D1220">
        <f>_xlfn.XLOOKUP(A1220, Brent!A:A, Brent!B:B, "")</f>
        <v>37.78</v>
      </c>
      <c r="E1220">
        <f>_xlfn.XLOOKUP(
  A1220,
  Repo!A:A,
  Repo!B:B,
  "",
  -1
)</f>
        <v>4</v>
      </c>
      <c r="F1220" s="10">
        <f>_xlfn.XLOOKUP(
  A1220,
  CPI!D:D,
  CPI!C:C,
  "",
  -1
)</f>
        <v>6.93</v>
      </c>
      <c r="G1220">
        <v>50641</v>
      </c>
    </row>
    <row r="1221" spans="1:7">
      <c r="A1221" s="1">
        <v>44138</v>
      </c>
      <c r="B1221">
        <v>51509</v>
      </c>
      <c r="C1221">
        <f>_xlfn.XLOOKUP(A1221, USD!A:A, USD!B:B, "")</f>
        <v>74.625</v>
      </c>
      <c r="D1221">
        <f>_xlfn.XLOOKUP(A1221, Brent!A:A, Brent!B:B, "")</f>
        <v>38.17</v>
      </c>
      <c r="E1221">
        <f>_xlfn.XLOOKUP(
  A1221,
  Repo!A:A,
  Repo!B:B,
  "",
  -1
)</f>
        <v>4</v>
      </c>
      <c r="F1221" s="10">
        <f>_xlfn.XLOOKUP(
  A1221,
  CPI!D:D,
  CPI!C:C,
  "",
  -1
)</f>
        <v>6.93</v>
      </c>
      <c r="G1221">
        <v>51032</v>
      </c>
    </row>
    <row r="1222" spans="1:7">
      <c r="A1222" s="1">
        <v>44139</v>
      </c>
      <c r="B1222">
        <v>50829</v>
      </c>
      <c r="C1222">
        <f>_xlfn.XLOOKUP(A1222, USD!A:A, USD!B:B, "")</f>
        <v>74.367999999999995</v>
      </c>
      <c r="D1222">
        <f>_xlfn.XLOOKUP(A1222, Brent!A:A, Brent!B:B, "")</f>
        <v>39.68</v>
      </c>
      <c r="E1222">
        <f>_xlfn.XLOOKUP(
  A1222,
  Repo!A:A,
  Repo!B:B,
  "",
  -1
)</f>
        <v>4</v>
      </c>
      <c r="F1222" s="10">
        <f>_xlfn.XLOOKUP(
  A1222,
  CPI!D:D,
  CPI!C:C,
  "",
  -1
)</f>
        <v>6.93</v>
      </c>
      <c r="G1222">
        <v>51509</v>
      </c>
    </row>
    <row r="1223" spans="1:7">
      <c r="A1223" s="1">
        <v>44140</v>
      </c>
      <c r="B1223">
        <v>51901</v>
      </c>
      <c r="C1223">
        <f>_xlfn.XLOOKUP(A1223, USD!A:A, USD!B:B, "")</f>
        <v>73.924999999999997</v>
      </c>
      <c r="D1223">
        <f>_xlfn.XLOOKUP(A1223, Brent!A:A, Brent!B:B, "")</f>
        <v>39.47</v>
      </c>
      <c r="E1223">
        <f>_xlfn.XLOOKUP(
  A1223,
  Repo!A:A,
  Repo!B:B,
  "",
  -1
)</f>
        <v>4</v>
      </c>
      <c r="F1223" s="10">
        <f>_xlfn.XLOOKUP(
  A1223,
  CPI!D:D,
  CPI!C:C,
  "",
  -1
)</f>
        <v>6.93</v>
      </c>
      <c r="G1223">
        <v>50829</v>
      </c>
    </row>
    <row r="1224" spans="1:7">
      <c r="A1224" s="1">
        <v>44141</v>
      </c>
      <c r="B1224">
        <v>52190</v>
      </c>
      <c r="C1224">
        <f>_xlfn.XLOOKUP(A1224, USD!A:A, USD!B:B, "")</f>
        <v>73.975999999999999</v>
      </c>
      <c r="D1224">
        <f>_xlfn.XLOOKUP(A1224, Brent!A:A, Brent!B:B, "")</f>
        <v>38.08</v>
      </c>
      <c r="E1224">
        <f>_xlfn.XLOOKUP(
  A1224,
  Repo!A:A,
  Repo!B:B,
  "",
  -1
)</f>
        <v>4</v>
      </c>
      <c r="F1224" s="10">
        <f>_xlfn.XLOOKUP(
  A1224,
  CPI!D:D,
  CPI!C:C,
  "",
  -1
)</f>
        <v>6.93</v>
      </c>
      <c r="G1224">
        <v>51901</v>
      </c>
    </row>
    <row r="1225" spans="1:7">
      <c r="A1225" s="1">
        <v>44144</v>
      </c>
      <c r="B1225">
        <v>49795</v>
      </c>
      <c r="C1225">
        <f>_xlfn.XLOOKUP(A1225, USD!A:A, USD!B:B, "")</f>
        <v>74.034999999999997</v>
      </c>
      <c r="D1225">
        <f>_xlfn.XLOOKUP(A1225, Brent!A:A, Brent!B:B, "")</f>
        <v>40.93</v>
      </c>
      <c r="E1225">
        <f>_xlfn.XLOOKUP(
  A1225,
  Repo!A:A,
  Repo!B:B,
  "",
  -1
)</f>
        <v>4</v>
      </c>
      <c r="F1225" s="10">
        <f>_xlfn.XLOOKUP(
  A1225,
  CPI!D:D,
  CPI!C:C,
  "",
  -1
)</f>
        <v>6.93</v>
      </c>
      <c r="G1225">
        <v>52190</v>
      </c>
    </row>
    <row r="1226" spans="1:7">
      <c r="A1226" s="1">
        <v>44145</v>
      </c>
      <c r="B1226">
        <v>50561</v>
      </c>
      <c r="C1226">
        <f>_xlfn.XLOOKUP(A1226, USD!A:A, USD!B:B, "")</f>
        <v>74.290000000000006</v>
      </c>
      <c r="D1226">
        <f>_xlfn.XLOOKUP(A1226, Brent!A:A, Brent!B:B, "")</f>
        <v>42.25</v>
      </c>
      <c r="E1226">
        <f>_xlfn.XLOOKUP(
  A1226,
  Repo!A:A,
  Repo!B:B,
  "",
  -1
)</f>
        <v>4</v>
      </c>
      <c r="F1226" s="10">
        <f>_xlfn.XLOOKUP(
  A1226,
  CPI!D:D,
  CPI!C:C,
  "",
  -1
)</f>
        <v>6.93</v>
      </c>
      <c r="G1226">
        <v>49795</v>
      </c>
    </row>
    <row r="1227" spans="1:7">
      <c r="A1227" s="1">
        <v>44146</v>
      </c>
      <c r="B1227">
        <v>50230</v>
      </c>
      <c r="C1227">
        <f>_xlfn.XLOOKUP(A1227, USD!A:A, USD!B:B, "")</f>
        <v>74.462000000000003</v>
      </c>
      <c r="D1227">
        <f>_xlfn.XLOOKUP(A1227, Brent!A:A, Brent!B:B, "")</f>
        <v>42.5</v>
      </c>
      <c r="E1227">
        <f>_xlfn.XLOOKUP(
  A1227,
  Repo!A:A,
  Repo!B:B,
  "",
  -1
)</f>
        <v>4</v>
      </c>
      <c r="F1227" s="10">
        <f>_xlfn.XLOOKUP(
  A1227,
  CPI!D:D,
  CPI!C:C,
  "",
  -1
)</f>
        <v>6.93</v>
      </c>
      <c r="G1227">
        <v>50561</v>
      </c>
    </row>
    <row r="1228" spans="1:7">
      <c r="A1228" s="1">
        <v>44147</v>
      </c>
      <c r="B1228">
        <v>50652</v>
      </c>
      <c r="C1228">
        <f>_xlfn.XLOOKUP(A1228, USD!A:A, USD!B:B, "")</f>
        <v>74.685000000000002</v>
      </c>
      <c r="D1228">
        <f>_xlfn.XLOOKUP(A1228, Brent!A:A, Brent!B:B, "")</f>
        <v>42.16</v>
      </c>
      <c r="E1228">
        <f>_xlfn.XLOOKUP(
  A1228,
  Repo!A:A,
  Repo!B:B,
  "",
  -1
)</f>
        <v>4</v>
      </c>
      <c r="F1228" s="10">
        <f>_xlfn.XLOOKUP(
  A1228,
  CPI!D:D,
  CPI!C:C,
  "",
  -1
)</f>
        <v>6.93</v>
      </c>
      <c r="G1228">
        <v>50230</v>
      </c>
    </row>
    <row r="1229" spans="1:7">
      <c r="A1229" s="1">
        <v>44148</v>
      </c>
      <c r="B1229">
        <v>50956</v>
      </c>
      <c r="C1229">
        <f>_xlfn.XLOOKUP(A1229, USD!A:A, USD!B:B, "")</f>
        <v>74.581999999999994</v>
      </c>
      <c r="D1229">
        <f>_xlfn.XLOOKUP(A1229, Brent!A:A, Brent!B:B, "")</f>
        <v>41.51</v>
      </c>
      <c r="E1229">
        <f>_xlfn.XLOOKUP(
  A1229,
  Repo!A:A,
  Repo!B:B,
  "",
  -1
)</f>
        <v>4</v>
      </c>
      <c r="F1229" s="10">
        <f>_xlfn.XLOOKUP(
  A1229,
  CPI!D:D,
  CPI!C:C,
  "",
  -1
)</f>
        <v>6.93</v>
      </c>
      <c r="G1229">
        <v>50652</v>
      </c>
    </row>
    <row r="1230" spans="1:7">
      <c r="A1230" s="1">
        <v>44151</v>
      </c>
      <c r="B1230">
        <v>50870</v>
      </c>
      <c r="C1230">
        <f>_xlfn.XLOOKUP(A1230, USD!A:A, USD!B:B, "")</f>
        <v>74.38</v>
      </c>
      <c r="D1230">
        <f>_xlfn.XLOOKUP(A1230, Brent!A:A, Brent!B:B, "")</f>
        <v>42.71</v>
      </c>
      <c r="E1230">
        <f>_xlfn.XLOOKUP(
  A1230,
  Repo!A:A,
  Repo!B:B,
  "",
  -1
)</f>
        <v>4</v>
      </c>
      <c r="F1230" s="10">
        <f>_xlfn.XLOOKUP(
  A1230,
  CPI!D:D,
  CPI!C:C,
  "",
  -1
)</f>
        <v>6.93</v>
      </c>
      <c r="G1230">
        <v>50956</v>
      </c>
    </row>
    <row r="1231" spans="1:7">
      <c r="A1231" s="1">
        <v>44152</v>
      </c>
      <c r="B1231">
        <v>50806</v>
      </c>
      <c r="C1231">
        <f>_xlfn.XLOOKUP(A1231, USD!A:A, USD!B:B, "")</f>
        <v>74.48</v>
      </c>
      <c r="D1231">
        <f>_xlfn.XLOOKUP(A1231, Brent!A:A, Brent!B:B, "")</f>
        <v>42.54</v>
      </c>
      <c r="E1231">
        <f>_xlfn.XLOOKUP(
  A1231,
  Repo!A:A,
  Repo!B:B,
  "",
  -1
)</f>
        <v>4</v>
      </c>
      <c r="F1231" s="10">
        <f>_xlfn.XLOOKUP(
  A1231,
  CPI!D:D,
  CPI!C:C,
  "",
  -1
)</f>
        <v>6.93</v>
      </c>
      <c r="G1231">
        <v>50870</v>
      </c>
    </row>
    <row r="1232" spans="1:7">
      <c r="A1232" s="1">
        <v>44153</v>
      </c>
      <c r="B1232">
        <v>50377</v>
      </c>
      <c r="C1232">
        <f>_xlfn.XLOOKUP(A1232, USD!A:A, USD!B:B, "")</f>
        <v>74.12</v>
      </c>
      <c r="D1232">
        <f>_xlfn.XLOOKUP(A1232, Brent!A:A, Brent!B:B, "")</f>
        <v>42.91</v>
      </c>
      <c r="E1232">
        <f>_xlfn.XLOOKUP(
  A1232,
  Repo!A:A,
  Repo!B:B,
  "",
  -1
)</f>
        <v>4</v>
      </c>
      <c r="F1232" s="10">
        <f>_xlfn.XLOOKUP(
  A1232,
  CPI!D:D,
  CPI!C:C,
  "",
  -1
)</f>
        <v>6.93</v>
      </c>
      <c r="G1232">
        <v>50806</v>
      </c>
    </row>
    <row r="1233" spans="1:7">
      <c r="A1233" s="1">
        <v>44154</v>
      </c>
      <c r="B1233">
        <v>50063</v>
      </c>
      <c r="C1233">
        <f>_xlfn.XLOOKUP(A1233, USD!A:A, USD!B:B, "")</f>
        <v>74.11</v>
      </c>
      <c r="D1233">
        <f>_xlfn.XLOOKUP(A1233, Brent!A:A, Brent!B:B, "")</f>
        <v>43.09</v>
      </c>
      <c r="E1233">
        <f>_xlfn.XLOOKUP(
  A1233,
  Repo!A:A,
  Repo!B:B,
  "",
  -1
)</f>
        <v>4</v>
      </c>
      <c r="F1233" s="10">
        <f>_xlfn.XLOOKUP(
  A1233,
  CPI!D:D,
  CPI!C:C,
  "",
  -1
)</f>
        <v>6.93</v>
      </c>
      <c r="G1233">
        <v>50377</v>
      </c>
    </row>
    <row r="1234" spans="1:7">
      <c r="A1234" s="1">
        <v>44155</v>
      </c>
      <c r="B1234">
        <v>50279</v>
      </c>
      <c r="C1234">
        <f>_xlfn.XLOOKUP(A1234, USD!A:A, USD!B:B, "")</f>
        <v>74.12</v>
      </c>
      <c r="D1234">
        <f>_xlfn.XLOOKUP(A1234, Brent!A:A, Brent!B:B, "")</f>
        <v>43.79</v>
      </c>
      <c r="E1234">
        <f>_xlfn.XLOOKUP(
  A1234,
  Repo!A:A,
  Repo!B:B,
  "",
  -1
)</f>
        <v>4</v>
      </c>
      <c r="F1234" s="10">
        <f>_xlfn.XLOOKUP(
  A1234,
  CPI!D:D,
  CPI!C:C,
  "",
  -1
)</f>
        <v>6.93</v>
      </c>
      <c r="G1234">
        <v>50063</v>
      </c>
    </row>
    <row r="1235" spans="1:7">
      <c r="A1235" s="1">
        <v>44158</v>
      </c>
      <c r="B1235">
        <v>49555</v>
      </c>
      <c r="C1235">
        <f>_xlfn.XLOOKUP(A1235, USD!A:A, USD!B:B, "")</f>
        <v>74.260000000000005</v>
      </c>
      <c r="D1235">
        <f>_xlfn.XLOOKUP(A1235, Brent!A:A, Brent!B:B, "")</f>
        <v>45</v>
      </c>
      <c r="E1235">
        <f>_xlfn.XLOOKUP(
  A1235,
  Repo!A:A,
  Repo!B:B,
  "",
  -1
)</f>
        <v>4</v>
      </c>
      <c r="F1235" s="10">
        <f>_xlfn.XLOOKUP(
  A1235,
  CPI!D:D,
  CPI!C:C,
  "",
  -1
)</f>
        <v>6.93</v>
      </c>
      <c r="G1235">
        <v>50279</v>
      </c>
    </row>
    <row r="1236" spans="1:7">
      <c r="A1236" s="1">
        <v>44159</v>
      </c>
      <c r="B1236">
        <v>48683</v>
      </c>
      <c r="C1236">
        <f>_xlfn.XLOOKUP(A1236, USD!A:A, USD!B:B, "")</f>
        <v>74.078999999999994</v>
      </c>
      <c r="D1236">
        <f>_xlfn.XLOOKUP(A1236, Brent!A:A, Brent!B:B, "")</f>
        <v>46.63</v>
      </c>
      <c r="E1236">
        <f>_xlfn.XLOOKUP(
  A1236,
  Repo!A:A,
  Repo!B:B,
  "",
  -1
)</f>
        <v>4</v>
      </c>
      <c r="F1236" s="10">
        <f>_xlfn.XLOOKUP(
  A1236,
  CPI!D:D,
  CPI!C:C,
  "",
  -1
)</f>
        <v>6.93</v>
      </c>
      <c r="G1236">
        <v>49555</v>
      </c>
    </row>
    <row r="1237" spans="1:7">
      <c r="A1237" s="1">
        <v>44160</v>
      </c>
      <c r="B1237">
        <v>48568</v>
      </c>
      <c r="C1237">
        <f>_xlfn.XLOOKUP(A1237, USD!A:A, USD!B:B, "")</f>
        <v>73.789000000000001</v>
      </c>
      <c r="D1237">
        <f>_xlfn.XLOOKUP(A1237, Brent!A:A, Brent!B:B, "")</f>
        <v>47.3</v>
      </c>
      <c r="E1237">
        <f>_xlfn.XLOOKUP(
  A1237,
  Repo!A:A,
  Repo!B:B,
  "",
  -1
)</f>
        <v>4</v>
      </c>
      <c r="F1237" s="10">
        <f>_xlfn.XLOOKUP(
  A1237,
  CPI!D:D,
  CPI!C:C,
  "",
  -1
)</f>
        <v>6.93</v>
      </c>
      <c r="G1237">
        <v>48683</v>
      </c>
    </row>
    <row r="1238" spans="1:7">
      <c r="A1238" s="1">
        <v>44161</v>
      </c>
      <c r="B1238">
        <v>48597</v>
      </c>
      <c r="C1238">
        <f>_xlfn.XLOOKUP(A1238, USD!A:A, USD!B:B, "")</f>
        <v>73.837000000000003</v>
      </c>
      <c r="D1238">
        <f>_xlfn.XLOOKUP(A1238, Brent!A:A, Brent!B:B, "")</f>
        <v>46.32</v>
      </c>
      <c r="E1238">
        <f>_xlfn.XLOOKUP(
  A1238,
  Repo!A:A,
  Repo!B:B,
  "",
  -1
)</f>
        <v>4</v>
      </c>
      <c r="F1238" s="10">
        <f>_xlfn.XLOOKUP(
  A1238,
  CPI!D:D,
  CPI!C:C,
  "",
  -1
)</f>
        <v>6.93</v>
      </c>
      <c r="G1238">
        <v>48568</v>
      </c>
    </row>
    <row r="1239" spans="1:7">
      <c r="A1239" s="1">
        <v>44162</v>
      </c>
      <c r="B1239">
        <v>48189</v>
      </c>
      <c r="C1239">
        <f>_xlfn.XLOOKUP(A1239, USD!A:A, USD!B:B, "")</f>
        <v>73.935000000000002</v>
      </c>
      <c r="D1239">
        <f>_xlfn.XLOOKUP(A1239, Brent!A:A, Brent!B:B, "")</f>
        <v>46.88</v>
      </c>
      <c r="E1239">
        <f>_xlfn.XLOOKUP(
  A1239,
  Repo!A:A,
  Repo!B:B,
  "",
  -1
)</f>
        <v>4</v>
      </c>
      <c r="F1239" s="10">
        <f>_xlfn.XLOOKUP(
  A1239,
  CPI!D:D,
  CPI!C:C,
  "",
  -1
)</f>
        <v>6.93</v>
      </c>
      <c r="G1239">
        <v>48597</v>
      </c>
    </row>
    <row r="1240" spans="1:7">
      <c r="A1240" s="1">
        <v>44165</v>
      </c>
      <c r="B1240">
        <v>47898</v>
      </c>
      <c r="C1240">
        <f>_xlfn.XLOOKUP(A1240, USD!A:A, USD!B:B, "")</f>
        <v>74</v>
      </c>
      <c r="D1240">
        <f>_xlfn.XLOOKUP(A1240, Brent!A:A, Brent!B:B, "")</f>
        <v>46.84</v>
      </c>
      <c r="E1240">
        <f>_xlfn.XLOOKUP(
  A1240,
  Repo!A:A,
  Repo!B:B,
  "",
  -1
)</f>
        <v>4</v>
      </c>
      <c r="F1240" s="10">
        <f>_xlfn.XLOOKUP(
  A1240,
  CPI!D:D,
  CPI!C:C,
  "",
  -1
)</f>
        <v>6.93</v>
      </c>
      <c r="G1240">
        <v>48189</v>
      </c>
    </row>
    <row r="1241" spans="1:7">
      <c r="A1241" s="1">
        <v>44166</v>
      </c>
      <c r="B1241">
        <v>48641</v>
      </c>
      <c r="C1241">
        <f>_xlfn.XLOOKUP(A1241, USD!A:A, USD!B:B, "")</f>
        <v>73.5</v>
      </c>
      <c r="D1241">
        <f>_xlfn.XLOOKUP(A1241, Brent!A:A, Brent!B:B, "")</f>
        <v>47.03</v>
      </c>
      <c r="E1241">
        <f>_xlfn.XLOOKUP(
  A1241,
  Repo!A:A,
  Repo!B:B,
  "",
  -1
)</f>
        <v>4</v>
      </c>
      <c r="F1241" s="10">
        <f>_xlfn.XLOOKUP(
  A1241,
  CPI!D:D,
  CPI!C:C,
  "",
  -1
)</f>
        <v>4.59</v>
      </c>
      <c r="G1241">
        <v>47898</v>
      </c>
    </row>
    <row r="1242" spans="1:7">
      <c r="A1242" s="1">
        <v>44167</v>
      </c>
      <c r="B1242">
        <v>48959</v>
      </c>
      <c r="C1242">
        <f>_xlfn.XLOOKUP(A1242, USD!A:A, USD!B:B, "")</f>
        <v>73.77</v>
      </c>
      <c r="D1242">
        <f>_xlfn.XLOOKUP(A1242, Brent!A:A, Brent!B:B, "")</f>
        <v>47.8</v>
      </c>
      <c r="E1242">
        <f>_xlfn.XLOOKUP(
  A1242,
  Repo!A:A,
  Repo!B:B,
  "",
  -1
)</f>
        <v>4</v>
      </c>
      <c r="F1242" s="10">
        <f>_xlfn.XLOOKUP(
  A1242,
  CPI!D:D,
  CPI!C:C,
  "",
  -1
)</f>
        <v>4.59</v>
      </c>
      <c r="G1242">
        <v>48641</v>
      </c>
    </row>
    <row r="1243" spans="1:7">
      <c r="A1243" s="1">
        <v>44168</v>
      </c>
      <c r="B1243">
        <v>49061</v>
      </c>
      <c r="C1243">
        <f>_xlfn.XLOOKUP(A1243, USD!A:A, USD!B:B, "")</f>
        <v>73.87</v>
      </c>
      <c r="D1243">
        <f>_xlfn.XLOOKUP(A1243, Brent!A:A, Brent!B:B, "")</f>
        <v>48.37</v>
      </c>
      <c r="E1243">
        <f>_xlfn.XLOOKUP(
  A1243,
  Repo!A:A,
  Repo!B:B,
  "",
  -1
)</f>
        <v>4</v>
      </c>
      <c r="F1243" s="10">
        <f>_xlfn.XLOOKUP(
  A1243,
  CPI!D:D,
  CPI!C:C,
  "",
  -1
)</f>
        <v>4.59</v>
      </c>
      <c r="G1243">
        <v>48959</v>
      </c>
    </row>
    <row r="1244" spans="1:7">
      <c r="A1244" s="1">
        <v>44169</v>
      </c>
      <c r="B1244">
        <v>49322</v>
      </c>
      <c r="C1244">
        <f>_xlfn.XLOOKUP(A1244, USD!A:A, USD!B:B, "")</f>
        <v>73.775999999999996</v>
      </c>
      <c r="D1244">
        <f>_xlfn.XLOOKUP(A1244, Brent!A:A, Brent!B:B, "")</f>
        <v>49.1</v>
      </c>
      <c r="E1244">
        <f>_xlfn.XLOOKUP(
  A1244,
  Repo!A:A,
  Repo!B:B,
  "",
  -1
)</f>
        <v>4</v>
      </c>
      <c r="F1244" s="10">
        <f>_xlfn.XLOOKUP(
  A1244,
  CPI!D:D,
  CPI!C:C,
  "",
  -1
)</f>
        <v>4.59</v>
      </c>
      <c r="G1244">
        <v>49061</v>
      </c>
    </row>
    <row r="1245" spans="1:7">
      <c r="A1245" s="1">
        <v>44172</v>
      </c>
      <c r="B1245">
        <v>49923</v>
      </c>
      <c r="C1245">
        <f>_xlfn.XLOOKUP(A1245, USD!A:A, USD!B:B, "")</f>
        <v>73.778999999999996</v>
      </c>
      <c r="D1245">
        <f>_xlfn.XLOOKUP(A1245, Brent!A:A, Brent!B:B, "")</f>
        <v>48.63</v>
      </c>
      <c r="E1245">
        <f>_xlfn.XLOOKUP(
  A1245,
  Repo!A:A,
  Repo!B:B,
  "",
  -1
)</f>
        <v>4</v>
      </c>
      <c r="F1245" s="10">
        <f>_xlfn.XLOOKUP(
  A1245,
  CPI!D:D,
  CPI!C:C,
  "",
  -1
)</f>
        <v>4.59</v>
      </c>
      <c r="G1245">
        <v>49322</v>
      </c>
    </row>
    <row r="1246" spans="1:7">
      <c r="A1246" s="1">
        <v>44173</v>
      </c>
      <c r="B1246">
        <v>50049</v>
      </c>
      <c r="C1246">
        <f>_xlfn.XLOOKUP(A1246, USD!A:A, USD!B:B, "")</f>
        <v>73.724999999999994</v>
      </c>
      <c r="D1246">
        <f>_xlfn.XLOOKUP(A1246, Brent!A:A, Brent!B:B, "")</f>
        <v>48.84</v>
      </c>
      <c r="E1246">
        <f>_xlfn.XLOOKUP(
  A1246,
  Repo!A:A,
  Repo!B:B,
  "",
  -1
)</f>
        <v>4</v>
      </c>
      <c r="F1246" s="10">
        <f>_xlfn.XLOOKUP(
  A1246,
  CPI!D:D,
  CPI!C:C,
  "",
  -1
)</f>
        <v>4.59</v>
      </c>
      <c r="G1246">
        <v>49923</v>
      </c>
    </row>
    <row r="1247" spans="1:7">
      <c r="A1247" s="1">
        <v>44174</v>
      </c>
      <c r="B1247">
        <v>49256</v>
      </c>
      <c r="C1247">
        <f>_xlfn.XLOOKUP(A1247, USD!A:A, USD!B:B, "")</f>
        <v>73.73</v>
      </c>
      <c r="D1247">
        <f>_xlfn.XLOOKUP(A1247, Brent!A:A, Brent!B:B, "")</f>
        <v>48.81</v>
      </c>
      <c r="E1247">
        <f>_xlfn.XLOOKUP(
  A1247,
  Repo!A:A,
  Repo!B:B,
  "",
  -1
)</f>
        <v>4</v>
      </c>
      <c r="F1247" s="10">
        <f>_xlfn.XLOOKUP(
  A1247,
  CPI!D:D,
  CPI!C:C,
  "",
  -1
)</f>
        <v>4.59</v>
      </c>
      <c r="G1247">
        <v>50049</v>
      </c>
    </row>
    <row r="1248" spans="1:7">
      <c r="A1248" s="1">
        <v>44175</v>
      </c>
      <c r="B1248">
        <v>49081</v>
      </c>
      <c r="C1248">
        <f>_xlfn.XLOOKUP(A1248, USD!A:A, USD!B:B, "")</f>
        <v>73.745000000000005</v>
      </c>
      <c r="D1248">
        <f>_xlfn.XLOOKUP(A1248, Brent!A:A, Brent!B:B, "")</f>
        <v>50.33</v>
      </c>
      <c r="E1248">
        <f>_xlfn.XLOOKUP(
  A1248,
  Repo!A:A,
  Repo!B:B,
  "",
  -1
)</f>
        <v>4</v>
      </c>
      <c r="F1248" s="10">
        <f>_xlfn.XLOOKUP(
  A1248,
  CPI!D:D,
  CPI!C:C,
  "",
  -1
)</f>
        <v>4.59</v>
      </c>
      <c r="G1248">
        <v>49256</v>
      </c>
    </row>
    <row r="1249" spans="1:7">
      <c r="A1249" s="1">
        <v>44176</v>
      </c>
      <c r="B1249">
        <v>49306</v>
      </c>
      <c r="C1249">
        <f>_xlfn.XLOOKUP(A1249, USD!A:A, USD!B:B, "")</f>
        <v>73.738</v>
      </c>
      <c r="D1249">
        <f>_xlfn.XLOOKUP(A1249, Brent!A:A, Brent!B:B, "")</f>
        <v>50.01</v>
      </c>
      <c r="E1249">
        <f>_xlfn.XLOOKUP(
  A1249,
  Repo!A:A,
  Repo!B:B,
  "",
  -1
)</f>
        <v>4</v>
      </c>
      <c r="F1249" s="10">
        <f>_xlfn.XLOOKUP(
  A1249,
  CPI!D:D,
  CPI!C:C,
  "",
  -1
)</f>
        <v>4.59</v>
      </c>
      <c r="G1249">
        <v>49081</v>
      </c>
    </row>
    <row r="1250" spans="1:7">
      <c r="A1250" s="1">
        <v>44179</v>
      </c>
      <c r="B1250">
        <v>48916</v>
      </c>
      <c r="C1250">
        <f>_xlfn.XLOOKUP(A1250, USD!A:A, USD!B:B, "")</f>
        <v>73.64</v>
      </c>
      <c r="D1250">
        <f>_xlfn.XLOOKUP(A1250, Brent!A:A, Brent!B:B, "")</f>
        <v>50.27</v>
      </c>
      <c r="E1250">
        <f>_xlfn.XLOOKUP(
  A1250,
  Repo!A:A,
  Repo!B:B,
  "",
  -1
)</f>
        <v>4</v>
      </c>
      <c r="F1250" s="10">
        <f>_xlfn.XLOOKUP(
  A1250,
  CPI!D:D,
  CPI!C:C,
  "",
  -1
)</f>
        <v>4.59</v>
      </c>
      <c r="G1250">
        <v>49306</v>
      </c>
    </row>
    <row r="1251" spans="1:7">
      <c r="A1251" s="1">
        <v>44180</v>
      </c>
      <c r="B1251">
        <v>49416</v>
      </c>
      <c r="C1251">
        <f>_xlfn.XLOOKUP(A1251, USD!A:A, USD!B:B, "")</f>
        <v>73.558000000000007</v>
      </c>
      <c r="D1251">
        <f>_xlfn.XLOOKUP(A1251, Brent!A:A, Brent!B:B, "")</f>
        <v>50.77</v>
      </c>
      <c r="E1251">
        <f>_xlfn.XLOOKUP(
  A1251,
  Repo!A:A,
  Repo!B:B,
  "",
  -1
)</f>
        <v>4</v>
      </c>
      <c r="F1251" s="10">
        <f>_xlfn.XLOOKUP(
  A1251,
  CPI!D:D,
  CPI!C:C,
  "",
  -1
)</f>
        <v>4.59</v>
      </c>
      <c r="G1251">
        <v>48916</v>
      </c>
    </row>
    <row r="1252" spans="1:7">
      <c r="A1252" s="1">
        <v>44181</v>
      </c>
      <c r="B1252">
        <v>49544</v>
      </c>
      <c r="C1252">
        <f>_xlfn.XLOOKUP(A1252, USD!A:A, USD!B:B, "")</f>
        <v>73.64</v>
      </c>
      <c r="D1252">
        <f>_xlfn.XLOOKUP(A1252, Brent!A:A, Brent!B:B, "")</f>
        <v>50.83</v>
      </c>
      <c r="E1252">
        <f>_xlfn.XLOOKUP(
  A1252,
  Repo!A:A,
  Repo!B:B,
  "",
  -1
)</f>
        <v>4</v>
      </c>
      <c r="F1252" s="10">
        <f>_xlfn.XLOOKUP(
  A1252,
  CPI!D:D,
  CPI!C:C,
  "",
  -1
)</f>
        <v>4.59</v>
      </c>
      <c r="G1252">
        <v>49416</v>
      </c>
    </row>
    <row r="1253" spans="1:7">
      <c r="A1253" s="1">
        <v>44182</v>
      </c>
      <c r="B1253">
        <v>50263</v>
      </c>
      <c r="C1253">
        <f>_xlfn.XLOOKUP(A1253, USD!A:A, USD!B:B, "")</f>
        <v>73.525000000000006</v>
      </c>
      <c r="D1253">
        <f>_xlfn.XLOOKUP(A1253, Brent!A:A, Brent!B:B, "")</f>
        <v>51.2</v>
      </c>
      <c r="E1253">
        <f>_xlfn.XLOOKUP(
  A1253,
  Repo!A:A,
  Repo!B:B,
  "",
  -1
)</f>
        <v>4</v>
      </c>
      <c r="F1253" s="10">
        <f>_xlfn.XLOOKUP(
  A1253,
  CPI!D:D,
  CPI!C:C,
  "",
  -1
)</f>
        <v>4.59</v>
      </c>
      <c r="G1253">
        <v>49544</v>
      </c>
    </row>
    <row r="1254" spans="1:7">
      <c r="A1254" s="1">
        <v>44183</v>
      </c>
      <c r="B1254">
        <v>50100</v>
      </c>
      <c r="C1254">
        <f>_xlfn.XLOOKUP(A1254, USD!A:A, USD!B:B, "")</f>
        <v>73.575000000000003</v>
      </c>
      <c r="D1254">
        <f>_xlfn.XLOOKUP(A1254, Brent!A:A, Brent!B:B, "")</f>
        <v>52.17</v>
      </c>
      <c r="E1254">
        <f>_xlfn.XLOOKUP(
  A1254,
  Repo!A:A,
  Repo!B:B,
  "",
  -1
)</f>
        <v>4</v>
      </c>
      <c r="F1254" s="10">
        <f>_xlfn.XLOOKUP(
  A1254,
  CPI!D:D,
  CPI!C:C,
  "",
  -1
)</f>
        <v>4.59</v>
      </c>
      <c r="G1254">
        <v>50263</v>
      </c>
    </row>
    <row r="1255" spans="1:7">
      <c r="A1255" s="1">
        <v>44186</v>
      </c>
      <c r="B1255">
        <v>50146</v>
      </c>
      <c r="C1255">
        <f>_xlfn.XLOOKUP(A1255, USD!A:A, USD!B:B, "")</f>
        <v>74.028000000000006</v>
      </c>
      <c r="D1255">
        <f>_xlfn.XLOOKUP(A1255, Brent!A:A, Brent!B:B, "")</f>
        <v>50.61</v>
      </c>
      <c r="E1255">
        <f>_xlfn.XLOOKUP(
  A1255,
  Repo!A:A,
  Repo!B:B,
  "",
  -1
)</f>
        <v>4</v>
      </c>
      <c r="F1255" s="10">
        <f>_xlfn.XLOOKUP(
  A1255,
  CPI!D:D,
  CPI!C:C,
  "",
  -1
)</f>
        <v>4.59</v>
      </c>
      <c r="G1255">
        <v>50100</v>
      </c>
    </row>
    <row r="1256" spans="1:7">
      <c r="A1256" s="1">
        <v>44187</v>
      </c>
      <c r="B1256">
        <v>49768</v>
      </c>
      <c r="C1256">
        <f>_xlfn.XLOOKUP(A1256, USD!A:A, USD!B:B, "")</f>
        <v>73.853999999999999</v>
      </c>
      <c r="D1256">
        <f>_xlfn.XLOOKUP(A1256, Brent!A:A, Brent!B:B, "")</f>
        <v>49.88</v>
      </c>
      <c r="E1256">
        <f>_xlfn.XLOOKUP(
  A1256,
  Repo!A:A,
  Repo!B:B,
  "",
  -1
)</f>
        <v>4</v>
      </c>
      <c r="F1256" s="10">
        <f>_xlfn.XLOOKUP(
  A1256,
  CPI!D:D,
  CPI!C:C,
  "",
  -1
)</f>
        <v>4.59</v>
      </c>
      <c r="G1256">
        <v>50146</v>
      </c>
    </row>
    <row r="1257" spans="1:7">
      <c r="A1257" s="1">
        <v>44188</v>
      </c>
      <c r="B1257">
        <v>49909</v>
      </c>
      <c r="C1257">
        <f>_xlfn.XLOOKUP(A1257, USD!A:A, USD!B:B, "")</f>
        <v>73.78</v>
      </c>
      <c r="D1257">
        <f>_xlfn.XLOOKUP(A1257, Brent!A:A, Brent!B:B, "")</f>
        <v>51.05</v>
      </c>
      <c r="E1257">
        <f>_xlfn.XLOOKUP(
  A1257,
  Repo!A:A,
  Repo!B:B,
  "",
  -1
)</f>
        <v>4</v>
      </c>
      <c r="F1257" s="10">
        <f>_xlfn.XLOOKUP(
  A1257,
  CPI!D:D,
  CPI!C:C,
  "",
  -1
)</f>
        <v>4.59</v>
      </c>
      <c r="G1257">
        <v>49768</v>
      </c>
    </row>
    <row r="1258" spans="1:7">
      <c r="A1258" s="1">
        <v>44189</v>
      </c>
      <c r="B1258">
        <v>49787</v>
      </c>
      <c r="C1258">
        <f>_xlfn.XLOOKUP(A1258, USD!A:A, USD!B:B, "")</f>
        <v>73.555000000000007</v>
      </c>
      <c r="D1258">
        <f>_xlfn.XLOOKUP(A1258, Brent!A:A, Brent!B:B, "")</f>
        <v>50.88</v>
      </c>
      <c r="E1258">
        <f>_xlfn.XLOOKUP(
  A1258,
  Repo!A:A,
  Repo!B:B,
  "",
  -1
)</f>
        <v>4</v>
      </c>
      <c r="F1258" s="10">
        <f>_xlfn.XLOOKUP(
  A1258,
  CPI!D:D,
  CPI!C:C,
  "",
  -1
)</f>
        <v>4.59</v>
      </c>
      <c r="G1258">
        <v>49909</v>
      </c>
    </row>
    <row r="1259" spans="1:7">
      <c r="A1259" s="1">
        <v>44193</v>
      </c>
      <c r="B1259">
        <v>49761</v>
      </c>
      <c r="C1259">
        <f>_xlfn.XLOOKUP(A1259, USD!A:A, USD!B:B, "")</f>
        <v>73.548000000000002</v>
      </c>
      <c r="D1259">
        <f>_xlfn.XLOOKUP(A1259, Brent!A:A, Brent!B:B, "")</f>
        <v>50.88</v>
      </c>
      <c r="E1259">
        <f>_xlfn.XLOOKUP(
  A1259,
  Repo!A:A,
  Repo!B:B,
  "",
  -1
)</f>
        <v>4</v>
      </c>
      <c r="F1259" s="10">
        <f>_xlfn.XLOOKUP(
  A1259,
  CPI!D:D,
  CPI!C:C,
  "",
  -1
)</f>
        <v>4.59</v>
      </c>
      <c r="G1259">
        <v>49787</v>
      </c>
    </row>
    <row r="1260" spans="1:7">
      <c r="A1260" s="1">
        <v>44194</v>
      </c>
      <c r="B1260">
        <v>49722</v>
      </c>
      <c r="C1260">
        <f>_xlfn.XLOOKUP(A1260, USD!A:A, USD!B:B, "")</f>
        <v>73.405000000000001</v>
      </c>
      <c r="D1260">
        <f>_xlfn.XLOOKUP(A1260, Brent!A:A, Brent!B:B, "")</f>
        <v>50.44</v>
      </c>
      <c r="E1260">
        <f>_xlfn.XLOOKUP(
  A1260,
  Repo!A:A,
  Repo!B:B,
  "",
  -1
)</f>
        <v>4</v>
      </c>
      <c r="F1260" s="10">
        <f>_xlfn.XLOOKUP(
  A1260,
  CPI!D:D,
  CPI!C:C,
  "",
  -1
)</f>
        <v>4.59</v>
      </c>
      <c r="G1260">
        <v>49761</v>
      </c>
    </row>
    <row r="1261" spans="1:7">
      <c r="A1261" s="1">
        <v>44195</v>
      </c>
      <c r="B1261">
        <v>49881</v>
      </c>
      <c r="C1261">
        <f>_xlfn.XLOOKUP(A1261, USD!A:A, USD!B:B, "")</f>
        <v>73.144000000000005</v>
      </c>
      <c r="D1261">
        <f>_xlfn.XLOOKUP(A1261, Brent!A:A, Brent!B:B, "")</f>
        <v>50.74</v>
      </c>
      <c r="E1261">
        <f>_xlfn.XLOOKUP(
  A1261,
  Repo!A:A,
  Repo!B:B,
  "",
  -1
)</f>
        <v>4</v>
      </c>
      <c r="F1261" s="10">
        <f>_xlfn.XLOOKUP(
  A1261,
  CPI!D:D,
  CPI!C:C,
  "",
  -1
)</f>
        <v>4.59</v>
      </c>
      <c r="G1261">
        <v>49722</v>
      </c>
    </row>
    <row r="1262" spans="1:7">
      <c r="A1262" s="1">
        <v>44196</v>
      </c>
      <c r="B1262">
        <v>50081</v>
      </c>
      <c r="C1262">
        <f>_xlfn.XLOOKUP(A1262, USD!A:A, USD!B:B, "")</f>
        <v>73.054000000000002</v>
      </c>
      <c r="D1262">
        <f>_xlfn.XLOOKUP(A1262, Brent!A:A, Brent!B:B, "")</f>
        <v>51.22</v>
      </c>
      <c r="E1262">
        <f>_xlfn.XLOOKUP(
  A1262,
  Repo!A:A,
  Repo!B:B,
  "",
  -1
)</f>
        <v>4</v>
      </c>
      <c r="F1262" s="10">
        <f>_xlfn.XLOOKUP(
  A1262,
  CPI!D:D,
  CPI!C:C,
  "",
  -1
)</f>
        <v>4.59</v>
      </c>
      <c r="G1262">
        <v>49881</v>
      </c>
    </row>
    <row r="1263" spans="1:7">
      <c r="A1263" s="1">
        <v>44200</v>
      </c>
      <c r="B1263">
        <v>51349</v>
      </c>
      <c r="C1263">
        <f>_xlfn.XLOOKUP(A1263, USD!A:A, USD!B:B, "")</f>
        <v>73.08</v>
      </c>
      <c r="D1263">
        <f>_xlfn.XLOOKUP(A1263, Brent!A:A, Brent!B:B, "")</f>
        <v>50.37</v>
      </c>
      <c r="E1263">
        <f>_xlfn.XLOOKUP(
  A1263,
  Repo!A:A,
  Repo!B:B,
  "",
  -1
)</f>
        <v>4</v>
      </c>
      <c r="F1263" s="10">
        <f>_xlfn.XLOOKUP(
  A1263,
  CPI!D:D,
  CPI!C:C,
  "",
  -1
)</f>
        <v>4.0599999999999996</v>
      </c>
      <c r="G1263">
        <v>50081</v>
      </c>
    </row>
    <row r="1264" spans="1:7">
      <c r="A1264" s="1">
        <v>44201</v>
      </c>
      <c r="B1264">
        <v>51456</v>
      </c>
      <c r="C1264">
        <f>_xlfn.XLOOKUP(A1264, USD!A:A, USD!B:B, "")</f>
        <v>73.13</v>
      </c>
      <c r="D1264">
        <f>_xlfn.XLOOKUP(A1264, Brent!A:A, Brent!B:B, "")</f>
        <v>53.16</v>
      </c>
      <c r="E1264">
        <f>_xlfn.XLOOKUP(
  A1264,
  Repo!A:A,
  Repo!B:B,
  "",
  -1
)</f>
        <v>4</v>
      </c>
      <c r="F1264" s="10">
        <f>_xlfn.XLOOKUP(
  A1264,
  CPI!D:D,
  CPI!C:C,
  "",
  -1
)</f>
        <v>4.0599999999999996</v>
      </c>
      <c r="G1264">
        <v>51349</v>
      </c>
    </row>
    <row r="1265" spans="1:7">
      <c r="A1265" s="1">
        <v>44202</v>
      </c>
      <c r="B1265">
        <v>50545</v>
      </c>
      <c r="C1265">
        <f>_xlfn.XLOOKUP(A1265, USD!A:A, USD!B:B, "")</f>
        <v>73.135999999999996</v>
      </c>
      <c r="D1265">
        <f>_xlfn.XLOOKUP(A1265, Brent!A:A, Brent!B:B, "")</f>
        <v>53.8</v>
      </c>
      <c r="E1265">
        <f>_xlfn.XLOOKUP(
  A1265,
  Repo!A:A,
  Repo!B:B,
  "",
  -1
)</f>
        <v>4</v>
      </c>
      <c r="F1265" s="10">
        <f>_xlfn.XLOOKUP(
  A1265,
  CPI!D:D,
  CPI!C:C,
  "",
  -1
)</f>
        <v>4.0599999999999996</v>
      </c>
      <c r="G1265">
        <v>51456</v>
      </c>
    </row>
    <row r="1266" spans="1:7">
      <c r="A1266" s="1">
        <v>44203</v>
      </c>
      <c r="B1266">
        <v>50918</v>
      </c>
      <c r="C1266">
        <f>_xlfn.XLOOKUP(A1266, USD!A:A, USD!B:B, "")</f>
        <v>73.430000000000007</v>
      </c>
      <c r="D1266">
        <f>_xlfn.XLOOKUP(A1266, Brent!A:A, Brent!B:B, "")</f>
        <v>53.7</v>
      </c>
      <c r="E1266">
        <f>_xlfn.XLOOKUP(
  A1266,
  Repo!A:A,
  Repo!B:B,
  "",
  -1
)</f>
        <v>4</v>
      </c>
      <c r="F1266" s="10">
        <f>_xlfn.XLOOKUP(
  A1266,
  CPI!D:D,
  CPI!C:C,
  "",
  -1
)</f>
        <v>4.0599999999999996</v>
      </c>
      <c r="G1266">
        <v>50545</v>
      </c>
    </row>
    <row r="1267" spans="1:7">
      <c r="A1267" s="1">
        <v>44204</v>
      </c>
      <c r="B1267">
        <v>49035</v>
      </c>
      <c r="C1267">
        <f>_xlfn.XLOOKUP(A1267, USD!A:A, USD!B:B, "")</f>
        <v>73.34</v>
      </c>
      <c r="D1267">
        <f>_xlfn.XLOOKUP(A1267, Brent!A:A, Brent!B:B, "")</f>
        <v>55.51</v>
      </c>
      <c r="E1267">
        <f>_xlfn.XLOOKUP(
  A1267,
  Repo!A:A,
  Repo!B:B,
  "",
  -1
)</f>
        <v>4</v>
      </c>
      <c r="F1267" s="10">
        <f>_xlfn.XLOOKUP(
  A1267,
  CPI!D:D,
  CPI!C:C,
  "",
  -1
)</f>
        <v>4.0599999999999996</v>
      </c>
      <c r="G1267">
        <v>50918</v>
      </c>
    </row>
    <row r="1268" spans="1:7">
      <c r="A1268" s="1">
        <v>44207</v>
      </c>
      <c r="B1268">
        <v>49386</v>
      </c>
      <c r="C1268">
        <f>_xlfn.XLOOKUP(A1268, USD!A:A, USD!B:B, "")</f>
        <v>73.474000000000004</v>
      </c>
      <c r="D1268">
        <f>_xlfn.XLOOKUP(A1268, Brent!A:A, Brent!B:B, "")</f>
        <v>54.84</v>
      </c>
      <c r="E1268">
        <f>_xlfn.XLOOKUP(
  A1268,
  Repo!A:A,
  Repo!B:B,
  "",
  -1
)</f>
        <v>4</v>
      </c>
      <c r="F1268" s="10">
        <f>_xlfn.XLOOKUP(
  A1268,
  CPI!D:D,
  CPI!C:C,
  "",
  -1
)</f>
        <v>4.0599999999999996</v>
      </c>
      <c r="G1268">
        <v>49035</v>
      </c>
    </row>
    <row r="1269" spans="1:7">
      <c r="A1269" s="1">
        <v>44208</v>
      </c>
      <c r="B1269">
        <v>49098</v>
      </c>
      <c r="C1269">
        <f>_xlfn.XLOOKUP(A1269, USD!A:A, USD!B:B, "")</f>
        <v>73.224999999999994</v>
      </c>
      <c r="D1269">
        <f>_xlfn.XLOOKUP(A1269, Brent!A:A, Brent!B:B, "")</f>
        <v>55.98</v>
      </c>
      <c r="E1269">
        <f>_xlfn.XLOOKUP(
  A1269,
  Repo!A:A,
  Repo!B:B,
  "",
  -1
)</f>
        <v>4</v>
      </c>
      <c r="F1269" s="10">
        <f>_xlfn.XLOOKUP(
  A1269,
  CPI!D:D,
  CPI!C:C,
  "",
  -1
)</f>
        <v>4.0599999999999996</v>
      </c>
      <c r="G1269">
        <v>49386</v>
      </c>
    </row>
    <row r="1270" spans="1:7">
      <c r="A1270" s="1">
        <v>44209</v>
      </c>
      <c r="B1270">
        <v>49354</v>
      </c>
      <c r="C1270">
        <f>_xlfn.XLOOKUP(A1270, USD!A:A, USD!B:B, "")</f>
        <v>73.17</v>
      </c>
      <c r="D1270">
        <f>_xlfn.XLOOKUP(A1270, Brent!A:A, Brent!B:B, "")</f>
        <v>55.52</v>
      </c>
      <c r="E1270">
        <f>_xlfn.XLOOKUP(
  A1270,
  Repo!A:A,
  Repo!B:B,
  "",
  -1
)</f>
        <v>4</v>
      </c>
      <c r="F1270" s="10">
        <f>_xlfn.XLOOKUP(
  A1270,
  CPI!D:D,
  CPI!C:C,
  "",
  -1
)</f>
        <v>4.0599999999999996</v>
      </c>
      <c r="G1270">
        <v>49098</v>
      </c>
    </row>
    <row r="1271" spans="1:7">
      <c r="A1271" s="1">
        <v>44210</v>
      </c>
      <c r="B1271">
        <v>49238</v>
      </c>
      <c r="C1271">
        <f>_xlfn.XLOOKUP(A1271, USD!A:A, USD!B:B, "")</f>
        <v>73.08</v>
      </c>
      <c r="D1271">
        <f>_xlfn.XLOOKUP(A1271, Brent!A:A, Brent!B:B, "")</f>
        <v>55.76</v>
      </c>
      <c r="E1271">
        <f>_xlfn.XLOOKUP(
  A1271,
  Repo!A:A,
  Repo!B:B,
  "",
  -1
)</f>
        <v>4</v>
      </c>
      <c r="F1271" s="10">
        <f>_xlfn.XLOOKUP(
  A1271,
  CPI!D:D,
  CPI!C:C,
  "",
  -1
)</f>
        <v>4.0599999999999996</v>
      </c>
      <c r="G1271">
        <v>49354</v>
      </c>
    </row>
    <row r="1272" spans="1:7">
      <c r="A1272" s="1">
        <v>44211</v>
      </c>
      <c r="B1272">
        <v>48745</v>
      </c>
      <c r="C1272">
        <f>_xlfn.XLOOKUP(A1272, USD!A:A, USD!B:B, "")</f>
        <v>73.13</v>
      </c>
      <c r="D1272">
        <f>_xlfn.XLOOKUP(A1272, Brent!A:A, Brent!B:B, "")</f>
        <v>54.8</v>
      </c>
      <c r="E1272">
        <f>_xlfn.XLOOKUP(
  A1272,
  Repo!A:A,
  Repo!B:B,
  "",
  -1
)</f>
        <v>4</v>
      </c>
      <c r="F1272" s="10">
        <f>_xlfn.XLOOKUP(
  A1272,
  CPI!D:D,
  CPI!C:C,
  "",
  -1
)</f>
        <v>4.0599999999999996</v>
      </c>
      <c r="G1272">
        <v>49238</v>
      </c>
    </row>
    <row r="1273" spans="1:7">
      <c r="A1273" s="1">
        <v>44214</v>
      </c>
      <c r="B1273">
        <v>48918</v>
      </c>
      <c r="C1273">
        <f>_xlfn.XLOOKUP(A1273, USD!A:A, USD!B:B, "")</f>
        <v>73.188000000000002</v>
      </c>
      <c r="D1273">
        <f>_xlfn.XLOOKUP(A1273, Brent!A:A, Brent!B:B, "")</f>
        <v>54.21</v>
      </c>
      <c r="E1273">
        <f>_xlfn.XLOOKUP(
  A1273,
  Repo!A:A,
  Repo!B:B,
  "",
  -1
)</f>
        <v>4</v>
      </c>
      <c r="F1273" s="10">
        <f>_xlfn.XLOOKUP(
  A1273,
  CPI!D:D,
  CPI!C:C,
  "",
  -1
)</f>
        <v>4.0599999999999996</v>
      </c>
      <c r="G1273">
        <v>48745</v>
      </c>
    </row>
    <row r="1274" spans="1:7">
      <c r="A1274" s="1">
        <v>44215</v>
      </c>
      <c r="B1274">
        <v>49011</v>
      </c>
      <c r="C1274">
        <f>_xlfn.XLOOKUP(A1274, USD!A:A, USD!B:B, "")</f>
        <v>73.191999999999993</v>
      </c>
      <c r="D1274">
        <f>_xlfn.XLOOKUP(A1274, Brent!A:A, Brent!B:B, "")</f>
        <v>55.38</v>
      </c>
      <c r="E1274">
        <f>_xlfn.XLOOKUP(
  A1274,
  Repo!A:A,
  Repo!B:B,
  "",
  -1
)</f>
        <v>4</v>
      </c>
      <c r="F1274" s="10">
        <f>_xlfn.XLOOKUP(
  A1274,
  CPI!D:D,
  CPI!C:C,
  "",
  -1
)</f>
        <v>4.0599999999999996</v>
      </c>
      <c r="G1274">
        <v>48918</v>
      </c>
    </row>
    <row r="1275" spans="1:7">
      <c r="A1275" s="1">
        <v>44216</v>
      </c>
      <c r="B1275">
        <v>49528</v>
      </c>
      <c r="C1275">
        <f>_xlfn.XLOOKUP(A1275, USD!A:A, USD!B:B, "")</f>
        <v>72.915000000000006</v>
      </c>
      <c r="D1275">
        <f>_xlfn.XLOOKUP(A1275, Brent!A:A, Brent!B:B, "")</f>
        <v>55.66</v>
      </c>
      <c r="E1275">
        <f>_xlfn.XLOOKUP(
  A1275,
  Repo!A:A,
  Repo!B:B,
  "",
  -1
)</f>
        <v>4</v>
      </c>
      <c r="F1275" s="10">
        <f>_xlfn.XLOOKUP(
  A1275,
  CPI!D:D,
  CPI!C:C,
  "",
  -1
)</f>
        <v>4.0599999999999996</v>
      </c>
      <c r="G1275">
        <v>49011</v>
      </c>
    </row>
    <row r="1276" spans="1:7">
      <c r="A1276" s="1">
        <v>44217</v>
      </c>
      <c r="B1276">
        <v>49418</v>
      </c>
      <c r="C1276">
        <f>_xlfn.XLOOKUP(A1276, USD!A:A, USD!B:B, "")</f>
        <v>72.97</v>
      </c>
      <c r="D1276">
        <f>_xlfn.XLOOKUP(A1276, Brent!A:A, Brent!B:B, "")</f>
        <v>55.68</v>
      </c>
      <c r="E1276">
        <f>_xlfn.XLOOKUP(
  A1276,
  Repo!A:A,
  Repo!B:B,
  "",
  -1
)</f>
        <v>4</v>
      </c>
      <c r="F1276" s="10">
        <f>_xlfn.XLOOKUP(
  A1276,
  CPI!D:D,
  CPI!C:C,
  "",
  -1
)</f>
        <v>4.0599999999999996</v>
      </c>
      <c r="G1276">
        <v>49528</v>
      </c>
    </row>
    <row r="1277" spans="1:7">
      <c r="A1277" s="1">
        <v>44218</v>
      </c>
      <c r="B1277">
        <v>49131</v>
      </c>
      <c r="C1277">
        <f>_xlfn.XLOOKUP(A1277, USD!A:A, USD!B:B, "")</f>
        <v>72.984999999999999</v>
      </c>
      <c r="D1277">
        <f>_xlfn.XLOOKUP(A1277, Brent!A:A, Brent!B:B, "")</f>
        <v>55.22</v>
      </c>
      <c r="E1277">
        <f>_xlfn.XLOOKUP(
  A1277,
  Repo!A:A,
  Repo!B:B,
  "",
  -1
)</f>
        <v>4</v>
      </c>
      <c r="F1277" s="10">
        <f>_xlfn.XLOOKUP(
  A1277,
  CPI!D:D,
  CPI!C:C,
  "",
  -1
)</f>
        <v>4.0599999999999996</v>
      </c>
      <c r="G1277">
        <v>49418</v>
      </c>
    </row>
    <row r="1278" spans="1:7">
      <c r="A1278" s="1">
        <v>44221</v>
      </c>
      <c r="B1278">
        <v>49144</v>
      </c>
      <c r="C1278">
        <f>_xlfn.XLOOKUP(A1278, USD!A:A, USD!B:B, "")</f>
        <v>72.97</v>
      </c>
      <c r="D1278">
        <f>_xlfn.XLOOKUP(A1278, Brent!A:A, Brent!B:B, "")</f>
        <v>55.44</v>
      </c>
      <c r="E1278">
        <f>_xlfn.XLOOKUP(
  A1278,
  Repo!A:A,
  Repo!B:B,
  "",
  -1
)</f>
        <v>4</v>
      </c>
      <c r="F1278" s="10">
        <f>_xlfn.XLOOKUP(
  A1278,
  CPI!D:D,
  CPI!C:C,
  "",
  -1
)</f>
        <v>4.0599999999999996</v>
      </c>
      <c r="G1278">
        <v>49131</v>
      </c>
    </row>
    <row r="1279" spans="1:7">
      <c r="A1279" s="1">
        <v>44223</v>
      </c>
      <c r="B1279">
        <v>48879</v>
      </c>
      <c r="C1279">
        <f>_xlfn.XLOOKUP(A1279, USD!A:A, USD!B:B, "")</f>
        <v>73.069999999999993</v>
      </c>
      <c r="D1279">
        <f>_xlfn.XLOOKUP(A1279, Brent!A:A, Brent!B:B, "")</f>
        <v>55.07</v>
      </c>
      <c r="E1279">
        <f>_xlfn.XLOOKUP(
  A1279,
  Repo!A:A,
  Repo!B:B,
  "",
  -1
)</f>
        <v>4</v>
      </c>
      <c r="F1279" s="10">
        <f>_xlfn.XLOOKUP(
  A1279,
  CPI!D:D,
  CPI!C:C,
  "",
  -1
)</f>
        <v>4.0599999999999996</v>
      </c>
      <c r="G1279">
        <v>49144</v>
      </c>
    </row>
    <row r="1280" spans="1:7">
      <c r="A1280" s="1">
        <v>44224</v>
      </c>
      <c r="B1280">
        <v>48672</v>
      </c>
      <c r="C1280">
        <f>_xlfn.XLOOKUP(A1280, USD!A:A, USD!B:B, "")</f>
        <v>72.944000000000003</v>
      </c>
      <c r="D1280">
        <f>_xlfn.XLOOKUP(A1280, Brent!A:A, Brent!B:B, "")</f>
        <v>54.87</v>
      </c>
      <c r="E1280">
        <f>_xlfn.XLOOKUP(
  A1280,
  Repo!A:A,
  Repo!B:B,
  "",
  -1
)</f>
        <v>4</v>
      </c>
      <c r="F1280" s="10">
        <f>_xlfn.XLOOKUP(
  A1280,
  CPI!D:D,
  CPI!C:C,
  "",
  -1
)</f>
        <v>4.0599999999999996</v>
      </c>
      <c r="G1280">
        <v>48879</v>
      </c>
    </row>
    <row r="1281" spans="1:7">
      <c r="A1281" s="1">
        <v>44225</v>
      </c>
      <c r="B1281">
        <v>49111</v>
      </c>
      <c r="C1281">
        <f>_xlfn.XLOOKUP(A1281, USD!A:A, USD!B:B, "")</f>
        <v>72.906000000000006</v>
      </c>
      <c r="D1281">
        <f>_xlfn.XLOOKUP(A1281, Brent!A:A, Brent!B:B, "")</f>
        <v>55.25</v>
      </c>
      <c r="E1281">
        <f>_xlfn.XLOOKUP(
  A1281,
  Repo!A:A,
  Repo!B:B,
  "",
  -1
)</f>
        <v>4</v>
      </c>
      <c r="F1281" s="10">
        <f>_xlfn.XLOOKUP(
  A1281,
  CPI!D:D,
  CPI!C:C,
  "",
  -1
)</f>
        <v>4.0599999999999996</v>
      </c>
      <c r="G1281">
        <v>48672</v>
      </c>
    </row>
    <row r="1282" spans="1:7">
      <c r="A1282" s="1">
        <v>44228</v>
      </c>
      <c r="B1282">
        <v>48424</v>
      </c>
      <c r="C1282">
        <f>_xlfn.XLOOKUP(A1282, USD!A:A, USD!B:B, "")</f>
        <v>73.12</v>
      </c>
      <c r="D1282">
        <f>_xlfn.XLOOKUP(A1282, Brent!A:A, Brent!B:B, "")</f>
        <v>56.42</v>
      </c>
      <c r="E1282">
        <f>_xlfn.XLOOKUP(
  A1282,
  Repo!A:A,
  Repo!B:B,
  "",
  -1
)</f>
        <v>4</v>
      </c>
      <c r="F1282" s="10">
        <f>_xlfn.XLOOKUP(
  A1282,
  CPI!D:D,
  CPI!C:C,
  "",
  -1
)</f>
        <v>5.03</v>
      </c>
      <c r="G1282">
        <v>49111</v>
      </c>
    </row>
    <row r="1283" spans="1:7">
      <c r="A1283" s="1">
        <v>44229</v>
      </c>
      <c r="B1283">
        <v>47752</v>
      </c>
      <c r="C1283">
        <f>_xlfn.XLOOKUP(A1283, USD!A:A, USD!B:B, "")</f>
        <v>72.917000000000002</v>
      </c>
      <c r="D1283">
        <f>_xlfn.XLOOKUP(A1283, Brent!A:A, Brent!B:B, "")</f>
        <v>57.62</v>
      </c>
      <c r="E1283">
        <f>_xlfn.XLOOKUP(
  A1283,
  Repo!A:A,
  Repo!B:B,
  "",
  -1
)</f>
        <v>4</v>
      </c>
      <c r="F1283" s="10">
        <f>_xlfn.XLOOKUP(
  A1283,
  CPI!D:D,
  CPI!C:C,
  "",
  -1
)</f>
        <v>5.03</v>
      </c>
      <c r="G1283">
        <v>48424</v>
      </c>
    </row>
    <row r="1284" spans="1:7">
      <c r="A1284" s="1">
        <v>44230</v>
      </c>
      <c r="B1284">
        <v>47703</v>
      </c>
      <c r="C1284">
        <f>_xlfn.XLOOKUP(A1284, USD!A:A, USD!B:B, "")</f>
        <v>72.814999999999998</v>
      </c>
      <c r="D1284">
        <f>_xlfn.XLOOKUP(A1284, Brent!A:A, Brent!B:B, "")</f>
        <v>58.61</v>
      </c>
      <c r="E1284">
        <f>_xlfn.XLOOKUP(
  A1284,
  Repo!A:A,
  Repo!B:B,
  "",
  -1
)</f>
        <v>4</v>
      </c>
      <c r="F1284" s="10">
        <f>_xlfn.XLOOKUP(
  A1284,
  CPI!D:D,
  CPI!C:C,
  "",
  -1
)</f>
        <v>5.03</v>
      </c>
      <c r="G1284">
        <v>47752</v>
      </c>
    </row>
    <row r="1285" spans="1:7">
      <c r="A1285" s="1">
        <v>44231</v>
      </c>
      <c r="B1285">
        <v>46695</v>
      </c>
      <c r="C1285">
        <f>_xlfn.XLOOKUP(A1285, USD!A:A, USD!B:B, "")</f>
        <v>72.954999999999998</v>
      </c>
      <c r="D1285">
        <f>_xlfn.XLOOKUP(A1285, Brent!A:A, Brent!B:B, "")</f>
        <v>58.98</v>
      </c>
      <c r="E1285">
        <f>_xlfn.XLOOKUP(
  A1285,
  Repo!A:A,
  Repo!B:B,
  "",
  -1
)</f>
        <v>4</v>
      </c>
      <c r="F1285" s="10">
        <f>_xlfn.XLOOKUP(
  A1285,
  CPI!D:D,
  CPI!C:C,
  "",
  -1
)</f>
        <v>5.03</v>
      </c>
      <c r="G1285">
        <v>47703</v>
      </c>
    </row>
    <row r="1286" spans="1:7">
      <c r="A1286" s="1">
        <v>44232</v>
      </c>
      <c r="B1286">
        <v>46978</v>
      </c>
      <c r="C1286">
        <f>_xlfn.XLOOKUP(A1286, USD!A:A, USD!B:B, "")</f>
        <v>72.814999999999998</v>
      </c>
      <c r="D1286">
        <f>_xlfn.XLOOKUP(A1286, Brent!A:A, Brent!B:B, "")</f>
        <v>59.48</v>
      </c>
      <c r="E1286">
        <f>_xlfn.XLOOKUP(
  A1286,
  Repo!A:A,
  Repo!B:B,
  "",
  -1
)</f>
        <v>4</v>
      </c>
      <c r="F1286" s="10">
        <f>_xlfn.XLOOKUP(
  A1286,
  CPI!D:D,
  CPI!C:C,
  "",
  -1
)</f>
        <v>5.03</v>
      </c>
      <c r="G1286">
        <v>46695</v>
      </c>
    </row>
    <row r="1287" spans="1:7">
      <c r="A1287" s="1">
        <v>44235</v>
      </c>
      <c r="B1287">
        <v>47726</v>
      </c>
      <c r="C1287">
        <f>_xlfn.XLOOKUP(A1287, USD!A:A, USD!B:B, "")</f>
        <v>72.935000000000002</v>
      </c>
      <c r="D1287">
        <f>_xlfn.XLOOKUP(A1287, Brent!A:A, Brent!B:B, "")</f>
        <v>60.17</v>
      </c>
      <c r="E1287">
        <f>_xlfn.XLOOKUP(
  A1287,
  Repo!A:A,
  Repo!B:B,
  "",
  -1
)</f>
        <v>4</v>
      </c>
      <c r="F1287" s="10">
        <f>_xlfn.XLOOKUP(
  A1287,
  CPI!D:D,
  CPI!C:C,
  "",
  -1
)</f>
        <v>5.03</v>
      </c>
      <c r="G1287">
        <v>46978</v>
      </c>
    </row>
    <row r="1288" spans="1:7">
      <c r="A1288" s="1">
        <v>44236</v>
      </c>
      <c r="B1288">
        <v>47818</v>
      </c>
      <c r="C1288">
        <f>_xlfn.XLOOKUP(A1288, USD!A:A, USD!B:B, "")</f>
        <v>72.855999999999995</v>
      </c>
      <c r="D1288">
        <f>_xlfn.XLOOKUP(A1288, Brent!A:A, Brent!B:B, "")</f>
        <v>60.74</v>
      </c>
      <c r="E1288">
        <f>_xlfn.XLOOKUP(
  A1288,
  Repo!A:A,
  Repo!B:B,
  "",
  -1
)</f>
        <v>4</v>
      </c>
      <c r="F1288" s="10">
        <f>_xlfn.XLOOKUP(
  A1288,
  CPI!D:D,
  CPI!C:C,
  "",
  -1
)</f>
        <v>5.03</v>
      </c>
      <c r="G1288">
        <v>47726</v>
      </c>
    </row>
    <row r="1289" spans="1:7">
      <c r="A1289" s="1">
        <v>44237</v>
      </c>
      <c r="B1289">
        <v>47863</v>
      </c>
      <c r="C1289">
        <f>_xlfn.XLOOKUP(A1289, USD!A:A, USD!B:B, "")</f>
        <v>72.795000000000002</v>
      </c>
      <c r="D1289">
        <f>_xlfn.XLOOKUP(A1289, Brent!A:A, Brent!B:B, "")</f>
        <v>61.17</v>
      </c>
      <c r="E1289">
        <f>_xlfn.XLOOKUP(
  A1289,
  Repo!A:A,
  Repo!B:B,
  "",
  -1
)</f>
        <v>4</v>
      </c>
      <c r="F1289" s="10">
        <f>_xlfn.XLOOKUP(
  A1289,
  CPI!D:D,
  CPI!C:C,
  "",
  -1
)</f>
        <v>5.03</v>
      </c>
      <c r="G1289">
        <v>47818</v>
      </c>
    </row>
    <row r="1290" spans="1:7">
      <c r="A1290" s="1">
        <v>44238</v>
      </c>
      <c r="B1290">
        <v>47377</v>
      </c>
      <c r="C1290">
        <f>_xlfn.XLOOKUP(A1290, USD!A:A, USD!B:B, "")</f>
        <v>72.709999999999994</v>
      </c>
      <c r="D1290">
        <f>_xlfn.XLOOKUP(A1290, Brent!A:A, Brent!B:B, "")</f>
        <v>61.09</v>
      </c>
      <c r="E1290">
        <f>_xlfn.XLOOKUP(
  A1290,
  Repo!A:A,
  Repo!B:B,
  "",
  -1
)</f>
        <v>4</v>
      </c>
      <c r="F1290" s="10">
        <f>_xlfn.XLOOKUP(
  A1290,
  CPI!D:D,
  CPI!C:C,
  "",
  -1
)</f>
        <v>5.03</v>
      </c>
      <c r="G1290">
        <v>47863</v>
      </c>
    </row>
    <row r="1291" spans="1:7">
      <c r="A1291" s="1">
        <v>44239</v>
      </c>
      <c r="B1291">
        <v>47169</v>
      </c>
      <c r="C1291">
        <f>_xlfn.XLOOKUP(A1291, USD!A:A, USD!B:B, "")</f>
        <v>72.594999999999999</v>
      </c>
      <c r="D1291">
        <f>_xlfn.XLOOKUP(A1291, Brent!A:A, Brent!B:B, "")</f>
        <v>62.47</v>
      </c>
      <c r="E1291">
        <f>_xlfn.XLOOKUP(
  A1291,
  Repo!A:A,
  Repo!B:B,
  "",
  -1
)</f>
        <v>4</v>
      </c>
      <c r="F1291" s="10">
        <f>_xlfn.XLOOKUP(
  A1291,
  CPI!D:D,
  CPI!C:C,
  "",
  -1
)</f>
        <v>5.03</v>
      </c>
      <c r="G1291">
        <v>47377</v>
      </c>
    </row>
    <row r="1292" spans="1:7">
      <c r="A1292" s="1">
        <v>44242</v>
      </c>
      <c r="B1292">
        <v>47118</v>
      </c>
      <c r="C1292">
        <f>_xlfn.XLOOKUP(A1292, USD!A:A, USD!B:B, "")</f>
        <v>72.623999999999995</v>
      </c>
      <c r="D1292">
        <f>_xlfn.XLOOKUP(A1292, Brent!A:A, Brent!B:B, "")</f>
        <v>63.58</v>
      </c>
      <c r="E1292">
        <f>_xlfn.XLOOKUP(
  A1292,
  Repo!A:A,
  Repo!B:B,
  "",
  -1
)</f>
        <v>4</v>
      </c>
      <c r="F1292" s="10">
        <f>_xlfn.XLOOKUP(
  A1292,
  CPI!D:D,
  CPI!C:C,
  "",
  -1
)</f>
        <v>5.03</v>
      </c>
      <c r="G1292">
        <v>47169</v>
      </c>
    </row>
    <row r="1293" spans="1:7">
      <c r="A1293" s="1">
        <v>44243</v>
      </c>
      <c r="B1293">
        <v>46777</v>
      </c>
      <c r="C1293">
        <f>_xlfn.XLOOKUP(A1293, USD!A:A, USD!B:B, "")</f>
        <v>72.87</v>
      </c>
      <c r="D1293">
        <f>_xlfn.XLOOKUP(A1293, Brent!A:A, Brent!B:B, "")</f>
        <v>63.96</v>
      </c>
      <c r="E1293">
        <f>_xlfn.XLOOKUP(
  A1293,
  Repo!A:A,
  Repo!B:B,
  "",
  -1
)</f>
        <v>4</v>
      </c>
      <c r="F1293" s="10">
        <f>_xlfn.XLOOKUP(
  A1293,
  CPI!D:D,
  CPI!C:C,
  "",
  -1
)</f>
        <v>5.03</v>
      </c>
      <c r="G1293">
        <v>47118</v>
      </c>
    </row>
    <row r="1294" spans="1:7">
      <c r="A1294" s="1">
        <v>44244</v>
      </c>
      <c r="B1294">
        <v>46134</v>
      </c>
      <c r="C1294">
        <f>_xlfn.XLOOKUP(A1294, USD!A:A, USD!B:B, "")</f>
        <v>72.834999999999994</v>
      </c>
      <c r="D1294">
        <f>_xlfn.XLOOKUP(A1294, Brent!A:A, Brent!B:B, "")</f>
        <v>65.02</v>
      </c>
      <c r="E1294">
        <f>_xlfn.XLOOKUP(
  A1294,
  Repo!A:A,
  Repo!B:B,
  "",
  -1
)</f>
        <v>4</v>
      </c>
      <c r="F1294" s="10">
        <f>_xlfn.XLOOKUP(
  A1294,
  CPI!D:D,
  CPI!C:C,
  "",
  -1
)</f>
        <v>5.03</v>
      </c>
      <c r="G1294">
        <v>46777</v>
      </c>
    </row>
    <row r="1295" spans="1:7">
      <c r="A1295" s="1">
        <v>44245</v>
      </c>
      <c r="B1295">
        <v>46046</v>
      </c>
      <c r="C1295">
        <f>_xlfn.XLOOKUP(A1295, USD!A:A, USD!B:B, "")</f>
        <v>72.584999999999994</v>
      </c>
      <c r="D1295">
        <f>_xlfn.XLOOKUP(A1295, Brent!A:A, Brent!B:B, "")</f>
        <v>64.09</v>
      </c>
      <c r="E1295">
        <f>_xlfn.XLOOKUP(
  A1295,
  Repo!A:A,
  Repo!B:B,
  "",
  -1
)</f>
        <v>4</v>
      </c>
      <c r="F1295" s="10">
        <f>_xlfn.XLOOKUP(
  A1295,
  CPI!D:D,
  CPI!C:C,
  "",
  -1
)</f>
        <v>5.03</v>
      </c>
      <c r="G1295">
        <v>46134</v>
      </c>
    </row>
    <row r="1296" spans="1:7">
      <c r="A1296" s="1">
        <v>44246</v>
      </c>
      <c r="B1296">
        <v>46095</v>
      </c>
      <c r="C1296">
        <f>_xlfn.XLOOKUP(A1296, USD!A:A, USD!B:B, "")</f>
        <v>72.56</v>
      </c>
      <c r="D1296">
        <f>_xlfn.XLOOKUP(A1296, Brent!A:A, Brent!B:B, "")</f>
        <v>62.84</v>
      </c>
      <c r="E1296">
        <f>_xlfn.XLOOKUP(
  A1296,
  Repo!A:A,
  Repo!B:B,
  "",
  -1
)</f>
        <v>4</v>
      </c>
      <c r="F1296" s="10">
        <f>_xlfn.XLOOKUP(
  A1296,
  CPI!D:D,
  CPI!C:C,
  "",
  -1
)</f>
        <v>5.03</v>
      </c>
      <c r="G1296">
        <v>46046</v>
      </c>
    </row>
    <row r="1297" spans="1:7">
      <c r="A1297" s="1">
        <v>44249</v>
      </c>
      <c r="B1297">
        <v>46782</v>
      </c>
      <c r="C1297">
        <f>_xlfn.XLOOKUP(A1297, USD!A:A, USD!B:B, "")</f>
        <v>72.45</v>
      </c>
      <c r="D1297">
        <f>_xlfn.XLOOKUP(A1297, Brent!A:A, Brent!B:B, "")</f>
        <v>64.73</v>
      </c>
      <c r="E1297">
        <f>_xlfn.XLOOKUP(
  A1297,
  Repo!A:A,
  Repo!B:B,
  "",
  -1
)</f>
        <v>4</v>
      </c>
      <c r="F1297" s="10">
        <f>_xlfn.XLOOKUP(
  A1297,
  CPI!D:D,
  CPI!C:C,
  "",
  -1
)</f>
        <v>5.03</v>
      </c>
      <c r="G1297">
        <v>46095</v>
      </c>
    </row>
    <row r="1298" spans="1:7">
      <c r="A1298" s="1">
        <v>44250</v>
      </c>
      <c r="B1298">
        <v>46632</v>
      </c>
      <c r="C1298">
        <f>_xlfn.XLOOKUP(A1298, USD!A:A, USD!B:B, "")</f>
        <v>72.382000000000005</v>
      </c>
      <c r="D1298">
        <f>_xlfn.XLOOKUP(A1298, Brent!A:A, Brent!B:B, "")</f>
        <v>65.16</v>
      </c>
      <c r="E1298">
        <f>_xlfn.XLOOKUP(
  A1298,
  Repo!A:A,
  Repo!B:B,
  "",
  -1
)</f>
        <v>4</v>
      </c>
      <c r="F1298" s="10">
        <f>_xlfn.XLOOKUP(
  A1298,
  CPI!D:D,
  CPI!C:C,
  "",
  -1
)</f>
        <v>5.03</v>
      </c>
      <c r="G1298">
        <v>46782</v>
      </c>
    </row>
    <row r="1299" spans="1:7">
      <c r="A1299" s="1">
        <v>44251</v>
      </c>
      <c r="B1299">
        <v>46369</v>
      </c>
      <c r="C1299">
        <f>_xlfn.XLOOKUP(A1299, USD!A:A, USD!B:B, "")</f>
        <v>72.39</v>
      </c>
      <c r="D1299">
        <f>_xlfn.XLOOKUP(A1299, Brent!A:A, Brent!B:B, "")</f>
        <v>66.849999999999994</v>
      </c>
      <c r="E1299">
        <f>_xlfn.XLOOKUP(
  A1299,
  Repo!A:A,
  Repo!B:B,
  "",
  -1
)</f>
        <v>4</v>
      </c>
      <c r="F1299" s="10">
        <f>_xlfn.XLOOKUP(
  A1299,
  CPI!D:D,
  CPI!C:C,
  "",
  -1
)</f>
        <v>5.03</v>
      </c>
      <c r="G1299">
        <v>46632</v>
      </c>
    </row>
    <row r="1300" spans="1:7">
      <c r="A1300" s="1">
        <v>44252</v>
      </c>
      <c r="B1300">
        <v>46085</v>
      </c>
      <c r="C1300">
        <f>_xlfn.XLOOKUP(A1300, USD!A:A, USD!B:B, "")</f>
        <v>72.745000000000005</v>
      </c>
      <c r="D1300">
        <f>_xlfn.XLOOKUP(A1300, Brent!A:A, Brent!B:B, "")</f>
        <v>66.69</v>
      </c>
      <c r="E1300">
        <f>_xlfn.XLOOKUP(
  A1300,
  Repo!A:A,
  Repo!B:B,
  "",
  -1
)</f>
        <v>4</v>
      </c>
      <c r="F1300" s="10">
        <f>_xlfn.XLOOKUP(
  A1300,
  CPI!D:D,
  CPI!C:C,
  "",
  -1
)</f>
        <v>5.03</v>
      </c>
      <c r="G1300">
        <v>46369</v>
      </c>
    </row>
    <row r="1301" spans="1:7">
      <c r="A1301" s="1">
        <v>44253</v>
      </c>
      <c r="B1301">
        <v>45569</v>
      </c>
      <c r="C1301">
        <f>_xlfn.XLOOKUP(A1301, USD!A:A, USD!B:B, "")</f>
        <v>73.936999999999998</v>
      </c>
      <c r="D1301">
        <f>_xlfn.XLOOKUP(A1301, Brent!A:A, Brent!B:B, "")</f>
        <v>65.86</v>
      </c>
      <c r="E1301">
        <f>_xlfn.XLOOKUP(
  A1301,
  Repo!A:A,
  Repo!B:B,
  "",
  -1
)</f>
        <v>4</v>
      </c>
      <c r="F1301" s="10">
        <f>_xlfn.XLOOKUP(
  A1301,
  CPI!D:D,
  CPI!C:C,
  "",
  -1
)</f>
        <v>5.03</v>
      </c>
      <c r="G1301">
        <v>46085</v>
      </c>
    </row>
    <row r="1302" spans="1:7">
      <c r="A1302" s="1">
        <v>44256</v>
      </c>
      <c r="B1302">
        <v>45021</v>
      </c>
      <c r="C1302">
        <f>_xlfn.XLOOKUP(A1302, USD!A:A, USD!B:B, "")</f>
        <v>73.405000000000001</v>
      </c>
      <c r="D1302">
        <f>_xlfn.XLOOKUP(A1302, Brent!A:A, Brent!B:B, "")</f>
        <v>64.56</v>
      </c>
      <c r="E1302">
        <f>_xlfn.XLOOKUP(
  A1302,
  Repo!A:A,
  Repo!B:B,
  "",
  -1
)</f>
        <v>4</v>
      </c>
      <c r="F1302" s="10">
        <f>_xlfn.XLOOKUP(
  A1302,
  CPI!D:D,
  CPI!C:C,
  "",
  -1
)</f>
        <v>5.52</v>
      </c>
      <c r="G1302">
        <v>45569</v>
      </c>
    </row>
    <row r="1303" spans="1:7">
      <c r="A1303" s="1">
        <v>44257</v>
      </c>
      <c r="B1303">
        <v>45224</v>
      </c>
      <c r="C1303">
        <f>_xlfn.XLOOKUP(A1303, USD!A:A, USD!B:B, "")</f>
        <v>73.260000000000005</v>
      </c>
      <c r="D1303">
        <f>_xlfn.XLOOKUP(A1303, Brent!A:A, Brent!B:B, "")</f>
        <v>63.17</v>
      </c>
      <c r="E1303">
        <f>_xlfn.XLOOKUP(
  A1303,
  Repo!A:A,
  Repo!B:B,
  "",
  -1
)</f>
        <v>4</v>
      </c>
      <c r="F1303" s="10">
        <f>_xlfn.XLOOKUP(
  A1303,
  CPI!D:D,
  CPI!C:C,
  "",
  -1
)</f>
        <v>5.52</v>
      </c>
      <c r="G1303">
        <v>45021</v>
      </c>
    </row>
    <row r="1304" spans="1:7">
      <c r="A1304" s="1">
        <v>44258</v>
      </c>
      <c r="B1304">
        <v>44721</v>
      </c>
      <c r="C1304">
        <f>_xlfn.XLOOKUP(A1304, USD!A:A, USD!B:B, "")</f>
        <v>72.94</v>
      </c>
      <c r="D1304">
        <f>_xlfn.XLOOKUP(A1304, Brent!A:A, Brent!B:B, "")</f>
        <v>64.7</v>
      </c>
      <c r="E1304">
        <f>_xlfn.XLOOKUP(
  A1304,
  Repo!A:A,
  Repo!B:B,
  "",
  -1
)</f>
        <v>4</v>
      </c>
      <c r="F1304" s="10">
        <f>_xlfn.XLOOKUP(
  A1304,
  CPI!D:D,
  CPI!C:C,
  "",
  -1
)</f>
        <v>5.52</v>
      </c>
      <c r="G1304">
        <v>45224</v>
      </c>
    </row>
    <row r="1305" spans="1:7">
      <c r="A1305" s="1">
        <v>44259</v>
      </c>
      <c r="B1305">
        <v>44581</v>
      </c>
      <c r="C1305">
        <f>_xlfn.XLOOKUP(A1305, USD!A:A, USD!B:B, "")</f>
        <v>72.739000000000004</v>
      </c>
      <c r="D1305">
        <f>_xlfn.XLOOKUP(A1305, Brent!A:A, Brent!B:B, "")</f>
        <v>67.319999999999993</v>
      </c>
      <c r="E1305">
        <f>_xlfn.XLOOKUP(
  A1305,
  Repo!A:A,
  Repo!B:B,
  "",
  -1
)</f>
        <v>4</v>
      </c>
      <c r="F1305" s="10">
        <f>_xlfn.XLOOKUP(
  A1305,
  CPI!D:D,
  CPI!C:C,
  "",
  -1
)</f>
        <v>5.52</v>
      </c>
      <c r="G1305">
        <v>44721</v>
      </c>
    </row>
    <row r="1306" spans="1:7">
      <c r="A1306" s="1">
        <v>44260</v>
      </c>
      <c r="B1306">
        <v>44442</v>
      </c>
      <c r="C1306">
        <f>_xlfn.XLOOKUP(A1306, USD!A:A, USD!B:B, "")</f>
        <v>73.19</v>
      </c>
      <c r="D1306">
        <f>_xlfn.XLOOKUP(A1306, Brent!A:A, Brent!B:B, "")</f>
        <v>69.95</v>
      </c>
      <c r="E1306">
        <f>_xlfn.XLOOKUP(
  A1306,
  Repo!A:A,
  Repo!B:B,
  "",
  -1
)</f>
        <v>4</v>
      </c>
      <c r="F1306" s="10">
        <f>_xlfn.XLOOKUP(
  A1306,
  CPI!D:D,
  CPI!C:C,
  "",
  -1
)</f>
        <v>5.52</v>
      </c>
      <c r="G1306">
        <v>44581</v>
      </c>
    </row>
    <row r="1307" spans="1:7">
      <c r="A1307" s="1">
        <v>44263</v>
      </c>
      <c r="B1307">
        <v>44233</v>
      </c>
      <c r="C1307">
        <f>_xlfn.XLOOKUP(A1307, USD!A:A, USD!B:B, "")</f>
        <v>73.36</v>
      </c>
      <c r="D1307">
        <f>_xlfn.XLOOKUP(A1307, Brent!A:A, Brent!B:B, "")</f>
        <v>68</v>
      </c>
      <c r="E1307">
        <f>_xlfn.XLOOKUP(
  A1307,
  Repo!A:A,
  Repo!B:B,
  "",
  -1
)</f>
        <v>4</v>
      </c>
      <c r="F1307" s="10">
        <f>_xlfn.XLOOKUP(
  A1307,
  CPI!D:D,
  CPI!C:C,
  "",
  -1
)</f>
        <v>5.52</v>
      </c>
      <c r="G1307">
        <v>44442</v>
      </c>
    </row>
    <row r="1308" spans="1:7">
      <c r="A1308" s="1">
        <v>44264</v>
      </c>
      <c r="B1308">
        <v>44844</v>
      </c>
      <c r="C1308">
        <f>_xlfn.XLOOKUP(A1308, USD!A:A, USD!B:B, "")</f>
        <v>72.775999999999996</v>
      </c>
      <c r="D1308">
        <f>_xlfn.XLOOKUP(A1308, Brent!A:A, Brent!B:B, "")</f>
        <v>67.03</v>
      </c>
      <c r="E1308">
        <f>_xlfn.XLOOKUP(
  A1308,
  Repo!A:A,
  Repo!B:B,
  "",
  -1
)</f>
        <v>4</v>
      </c>
      <c r="F1308" s="10">
        <f>_xlfn.XLOOKUP(
  A1308,
  CPI!D:D,
  CPI!C:C,
  "",
  -1
)</f>
        <v>5.52</v>
      </c>
      <c r="G1308">
        <v>44233</v>
      </c>
    </row>
    <row r="1309" spans="1:7">
      <c r="A1309" s="1">
        <v>44265</v>
      </c>
      <c r="B1309">
        <v>44774</v>
      </c>
      <c r="C1309">
        <f>_xlfn.XLOOKUP(A1309, USD!A:A, USD!B:B, "")</f>
        <v>72.73</v>
      </c>
      <c r="D1309">
        <f>_xlfn.XLOOKUP(A1309, Brent!A:A, Brent!B:B, "")</f>
        <v>67.53</v>
      </c>
      <c r="E1309">
        <f>_xlfn.XLOOKUP(
  A1309,
  Repo!A:A,
  Repo!B:B,
  "",
  -1
)</f>
        <v>4</v>
      </c>
      <c r="F1309" s="10">
        <f>_xlfn.XLOOKUP(
  A1309,
  CPI!D:D,
  CPI!C:C,
  "",
  -1
)</f>
        <v>5.52</v>
      </c>
      <c r="G1309">
        <v>44844</v>
      </c>
    </row>
    <row r="1310" spans="1:7">
      <c r="A1310" s="1">
        <v>44266</v>
      </c>
      <c r="B1310">
        <v>44876</v>
      </c>
      <c r="C1310">
        <f>_xlfn.XLOOKUP(A1310, USD!A:A, USD!B:B, "")</f>
        <v>72.7</v>
      </c>
      <c r="D1310">
        <f>_xlfn.XLOOKUP(A1310, Brent!A:A, Brent!B:B, "")</f>
        <v>69.34</v>
      </c>
      <c r="E1310">
        <f>_xlfn.XLOOKUP(
  A1310,
  Repo!A:A,
  Repo!B:B,
  "",
  -1
)</f>
        <v>4</v>
      </c>
      <c r="F1310" s="10">
        <f>_xlfn.XLOOKUP(
  A1310,
  CPI!D:D,
  CPI!C:C,
  "",
  -1
)</f>
        <v>5.52</v>
      </c>
      <c r="G1310">
        <v>44774</v>
      </c>
    </row>
    <row r="1311" spans="1:7">
      <c r="A1311" s="1">
        <v>44267</v>
      </c>
      <c r="B1311">
        <v>44737</v>
      </c>
      <c r="C1311">
        <f>_xlfn.XLOOKUP(A1311, USD!A:A, USD!B:B, "")</f>
        <v>72.69</v>
      </c>
      <c r="D1311">
        <f>_xlfn.XLOOKUP(A1311, Brent!A:A, Brent!B:B, "")</f>
        <v>68.87</v>
      </c>
      <c r="E1311">
        <f>_xlfn.XLOOKUP(
  A1311,
  Repo!A:A,
  Repo!B:B,
  "",
  -1
)</f>
        <v>4</v>
      </c>
      <c r="F1311" s="10">
        <f>_xlfn.XLOOKUP(
  A1311,
  CPI!D:D,
  CPI!C:C,
  "",
  -1
)</f>
        <v>5.52</v>
      </c>
      <c r="G1311">
        <v>44876</v>
      </c>
    </row>
    <row r="1312" spans="1:7">
      <c r="A1312" s="1">
        <v>44270</v>
      </c>
      <c r="B1312">
        <v>44906</v>
      </c>
      <c r="C1312">
        <f>_xlfn.XLOOKUP(A1312, USD!A:A, USD!B:B, "")</f>
        <v>72.534999999999997</v>
      </c>
      <c r="D1312">
        <f>_xlfn.XLOOKUP(A1312, Brent!A:A, Brent!B:B, "")</f>
        <v>68.78</v>
      </c>
      <c r="E1312">
        <f>_xlfn.XLOOKUP(
  A1312,
  Repo!A:A,
  Repo!B:B,
  "",
  -1
)</f>
        <v>4</v>
      </c>
      <c r="F1312" s="10">
        <f>_xlfn.XLOOKUP(
  A1312,
  CPI!D:D,
  CPI!C:C,
  "",
  -1
)</f>
        <v>5.52</v>
      </c>
      <c r="G1312">
        <v>44737</v>
      </c>
    </row>
    <row r="1313" spans="1:7">
      <c r="A1313" s="1">
        <v>44271</v>
      </c>
      <c r="B1313">
        <v>44820</v>
      </c>
      <c r="C1313">
        <f>_xlfn.XLOOKUP(A1313, USD!A:A, USD!B:B, "")</f>
        <v>72.515000000000001</v>
      </c>
      <c r="D1313">
        <f>_xlfn.XLOOKUP(A1313, Brent!A:A, Brent!B:B, "")</f>
        <v>67.95</v>
      </c>
      <c r="E1313">
        <f>_xlfn.XLOOKUP(
  A1313,
  Repo!A:A,
  Repo!B:B,
  "",
  -1
)</f>
        <v>4</v>
      </c>
      <c r="F1313" s="10">
        <f>_xlfn.XLOOKUP(
  A1313,
  CPI!D:D,
  CPI!C:C,
  "",
  -1
)</f>
        <v>5.52</v>
      </c>
      <c r="G1313">
        <v>44906</v>
      </c>
    </row>
    <row r="1314" spans="1:7">
      <c r="A1314" s="1">
        <v>44272</v>
      </c>
      <c r="B1314">
        <v>44848</v>
      </c>
      <c r="C1314">
        <f>_xlfn.XLOOKUP(A1314, USD!A:A, USD!B:B, "")</f>
        <v>72.569999999999993</v>
      </c>
      <c r="D1314">
        <f>_xlfn.XLOOKUP(A1314, Brent!A:A, Brent!B:B, "")</f>
        <v>67.73</v>
      </c>
      <c r="E1314">
        <f>_xlfn.XLOOKUP(
  A1314,
  Repo!A:A,
  Repo!B:B,
  "",
  -1
)</f>
        <v>4</v>
      </c>
      <c r="F1314" s="10">
        <f>_xlfn.XLOOKUP(
  A1314,
  CPI!D:D,
  CPI!C:C,
  "",
  -1
)</f>
        <v>5.52</v>
      </c>
      <c r="G1314">
        <v>44820</v>
      </c>
    </row>
    <row r="1315" spans="1:7">
      <c r="A1315" s="1">
        <v>44273</v>
      </c>
      <c r="B1315">
        <v>44942</v>
      </c>
      <c r="C1315">
        <f>_xlfn.XLOOKUP(A1315, USD!A:A, USD!B:B, "")</f>
        <v>72.7</v>
      </c>
      <c r="D1315">
        <f>_xlfn.XLOOKUP(A1315, Brent!A:A, Brent!B:B, "")</f>
        <v>62.11</v>
      </c>
      <c r="E1315">
        <f>_xlfn.XLOOKUP(
  A1315,
  Repo!A:A,
  Repo!B:B,
  "",
  -1
)</f>
        <v>4</v>
      </c>
      <c r="F1315" s="10">
        <f>_xlfn.XLOOKUP(
  A1315,
  CPI!D:D,
  CPI!C:C,
  "",
  -1
)</f>
        <v>5.52</v>
      </c>
      <c r="G1315">
        <v>44848</v>
      </c>
    </row>
    <row r="1316" spans="1:7">
      <c r="A1316" s="1">
        <v>44274</v>
      </c>
      <c r="B1316">
        <v>45008</v>
      </c>
      <c r="C1316">
        <f>_xlfn.XLOOKUP(A1316, USD!A:A, USD!B:B, "")</f>
        <v>72.412999999999997</v>
      </c>
      <c r="D1316">
        <f>_xlfn.XLOOKUP(A1316, Brent!A:A, Brent!B:B, "")</f>
        <v>64</v>
      </c>
      <c r="E1316">
        <f>_xlfn.XLOOKUP(
  A1316,
  Repo!A:A,
  Repo!B:B,
  "",
  -1
)</f>
        <v>4</v>
      </c>
      <c r="F1316" s="10">
        <f>_xlfn.XLOOKUP(
  A1316,
  CPI!D:D,
  CPI!C:C,
  "",
  -1
)</f>
        <v>5.52</v>
      </c>
      <c r="G1316">
        <v>44942</v>
      </c>
    </row>
    <row r="1317" spans="1:7">
      <c r="A1317" s="1">
        <v>44277</v>
      </c>
      <c r="B1317">
        <v>44885</v>
      </c>
      <c r="C1317">
        <f>_xlfn.XLOOKUP(A1317, USD!A:A, USD!B:B, "")</f>
        <v>72.38</v>
      </c>
      <c r="D1317">
        <f>_xlfn.XLOOKUP(A1317, Brent!A:A, Brent!B:B, "")</f>
        <v>63.89</v>
      </c>
      <c r="E1317">
        <f>_xlfn.XLOOKUP(
  A1317,
  Repo!A:A,
  Repo!B:B,
  "",
  -1
)</f>
        <v>4</v>
      </c>
      <c r="F1317" s="10">
        <f>_xlfn.XLOOKUP(
  A1317,
  CPI!D:D,
  CPI!C:C,
  "",
  -1
)</f>
        <v>5.52</v>
      </c>
      <c r="G1317">
        <v>45008</v>
      </c>
    </row>
    <row r="1318" spans="1:7">
      <c r="A1318" s="1">
        <v>44278</v>
      </c>
      <c r="B1318">
        <v>44636</v>
      </c>
      <c r="C1318">
        <f>_xlfn.XLOOKUP(A1318, USD!A:A, USD!B:B, "")</f>
        <v>72.555000000000007</v>
      </c>
      <c r="D1318">
        <f>_xlfn.XLOOKUP(A1318, Brent!A:A, Brent!B:B, "")</f>
        <v>59.96</v>
      </c>
      <c r="E1318">
        <f>_xlfn.XLOOKUP(
  A1318,
  Repo!A:A,
  Repo!B:B,
  "",
  -1
)</f>
        <v>4</v>
      </c>
      <c r="F1318" s="10">
        <f>_xlfn.XLOOKUP(
  A1318,
  CPI!D:D,
  CPI!C:C,
  "",
  -1
)</f>
        <v>5.52</v>
      </c>
      <c r="G1318">
        <v>44885</v>
      </c>
    </row>
    <row r="1319" spans="1:7">
      <c r="A1319" s="1">
        <v>44279</v>
      </c>
      <c r="B1319">
        <v>44841</v>
      </c>
      <c r="C1319">
        <f>_xlfn.XLOOKUP(A1319, USD!A:A, USD!B:B, "")</f>
        <v>72.594999999999999</v>
      </c>
      <c r="D1319">
        <f>_xlfn.XLOOKUP(A1319, Brent!A:A, Brent!B:B, "")</f>
        <v>63.7</v>
      </c>
      <c r="E1319">
        <f>_xlfn.XLOOKUP(
  A1319,
  Repo!A:A,
  Repo!B:B,
  "",
  -1
)</f>
        <v>4</v>
      </c>
      <c r="F1319" s="10">
        <f>_xlfn.XLOOKUP(
  A1319,
  CPI!D:D,
  CPI!C:C,
  "",
  -1
)</f>
        <v>5.52</v>
      </c>
      <c r="G1319">
        <v>44636</v>
      </c>
    </row>
    <row r="1320" spans="1:7">
      <c r="A1320" s="1">
        <v>44280</v>
      </c>
      <c r="B1320">
        <v>44726</v>
      </c>
      <c r="C1320">
        <f>_xlfn.XLOOKUP(A1320, USD!A:A, USD!B:B, "")</f>
        <v>72.665000000000006</v>
      </c>
      <c r="D1320">
        <f>_xlfn.XLOOKUP(A1320, Brent!A:A, Brent!B:B, "")</f>
        <v>61.21</v>
      </c>
      <c r="E1320">
        <f>_xlfn.XLOOKUP(
  A1320,
  Repo!A:A,
  Repo!B:B,
  "",
  -1
)</f>
        <v>4</v>
      </c>
      <c r="F1320" s="10">
        <f>_xlfn.XLOOKUP(
  A1320,
  CPI!D:D,
  CPI!C:C,
  "",
  -1
)</f>
        <v>5.52</v>
      </c>
      <c r="G1320">
        <v>44841</v>
      </c>
    </row>
    <row r="1321" spans="1:7">
      <c r="A1321" s="1">
        <v>44281</v>
      </c>
      <c r="B1321">
        <v>44629</v>
      </c>
      <c r="C1321">
        <f>_xlfn.XLOOKUP(A1321, USD!A:A, USD!B:B, "")</f>
        <v>72.614999999999995</v>
      </c>
      <c r="D1321">
        <f>_xlfn.XLOOKUP(A1321, Brent!A:A, Brent!B:B, "")</f>
        <v>63.77</v>
      </c>
      <c r="E1321">
        <f>_xlfn.XLOOKUP(
  A1321,
  Repo!A:A,
  Repo!B:B,
  "",
  -1
)</f>
        <v>4</v>
      </c>
      <c r="F1321" s="10">
        <f>_xlfn.XLOOKUP(
  A1321,
  CPI!D:D,
  CPI!C:C,
  "",
  -1
)</f>
        <v>5.52</v>
      </c>
      <c r="G1321">
        <v>44726</v>
      </c>
    </row>
    <row r="1322" spans="1:7">
      <c r="A1322" s="1">
        <v>44284</v>
      </c>
      <c r="B1322">
        <v>43754</v>
      </c>
      <c r="C1322">
        <f>_xlfn.XLOOKUP(A1322, USD!A:A, USD!B:B, "")</f>
        <v>72.754999999999995</v>
      </c>
      <c r="D1322">
        <f>_xlfn.XLOOKUP(A1322, Brent!A:A, Brent!B:B, "")</f>
        <v>64.06</v>
      </c>
      <c r="E1322">
        <f>_xlfn.XLOOKUP(
  A1322,
  Repo!A:A,
  Repo!B:B,
  "",
  -1
)</f>
        <v>4</v>
      </c>
      <c r="F1322" s="10">
        <f>_xlfn.XLOOKUP(
  A1322,
  CPI!D:D,
  CPI!C:C,
  "",
  -1
)</f>
        <v>5.52</v>
      </c>
      <c r="G1322">
        <v>44629</v>
      </c>
    </row>
    <row r="1323" spans="1:7">
      <c r="A1323" s="1">
        <v>44285</v>
      </c>
      <c r="B1323">
        <v>43941</v>
      </c>
      <c r="C1323">
        <f>_xlfn.XLOOKUP(A1323, USD!A:A, USD!B:B, "")</f>
        <v>73.444999999999993</v>
      </c>
      <c r="D1323">
        <f>_xlfn.XLOOKUP(A1323, Brent!A:A, Brent!B:B, "")</f>
        <v>63.28</v>
      </c>
      <c r="E1323">
        <f>_xlfn.XLOOKUP(
  A1323,
  Repo!A:A,
  Repo!B:B,
  "",
  -1
)</f>
        <v>4</v>
      </c>
      <c r="F1323" s="10">
        <f>_xlfn.XLOOKUP(
  A1323,
  CPI!D:D,
  CPI!C:C,
  "",
  -1
)</f>
        <v>5.52</v>
      </c>
      <c r="G1323">
        <v>43754</v>
      </c>
    </row>
    <row r="1324" spans="1:7">
      <c r="A1324" s="1">
        <v>44286</v>
      </c>
      <c r="B1324">
        <v>44418</v>
      </c>
      <c r="C1324">
        <f>_xlfn.XLOOKUP(A1324, USD!A:A, USD!B:B, "")</f>
        <v>73.147999999999996</v>
      </c>
      <c r="D1324">
        <f>_xlfn.XLOOKUP(A1324, Brent!A:A, Brent!B:B, "")</f>
        <v>63.52</v>
      </c>
      <c r="E1324">
        <f>_xlfn.XLOOKUP(
  A1324,
  Repo!A:A,
  Repo!B:B,
  "",
  -1
)</f>
        <v>4</v>
      </c>
      <c r="F1324" s="10">
        <f>_xlfn.XLOOKUP(
  A1324,
  CPI!D:D,
  CPI!C:C,
  "",
  -1
)</f>
        <v>5.52</v>
      </c>
      <c r="G1324">
        <v>43941</v>
      </c>
    </row>
    <row r="1325" spans="1:7">
      <c r="A1325" s="1">
        <v>44287</v>
      </c>
      <c r="B1325">
        <v>44957</v>
      </c>
      <c r="C1325">
        <f>_xlfn.XLOOKUP(A1325, USD!A:A, USD!B:B, "")</f>
        <v>73.331999999999994</v>
      </c>
      <c r="D1325">
        <f>_xlfn.XLOOKUP(A1325, Brent!A:A, Brent!B:B, "")</f>
        <v>63.85</v>
      </c>
      <c r="E1325">
        <f>_xlfn.XLOOKUP(
  A1325,
  Repo!A:A,
  Repo!B:B,
  "",
  -1
)</f>
        <v>4</v>
      </c>
      <c r="F1325" s="10">
        <f>_xlfn.XLOOKUP(
  A1325,
  CPI!D:D,
  CPI!C:C,
  "",
  -1
)</f>
        <v>4.2300000000000004</v>
      </c>
      <c r="G1325">
        <v>44418</v>
      </c>
    </row>
    <row r="1326" spans="1:7">
      <c r="A1326" s="1">
        <v>44292</v>
      </c>
      <c r="B1326">
        <v>45685</v>
      </c>
      <c r="C1326">
        <f>_xlfn.XLOOKUP(A1326, USD!A:A, USD!B:B, "")</f>
        <v>73.489999999999995</v>
      </c>
      <c r="D1326">
        <f>_xlfn.XLOOKUP(A1326, Brent!A:A, Brent!B:B, "")</f>
        <v>61.47</v>
      </c>
      <c r="E1326">
        <f>_xlfn.XLOOKUP(
  A1326,
  Repo!A:A,
  Repo!B:B,
  "",
  -1
)</f>
        <v>4</v>
      </c>
      <c r="F1326" s="10">
        <f>_xlfn.XLOOKUP(
  A1326,
  CPI!D:D,
  CPI!C:C,
  "",
  -1
)</f>
        <v>4.2300000000000004</v>
      </c>
      <c r="G1326">
        <v>44957</v>
      </c>
    </row>
    <row r="1327" spans="1:7">
      <c r="A1327" s="1">
        <v>44293</v>
      </c>
      <c r="B1327">
        <v>46128</v>
      </c>
      <c r="C1327">
        <f>_xlfn.XLOOKUP(A1327, USD!A:A, USD!B:B, "")</f>
        <v>74.367999999999995</v>
      </c>
      <c r="D1327">
        <f>_xlfn.XLOOKUP(A1327, Brent!A:A, Brent!B:B, "")</f>
        <v>61.86</v>
      </c>
      <c r="E1327">
        <f>_xlfn.XLOOKUP(
  A1327,
  Repo!A:A,
  Repo!B:B,
  "",
  -1
)</f>
        <v>4</v>
      </c>
      <c r="F1327" s="10">
        <f>_xlfn.XLOOKUP(
  A1327,
  CPI!D:D,
  CPI!C:C,
  "",
  -1
)</f>
        <v>4.2300000000000004</v>
      </c>
      <c r="G1327">
        <v>45685</v>
      </c>
    </row>
    <row r="1328" spans="1:7">
      <c r="A1328" s="1">
        <v>44294</v>
      </c>
      <c r="B1328">
        <v>46576</v>
      </c>
      <c r="C1328">
        <f>_xlfn.XLOOKUP(A1328, USD!A:A, USD!B:B, "")</f>
        <v>74.576999999999998</v>
      </c>
      <c r="D1328">
        <f>_xlfn.XLOOKUP(A1328, Brent!A:A, Brent!B:B, "")</f>
        <v>62.09</v>
      </c>
      <c r="E1328">
        <f>_xlfn.XLOOKUP(
  A1328,
  Repo!A:A,
  Repo!B:B,
  "",
  -1
)</f>
        <v>4</v>
      </c>
      <c r="F1328" s="10">
        <f>_xlfn.XLOOKUP(
  A1328,
  CPI!D:D,
  CPI!C:C,
  "",
  -1
)</f>
        <v>4.2300000000000004</v>
      </c>
      <c r="G1328">
        <v>46128</v>
      </c>
    </row>
    <row r="1329" spans="1:7">
      <c r="A1329" s="1">
        <v>44295</v>
      </c>
      <c r="B1329">
        <v>46344</v>
      </c>
      <c r="C1329">
        <f>_xlfn.XLOOKUP(A1329, USD!A:A, USD!B:B, "")</f>
        <v>74.733999999999995</v>
      </c>
      <c r="D1329">
        <f>_xlfn.XLOOKUP(A1329, Brent!A:A, Brent!B:B, "")</f>
        <v>61.89</v>
      </c>
      <c r="E1329">
        <f>_xlfn.XLOOKUP(
  A1329,
  Repo!A:A,
  Repo!B:B,
  "",
  -1
)</f>
        <v>4</v>
      </c>
      <c r="F1329" s="10">
        <f>_xlfn.XLOOKUP(
  A1329,
  CPI!D:D,
  CPI!C:C,
  "",
  -1
)</f>
        <v>4.2300000000000004</v>
      </c>
      <c r="G1329">
        <v>46576</v>
      </c>
    </row>
    <row r="1330" spans="1:7">
      <c r="A1330" s="1">
        <v>44298</v>
      </c>
      <c r="B1330">
        <v>46188</v>
      </c>
      <c r="C1330">
        <f>_xlfn.XLOOKUP(A1330, USD!A:A, USD!B:B, "")</f>
        <v>74.989999999999995</v>
      </c>
      <c r="D1330">
        <f>_xlfn.XLOOKUP(A1330, Brent!A:A, Brent!B:B, "")</f>
        <v>62.38</v>
      </c>
      <c r="E1330">
        <f>_xlfn.XLOOKUP(
  A1330,
  Repo!A:A,
  Repo!B:B,
  "",
  -1
)</f>
        <v>4</v>
      </c>
      <c r="F1330" s="10">
        <f>_xlfn.XLOOKUP(
  A1330,
  CPI!D:D,
  CPI!C:C,
  "",
  -1
)</f>
        <v>4.2300000000000004</v>
      </c>
      <c r="G1330">
        <v>46344</v>
      </c>
    </row>
    <row r="1331" spans="1:7">
      <c r="A1331" s="1">
        <v>44299</v>
      </c>
      <c r="B1331">
        <v>46674</v>
      </c>
      <c r="C1331">
        <f>_xlfn.XLOOKUP(A1331, USD!A:A, USD!B:B, "")</f>
        <v>75.27</v>
      </c>
      <c r="D1331">
        <f>_xlfn.XLOOKUP(A1331, Brent!A:A, Brent!B:B, "")</f>
        <v>62.83</v>
      </c>
      <c r="E1331">
        <f>_xlfn.XLOOKUP(
  A1331,
  Repo!A:A,
  Repo!B:B,
  "",
  -1
)</f>
        <v>4</v>
      </c>
      <c r="F1331" s="10">
        <f>_xlfn.XLOOKUP(
  A1331,
  CPI!D:D,
  CPI!C:C,
  "",
  -1
)</f>
        <v>4.2300000000000004</v>
      </c>
      <c r="G1331">
        <v>46188</v>
      </c>
    </row>
    <row r="1332" spans="1:7">
      <c r="A1332" s="1">
        <v>44300</v>
      </c>
      <c r="B1332">
        <v>46317</v>
      </c>
      <c r="C1332">
        <f>_xlfn.XLOOKUP(A1332, USD!A:A, USD!B:B, "")</f>
        <v>75.06</v>
      </c>
      <c r="D1332">
        <f>_xlfn.XLOOKUP(A1332, Brent!A:A, Brent!B:B, "")</f>
        <v>66.11</v>
      </c>
      <c r="E1332">
        <f>_xlfn.XLOOKUP(
  A1332,
  Repo!A:A,
  Repo!B:B,
  "",
  -1
)</f>
        <v>4</v>
      </c>
      <c r="F1332" s="10">
        <f>_xlfn.XLOOKUP(
  A1332,
  CPI!D:D,
  CPI!C:C,
  "",
  -1
)</f>
        <v>4.2300000000000004</v>
      </c>
      <c r="G1332">
        <v>46674</v>
      </c>
    </row>
    <row r="1333" spans="1:7">
      <c r="A1333" s="1">
        <v>44301</v>
      </c>
      <c r="B1333">
        <v>46881</v>
      </c>
      <c r="C1333">
        <f>_xlfn.XLOOKUP(A1333, USD!A:A, USD!B:B, "")</f>
        <v>74.73</v>
      </c>
      <c r="D1333">
        <f>_xlfn.XLOOKUP(A1333, Brent!A:A, Brent!B:B, "")</f>
        <v>66.13</v>
      </c>
      <c r="E1333">
        <f>_xlfn.XLOOKUP(
  A1333,
  Repo!A:A,
  Repo!B:B,
  "",
  -1
)</f>
        <v>4</v>
      </c>
      <c r="F1333" s="10">
        <f>_xlfn.XLOOKUP(
  A1333,
  CPI!D:D,
  CPI!C:C,
  "",
  -1
)</f>
        <v>4.2300000000000004</v>
      </c>
      <c r="G1333">
        <v>46317</v>
      </c>
    </row>
    <row r="1334" spans="1:7">
      <c r="A1334" s="1">
        <v>44302</v>
      </c>
      <c r="B1334">
        <v>47022</v>
      </c>
      <c r="C1334">
        <f>_xlfn.XLOOKUP(A1334, USD!A:A, USD!B:B, "")</f>
        <v>74.540000000000006</v>
      </c>
      <c r="D1334">
        <f>_xlfn.XLOOKUP(A1334, Brent!A:A, Brent!B:B, "")</f>
        <v>65.98</v>
      </c>
      <c r="E1334">
        <f>_xlfn.XLOOKUP(
  A1334,
  Repo!A:A,
  Repo!B:B,
  "",
  -1
)</f>
        <v>4</v>
      </c>
      <c r="F1334" s="10">
        <f>_xlfn.XLOOKUP(
  A1334,
  CPI!D:D,
  CPI!C:C,
  "",
  -1
)</f>
        <v>4.2300000000000004</v>
      </c>
      <c r="G1334">
        <v>46881</v>
      </c>
    </row>
    <row r="1335" spans="1:7">
      <c r="A1335" s="1">
        <v>44305</v>
      </c>
      <c r="B1335">
        <v>47084</v>
      </c>
      <c r="C1335">
        <f>_xlfn.XLOOKUP(A1335, USD!A:A, USD!B:B, "")</f>
        <v>74.86</v>
      </c>
      <c r="D1335">
        <f>_xlfn.XLOOKUP(A1335, Brent!A:A, Brent!B:B, "")</f>
        <v>66.540000000000006</v>
      </c>
      <c r="E1335">
        <f>_xlfn.XLOOKUP(
  A1335,
  Repo!A:A,
  Repo!B:B,
  "",
  -1
)</f>
        <v>4</v>
      </c>
      <c r="F1335" s="10">
        <f>_xlfn.XLOOKUP(
  A1335,
  CPI!D:D,
  CPI!C:C,
  "",
  -1
)</f>
        <v>4.2300000000000004</v>
      </c>
      <c r="G1335">
        <v>47022</v>
      </c>
    </row>
    <row r="1336" spans="1:7">
      <c r="A1336" s="1">
        <v>44306</v>
      </c>
      <c r="B1336">
        <v>47498</v>
      </c>
      <c r="C1336">
        <f>_xlfn.XLOOKUP(A1336, USD!A:A, USD!B:B, "")</f>
        <v>75.394999999999996</v>
      </c>
      <c r="D1336">
        <f>_xlfn.XLOOKUP(A1336, Brent!A:A, Brent!B:B, "")</f>
        <v>65.34</v>
      </c>
      <c r="E1336">
        <f>_xlfn.XLOOKUP(
  A1336,
  Repo!A:A,
  Repo!B:B,
  "",
  -1
)</f>
        <v>4</v>
      </c>
      <c r="F1336" s="10">
        <f>_xlfn.XLOOKUP(
  A1336,
  CPI!D:D,
  CPI!C:C,
  "",
  -1
)</f>
        <v>4.2300000000000004</v>
      </c>
      <c r="G1336">
        <v>47084</v>
      </c>
    </row>
    <row r="1337" spans="1:7">
      <c r="A1337" s="1">
        <v>44307</v>
      </c>
      <c r="B1337">
        <v>47892</v>
      </c>
      <c r="C1337">
        <f>_xlfn.XLOOKUP(A1337, USD!A:A, USD!B:B, "")</f>
        <v>75.438999999999993</v>
      </c>
      <c r="D1337">
        <f>_xlfn.XLOOKUP(A1337, Brent!A:A, Brent!B:B, "")</f>
        <v>64.02</v>
      </c>
      <c r="E1337">
        <f>_xlfn.XLOOKUP(
  A1337,
  Repo!A:A,
  Repo!B:B,
  "",
  -1
)</f>
        <v>4</v>
      </c>
      <c r="F1337" s="10">
        <f>_xlfn.XLOOKUP(
  A1337,
  CPI!D:D,
  CPI!C:C,
  "",
  -1
)</f>
        <v>4.2300000000000004</v>
      </c>
      <c r="G1337">
        <v>47498</v>
      </c>
    </row>
    <row r="1338" spans="1:7">
      <c r="A1338" s="1">
        <v>44308</v>
      </c>
      <c r="B1338">
        <v>47426</v>
      </c>
      <c r="C1338">
        <f>_xlfn.XLOOKUP(A1338, USD!A:A, USD!B:B, "")</f>
        <v>75.12</v>
      </c>
      <c r="D1338">
        <f>_xlfn.XLOOKUP(A1338, Brent!A:A, Brent!B:B, "")</f>
        <v>65.069999999999993</v>
      </c>
      <c r="E1338">
        <f>_xlfn.XLOOKUP(
  A1338,
  Repo!A:A,
  Repo!B:B,
  "",
  -1
)</f>
        <v>4</v>
      </c>
      <c r="F1338" s="10">
        <f>_xlfn.XLOOKUP(
  A1338,
  CPI!D:D,
  CPI!C:C,
  "",
  -1
)</f>
        <v>4.2300000000000004</v>
      </c>
      <c r="G1338">
        <v>47892</v>
      </c>
    </row>
    <row r="1339" spans="1:7">
      <c r="A1339" s="1">
        <v>44309</v>
      </c>
      <c r="B1339">
        <v>47169</v>
      </c>
      <c r="C1339">
        <f>_xlfn.XLOOKUP(A1339, USD!A:A, USD!B:B, "")</f>
        <v>74.930000000000007</v>
      </c>
      <c r="D1339">
        <f>_xlfn.XLOOKUP(A1339, Brent!A:A, Brent!B:B, "")</f>
        <v>65.75</v>
      </c>
      <c r="E1339">
        <f>_xlfn.XLOOKUP(
  A1339,
  Repo!A:A,
  Repo!B:B,
  "",
  -1
)</f>
        <v>4</v>
      </c>
      <c r="F1339" s="10">
        <f>_xlfn.XLOOKUP(
  A1339,
  CPI!D:D,
  CPI!C:C,
  "",
  -1
)</f>
        <v>4.2300000000000004</v>
      </c>
      <c r="G1339">
        <v>47426</v>
      </c>
    </row>
    <row r="1340" spans="1:7">
      <c r="A1340" s="1">
        <v>44312</v>
      </c>
      <c r="B1340">
        <v>47117</v>
      </c>
      <c r="C1340">
        <f>_xlfn.XLOOKUP(A1340, USD!A:A, USD!B:B, "")</f>
        <v>74.757000000000005</v>
      </c>
      <c r="D1340">
        <f>_xlfn.XLOOKUP(A1340, Brent!A:A, Brent!B:B, "")</f>
        <v>65.5</v>
      </c>
      <c r="E1340">
        <f>_xlfn.XLOOKUP(
  A1340,
  Repo!A:A,
  Repo!B:B,
  "",
  -1
)</f>
        <v>4</v>
      </c>
      <c r="F1340" s="10">
        <f>_xlfn.XLOOKUP(
  A1340,
  CPI!D:D,
  CPI!C:C,
  "",
  -1
)</f>
        <v>4.2300000000000004</v>
      </c>
      <c r="G1340">
        <v>47169</v>
      </c>
    </row>
    <row r="1341" spans="1:7">
      <c r="A1341" s="1">
        <v>44313</v>
      </c>
      <c r="B1341">
        <v>46960</v>
      </c>
      <c r="C1341">
        <f>_xlfn.XLOOKUP(A1341, USD!A:A, USD!B:B, "")</f>
        <v>74.59</v>
      </c>
      <c r="D1341">
        <f>_xlfn.XLOOKUP(A1341, Brent!A:A, Brent!B:B, "")</f>
        <v>66.25</v>
      </c>
      <c r="E1341">
        <f>_xlfn.XLOOKUP(
  A1341,
  Repo!A:A,
  Repo!B:B,
  "",
  -1
)</f>
        <v>4</v>
      </c>
      <c r="F1341" s="10">
        <f>_xlfn.XLOOKUP(
  A1341,
  CPI!D:D,
  CPI!C:C,
  "",
  -1
)</f>
        <v>4.2300000000000004</v>
      </c>
      <c r="G1341">
        <v>47117</v>
      </c>
    </row>
    <row r="1342" spans="1:7">
      <c r="A1342" s="1">
        <v>44314</v>
      </c>
      <c r="B1342">
        <v>46697</v>
      </c>
      <c r="C1342">
        <f>_xlfn.XLOOKUP(A1342, USD!A:A, USD!B:B, "")</f>
        <v>74.492999999999995</v>
      </c>
      <c r="D1342">
        <f>_xlfn.XLOOKUP(A1342, Brent!A:A, Brent!B:B, "")</f>
        <v>67.08</v>
      </c>
      <c r="E1342">
        <f>_xlfn.XLOOKUP(
  A1342,
  Repo!A:A,
  Repo!B:B,
  "",
  -1
)</f>
        <v>4</v>
      </c>
      <c r="F1342" s="10">
        <f>_xlfn.XLOOKUP(
  A1342,
  CPI!D:D,
  CPI!C:C,
  "",
  -1
)</f>
        <v>4.2300000000000004</v>
      </c>
      <c r="G1342">
        <v>46960</v>
      </c>
    </row>
    <row r="1343" spans="1:7">
      <c r="A1343" s="1">
        <v>44315</v>
      </c>
      <c r="B1343">
        <v>46400</v>
      </c>
      <c r="C1343">
        <f>_xlfn.XLOOKUP(A1343, USD!A:A, USD!B:B, "")</f>
        <v>74.099999999999994</v>
      </c>
      <c r="D1343">
        <f>_xlfn.XLOOKUP(A1343, Brent!A:A, Brent!B:B, "")</f>
        <v>68.260000000000005</v>
      </c>
      <c r="E1343">
        <f>_xlfn.XLOOKUP(
  A1343,
  Repo!A:A,
  Repo!B:B,
  "",
  -1
)</f>
        <v>4</v>
      </c>
      <c r="F1343" s="10">
        <f>_xlfn.XLOOKUP(
  A1343,
  CPI!D:D,
  CPI!C:C,
  "",
  -1
)</f>
        <v>4.2300000000000004</v>
      </c>
      <c r="G1343">
        <v>46697</v>
      </c>
    </row>
    <row r="1344" spans="1:7">
      <c r="A1344" s="1">
        <v>44316</v>
      </c>
      <c r="B1344">
        <v>46431</v>
      </c>
      <c r="C1344">
        <f>_xlfn.XLOOKUP(A1344, USD!A:A, USD!B:B, "")</f>
        <v>74.055000000000007</v>
      </c>
      <c r="D1344">
        <f>_xlfn.XLOOKUP(A1344, Brent!A:A, Brent!B:B, "")</f>
        <v>67.73</v>
      </c>
      <c r="E1344">
        <f>_xlfn.XLOOKUP(
  A1344,
  Repo!A:A,
  Repo!B:B,
  "",
  -1
)</f>
        <v>4</v>
      </c>
      <c r="F1344" s="10">
        <f>_xlfn.XLOOKUP(
  A1344,
  CPI!D:D,
  CPI!C:C,
  "",
  -1
)</f>
        <v>4.2300000000000004</v>
      </c>
      <c r="G1344">
        <v>46400</v>
      </c>
    </row>
    <row r="1345" spans="1:7">
      <c r="A1345" s="1">
        <v>44320</v>
      </c>
      <c r="B1345">
        <v>46782</v>
      </c>
      <c r="C1345">
        <f>_xlfn.XLOOKUP(A1345, USD!A:A, USD!B:B, "")</f>
        <v>73.77</v>
      </c>
      <c r="D1345">
        <f>_xlfn.XLOOKUP(A1345, Brent!A:A, Brent!B:B, "")</f>
        <v>68.91</v>
      </c>
      <c r="E1345">
        <f>_xlfn.XLOOKUP(
  A1345,
  Repo!A:A,
  Repo!B:B,
  "",
  -1
)</f>
        <v>4</v>
      </c>
      <c r="F1345" s="10">
        <f>_xlfn.XLOOKUP(
  A1345,
  CPI!D:D,
  CPI!C:C,
  "",
  -1
)</f>
        <v>6.3</v>
      </c>
      <c r="G1345">
        <v>46431</v>
      </c>
    </row>
    <row r="1346" spans="1:7">
      <c r="A1346" s="1">
        <v>44321</v>
      </c>
      <c r="B1346">
        <v>46591</v>
      </c>
      <c r="C1346">
        <f>_xlfn.XLOOKUP(A1346, USD!A:A, USD!B:B, "")</f>
        <v>73.81</v>
      </c>
      <c r="D1346">
        <f>_xlfn.XLOOKUP(A1346, Brent!A:A, Brent!B:B, "")</f>
        <v>69.709999999999994</v>
      </c>
      <c r="E1346">
        <f>_xlfn.XLOOKUP(
  A1346,
  Repo!A:A,
  Repo!B:B,
  "",
  -1
)</f>
        <v>4</v>
      </c>
      <c r="F1346" s="10">
        <f>_xlfn.XLOOKUP(
  A1346,
  CPI!D:D,
  CPI!C:C,
  "",
  -1
)</f>
        <v>6.3</v>
      </c>
      <c r="G1346">
        <v>46782</v>
      </c>
    </row>
    <row r="1347" spans="1:7">
      <c r="A1347" s="1">
        <v>44322</v>
      </c>
      <c r="B1347">
        <v>47536</v>
      </c>
      <c r="C1347">
        <f>_xlfn.XLOOKUP(A1347, USD!A:A, USD!B:B, "")</f>
        <v>73.605000000000004</v>
      </c>
      <c r="D1347">
        <f>_xlfn.XLOOKUP(A1347, Brent!A:A, Brent!B:B, "")</f>
        <v>68.62</v>
      </c>
      <c r="E1347">
        <f>_xlfn.XLOOKUP(
  A1347,
  Repo!A:A,
  Repo!B:B,
  "",
  -1
)</f>
        <v>4</v>
      </c>
      <c r="F1347" s="10">
        <f>_xlfn.XLOOKUP(
  A1347,
  CPI!D:D,
  CPI!C:C,
  "",
  -1
)</f>
        <v>6.3</v>
      </c>
      <c r="G1347">
        <v>46591</v>
      </c>
    </row>
    <row r="1348" spans="1:7">
      <c r="A1348" s="1">
        <v>44323</v>
      </c>
      <c r="B1348">
        <v>47719</v>
      </c>
      <c r="C1348">
        <f>_xlfn.XLOOKUP(A1348, USD!A:A, USD!B:B, "")</f>
        <v>73.254000000000005</v>
      </c>
      <c r="D1348">
        <f>_xlfn.XLOOKUP(A1348, Brent!A:A, Brent!B:B, "")</f>
        <v>68.73</v>
      </c>
      <c r="E1348">
        <f>_xlfn.XLOOKUP(
  A1348,
  Repo!A:A,
  Repo!B:B,
  "",
  -1
)</f>
        <v>4</v>
      </c>
      <c r="F1348" s="10">
        <f>_xlfn.XLOOKUP(
  A1348,
  CPI!D:D,
  CPI!C:C,
  "",
  -1
)</f>
        <v>6.3</v>
      </c>
      <c r="G1348">
        <v>47536</v>
      </c>
    </row>
    <row r="1349" spans="1:7">
      <c r="A1349" s="1">
        <v>44326</v>
      </c>
      <c r="B1349">
        <v>47925</v>
      </c>
      <c r="C1349">
        <f>_xlfn.XLOOKUP(A1349, USD!A:A, USD!B:B, "")</f>
        <v>73.459999999999994</v>
      </c>
      <c r="D1349">
        <f>_xlfn.XLOOKUP(A1349, Brent!A:A, Brent!B:B, "")</f>
        <v>68.61</v>
      </c>
      <c r="E1349">
        <f>_xlfn.XLOOKUP(
  A1349,
  Repo!A:A,
  Repo!B:B,
  "",
  -1
)</f>
        <v>4</v>
      </c>
      <c r="F1349" s="10">
        <f>_xlfn.XLOOKUP(
  A1349,
  CPI!D:D,
  CPI!C:C,
  "",
  -1
)</f>
        <v>6.3</v>
      </c>
      <c r="G1349">
        <v>47719</v>
      </c>
    </row>
    <row r="1350" spans="1:7">
      <c r="A1350" s="1">
        <v>44327</v>
      </c>
      <c r="B1350">
        <v>47625</v>
      </c>
      <c r="C1350">
        <f>_xlfn.XLOOKUP(A1350, USD!A:A, USD!B:B, "")</f>
        <v>73.375</v>
      </c>
      <c r="D1350">
        <f>_xlfn.XLOOKUP(A1350, Brent!A:A, Brent!B:B, "")</f>
        <v>68.83</v>
      </c>
      <c r="E1350">
        <f>_xlfn.XLOOKUP(
  A1350,
  Repo!A:A,
  Repo!B:B,
  "",
  -1
)</f>
        <v>4</v>
      </c>
      <c r="F1350" s="10">
        <f>_xlfn.XLOOKUP(
  A1350,
  CPI!D:D,
  CPI!C:C,
  "",
  -1
)</f>
        <v>6.3</v>
      </c>
      <c r="G1350">
        <v>47925</v>
      </c>
    </row>
    <row r="1351" spans="1:7">
      <c r="A1351" s="1">
        <v>44328</v>
      </c>
      <c r="B1351">
        <v>47491</v>
      </c>
      <c r="C1351">
        <f>_xlfn.XLOOKUP(A1351, USD!A:A, USD!B:B, "")</f>
        <v>73.537999999999997</v>
      </c>
      <c r="D1351">
        <f>_xlfn.XLOOKUP(A1351, Brent!A:A, Brent!B:B, "")</f>
        <v>69.62</v>
      </c>
      <c r="E1351">
        <f>_xlfn.XLOOKUP(
  A1351,
  Repo!A:A,
  Repo!B:B,
  "",
  -1
)</f>
        <v>4</v>
      </c>
      <c r="F1351" s="10">
        <f>_xlfn.XLOOKUP(
  A1351,
  CPI!D:D,
  CPI!C:C,
  "",
  -1
)</f>
        <v>6.3</v>
      </c>
      <c r="G1351">
        <v>47625</v>
      </c>
    </row>
    <row r="1352" spans="1:7">
      <c r="A1352" s="1">
        <v>44329</v>
      </c>
      <c r="B1352">
        <v>47452</v>
      </c>
      <c r="C1352">
        <f>_xlfn.XLOOKUP(A1352, USD!A:A, USD!B:B, "")</f>
        <v>73.48</v>
      </c>
      <c r="D1352">
        <f>_xlfn.XLOOKUP(A1352, Brent!A:A, Brent!B:B, "")</f>
        <v>67.36</v>
      </c>
      <c r="E1352">
        <f>_xlfn.XLOOKUP(
  A1352,
  Repo!A:A,
  Repo!B:B,
  "",
  -1
)</f>
        <v>4</v>
      </c>
      <c r="F1352" s="10">
        <f>_xlfn.XLOOKUP(
  A1352,
  CPI!D:D,
  CPI!C:C,
  "",
  -1
)</f>
        <v>6.3</v>
      </c>
      <c r="G1352">
        <v>47491</v>
      </c>
    </row>
    <row r="1353" spans="1:7">
      <c r="A1353" s="1">
        <v>44330</v>
      </c>
      <c r="B1353">
        <v>47682</v>
      </c>
      <c r="C1353">
        <f>_xlfn.XLOOKUP(A1353, USD!A:A, USD!B:B, "")</f>
        <v>73.3</v>
      </c>
      <c r="D1353">
        <f>_xlfn.XLOOKUP(A1353, Brent!A:A, Brent!B:B, "")</f>
        <v>69.239999999999995</v>
      </c>
      <c r="E1353">
        <f>_xlfn.XLOOKUP(
  A1353,
  Repo!A:A,
  Repo!B:B,
  "",
  -1
)</f>
        <v>4</v>
      </c>
      <c r="F1353" s="10">
        <f>_xlfn.XLOOKUP(
  A1353,
  CPI!D:D,
  CPI!C:C,
  "",
  -1
)</f>
        <v>6.3</v>
      </c>
      <c r="G1353">
        <v>47452</v>
      </c>
    </row>
    <row r="1354" spans="1:7">
      <c r="A1354" s="1">
        <v>44333</v>
      </c>
      <c r="B1354">
        <v>48437</v>
      </c>
      <c r="C1354">
        <f>_xlfn.XLOOKUP(A1354, USD!A:A, USD!B:B, "")</f>
        <v>73.334999999999994</v>
      </c>
      <c r="D1354">
        <f>_xlfn.XLOOKUP(A1354, Brent!A:A, Brent!B:B, "")</f>
        <v>69.62</v>
      </c>
      <c r="E1354">
        <f>_xlfn.XLOOKUP(
  A1354,
  Repo!A:A,
  Repo!B:B,
  "",
  -1
)</f>
        <v>4</v>
      </c>
      <c r="F1354" s="10">
        <f>_xlfn.XLOOKUP(
  A1354,
  CPI!D:D,
  CPI!C:C,
  "",
  -1
)</f>
        <v>6.3</v>
      </c>
      <c r="G1354">
        <v>47682</v>
      </c>
    </row>
    <row r="1355" spans="1:7">
      <c r="A1355" s="1">
        <v>44334</v>
      </c>
      <c r="B1355">
        <v>48288</v>
      </c>
      <c r="C1355">
        <f>_xlfn.XLOOKUP(A1355, USD!A:A, USD!B:B, "")</f>
        <v>73.055000000000007</v>
      </c>
      <c r="D1355">
        <f>_xlfn.XLOOKUP(A1355, Brent!A:A, Brent!B:B, "")</f>
        <v>69.010000000000005</v>
      </c>
      <c r="E1355">
        <f>_xlfn.XLOOKUP(
  A1355,
  Repo!A:A,
  Repo!B:B,
  "",
  -1
)</f>
        <v>4</v>
      </c>
      <c r="F1355" s="10">
        <f>_xlfn.XLOOKUP(
  A1355,
  CPI!D:D,
  CPI!C:C,
  "",
  -1
)</f>
        <v>6.3</v>
      </c>
      <c r="G1355">
        <v>48437</v>
      </c>
    </row>
    <row r="1356" spans="1:7">
      <c r="A1356" s="1">
        <v>44335</v>
      </c>
      <c r="B1356">
        <v>48660</v>
      </c>
      <c r="C1356">
        <f>_xlfn.XLOOKUP(A1356, USD!A:A, USD!B:B, "")</f>
        <v>73.22</v>
      </c>
      <c r="D1356">
        <f>_xlfn.XLOOKUP(A1356, Brent!A:A, Brent!B:B, "")</f>
        <v>66.88</v>
      </c>
      <c r="E1356">
        <f>_xlfn.XLOOKUP(
  A1356,
  Repo!A:A,
  Repo!B:B,
  "",
  -1
)</f>
        <v>4</v>
      </c>
      <c r="F1356" s="10">
        <f>_xlfn.XLOOKUP(
  A1356,
  CPI!D:D,
  CPI!C:C,
  "",
  -1
)</f>
        <v>6.3</v>
      </c>
      <c r="G1356">
        <v>48288</v>
      </c>
    </row>
    <row r="1357" spans="1:7">
      <c r="A1357" s="1">
        <v>44336</v>
      </c>
      <c r="B1357">
        <v>48519</v>
      </c>
      <c r="C1357">
        <f>_xlfn.XLOOKUP(A1357, USD!A:A, USD!B:B, "")</f>
        <v>73.015000000000001</v>
      </c>
      <c r="D1357">
        <f>_xlfn.XLOOKUP(A1357, Brent!A:A, Brent!B:B, "")</f>
        <v>65.180000000000007</v>
      </c>
      <c r="E1357">
        <f>_xlfn.XLOOKUP(
  A1357,
  Repo!A:A,
  Repo!B:B,
  "",
  -1
)</f>
        <v>4</v>
      </c>
      <c r="F1357" s="10">
        <f>_xlfn.XLOOKUP(
  A1357,
  CPI!D:D,
  CPI!C:C,
  "",
  -1
)</f>
        <v>6.3</v>
      </c>
      <c r="G1357">
        <v>48660</v>
      </c>
    </row>
    <row r="1358" spans="1:7">
      <c r="A1358" s="1">
        <v>44337</v>
      </c>
      <c r="B1358">
        <v>48368</v>
      </c>
      <c r="C1358">
        <f>_xlfn.XLOOKUP(A1358, USD!A:A, USD!B:B, "")</f>
        <v>72.826999999999998</v>
      </c>
      <c r="D1358">
        <f>_xlfn.XLOOKUP(A1358, Brent!A:A, Brent!B:B, "")</f>
        <v>66.72</v>
      </c>
      <c r="E1358">
        <f>_xlfn.XLOOKUP(
  A1358,
  Repo!A:A,
  Repo!B:B,
  "",
  -1
)</f>
        <v>4</v>
      </c>
      <c r="F1358" s="10">
        <f>_xlfn.XLOOKUP(
  A1358,
  CPI!D:D,
  CPI!C:C,
  "",
  -1
)</f>
        <v>6.3</v>
      </c>
      <c r="G1358">
        <v>48519</v>
      </c>
    </row>
    <row r="1359" spans="1:7">
      <c r="A1359" s="1">
        <v>44340</v>
      </c>
      <c r="B1359">
        <v>48514</v>
      </c>
      <c r="C1359">
        <f>_xlfn.XLOOKUP(A1359, USD!A:A, USD!B:B, "")</f>
        <v>72.834999999999994</v>
      </c>
      <c r="D1359">
        <f>_xlfn.XLOOKUP(A1359, Brent!A:A, Brent!B:B, "")</f>
        <v>68.59</v>
      </c>
      <c r="E1359">
        <f>_xlfn.XLOOKUP(
  A1359,
  Repo!A:A,
  Repo!B:B,
  "",
  -1
)</f>
        <v>4</v>
      </c>
      <c r="F1359" s="10">
        <f>_xlfn.XLOOKUP(
  A1359,
  CPI!D:D,
  CPI!C:C,
  "",
  -1
)</f>
        <v>6.3</v>
      </c>
      <c r="G1359">
        <v>48368</v>
      </c>
    </row>
    <row r="1360" spans="1:7">
      <c r="A1360" s="1">
        <v>44341</v>
      </c>
      <c r="B1360">
        <v>48780</v>
      </c>
      <c r="C1360">
        <f>_xlfn.XLOOKUP(A1360, USD!A:A, USD!B:B, "")</f>
        <v>72.795000000000002</v>
      </c>
      <c r="D1360">
        <f>_xlfn.XLOOKUP(A1360, Brent!A:A, Brent!B:B, "")</f>
        <v>68.8</v>
      </c>
      <c r="E1360">
        <f>_xlfn.XLOOKUP(
  A1360,
  Repo!A:A,
  Repo!B:B,
  "",
  -1
)</f>
        <v>4</v>
      </c>
      <c r="F1360" s="10">
        <f>_xlfn.XLOOKUP(
  A1360,
  CPI!D:D,
  CPI!C:C,
  "",
  -1
)</f>
        <v>6.3</v>
      </c>
      <c r="G1360">
        <v>48514</v>
      </c>
    </row>
    <row r="1361" spans="1:7">
      <c r="A1361" s="1">
        <v>44342</v>
      </c>
      <c r="B1361">
        <v>48728</v>
      </c>
      <c r="C1361">
        <f>_xlfn.XLOOKUP(A1361, USD!A:A, USD!B:B, "")</f>
        <v>72.724999999999994</v>
      </c>
      <c r="D1361">
        <f>_xlfn.XLOOKUP(A1361, Brent!A:A, Brent!B:B, "")</f>
        <v>68.930000000000007</v>
      </c>
      <c r="E1361">
        <f>_xlfn.XLOOKUP(
  A1361,
  Repo!A:A,
  Repo!B:B,
  "",
  -1
)</f>
        <v>4</v>
      </c>
      <c r="F1361" s="10">
        <f>_xlfn.XLOOKUP(
  A1361,
  CPI!D:D,
  CPI!C:C,
  "",
  -1
)</f>
        <v>6.3</v>
      </c>
      <c r="G1361">
        <v>48780</v>
      </c>
    </row>
    <row r="1362" spans="1:7">
      <c r="A1362" s="1">
        <v>44343</v>
      </c>
      <c r="B1362">
        <v>48561</v>
      </c>
      <c r="C1362">
        <f>_xlfn.XLOOKUP(A1362, USD!A:A, USD!B:B, "")</f>
        <v>72.709999999999994</v>
      </c>
      <c r="D1362">
        <f>_xlfn.XLOOKUP(A1362, Brent!A:A, Brent!B:B, "")</f>
        <v>69.430000000000007</v>
      </c>
      <c r="E1362">
        <f>_xlfn.XLOOKUP(
  A1362,
  Repo!A:A,
  Repo!B:B,
  "",
  -1
)</f>
        <v>4</v>
      </c>
      <c r="F1362" s="10">
        <f>_xlfn.XLOOKUP(
  A1362,
  CPI!D:D,
  CPI!C:C,
  "",
  -1
)</f>
        <v>6.3</v>
      </c>
      <c r="G1362">
        <v>48728</v>
      </c>
    </row>
    <row r="1363" spans="1:7">
      <c r="A1363" s="1">
        <v>44344</v>
      </c>
      <c r="B1363">
        <v>48543</v>
      </c>
      <c r="C1363">
        <f>_xlfn.XLOOKUP(A1363, USD!A:A, USD!B:B, "")</f>
        <v>72.41</v>
      </c>
      <c r="D1363">
        <f>_xlfn.XLOOKUP(A1363, Brent!A:A, Brent!B:B, "")</f>
        <v>69.36</v>
      </c>
      <c r="E1363">
        <f>_xlfn.XLOOKUP(
  A1363,
  Repo!A:A,
  Repo!B:B,
  "",
  -1
)</f>
        <v>4</v>
      </c>
      <c r="F1363" s="10">
        <f>_xlfn.XLOOKUP(
  A1363,
  CPI!D:D,
  CPI!C:C,
  "",
  -1
)</f>
        <v>6.3</v>
      </c>
      <c r="G1363">
        <v>48561</v>
      </c>
    </row>
    <row r="1364" spans="1:7">
      <c r="A1364" s="1">
        <v>44348</v>
      </c>
      <c r="B1364">
        <v>48935</v>
      </c>
      <c r="C1364">
        <f>_xlfn.XLOOKUP(A1364, USD!A:A, USD!B:B, "")</f>
        <v>72.864999999999995</v>
      </c>
      <c r="D1364">
        <f>_xlfn.XLOOKUP(A1364, Brent!A:A, Brent!B:B, "")</f>
        <v>70.03</v>
      </c>
      <c r="E1364">
        <f>_xlfn.XLOOKUP(
  A1364,
  Repo!A:A,
  Repo!B:B,
  "",
  -1
)</f>
        <v>4</v>
      </c>
      <c r="F1364" s="10">
        <f>_xlfn.XLOOKUP(
  A1364,
  CPI!D:D,
  CPI!C:C,
  "",
  -1
)</f>
        <v>6.26</v>
      </c>
      <c r="G1364">
        <v>48543</v>
      </c>
    </row>
    <row r="1365" spans="1:7">
      <c r="A1365" s="1">
        <v>44349</v>
      </c>
      <c r="B1365">
        <v>49108</v>
      </c>
      <c r="C1365">
        <f>_xlfn.XLOOKUP(A1365, USD!A:A, USD!B:B, "")</f>
        <v>72.959999999999994</v>
      </c>
      <c r="D1365">
        <f>_xlfn.XLOOKUP(A1365, Brent!A:A, Brent!B:B, "")</f>
        <v>70.599999999999994</v>
      </c>
      <c r="E1365">
        <f>_xlfn.XLOOKUP(
  A1365,
  Repo!A:A,
  Repo!B:B,
  "",
  -1
)</f>
        <v>4</v>
      </c>
      <c r="F1365" s="10">
        <f>_xlfn.XLOOKUP(
  A1365,
  CPI!D:D,
  CPI!C:C,
  "",
  -1
)</f>
        <v>6.26</v>
      </c>
      <c r="G1365">
        <v>48935</v>
      </c>
    </row>
    <row r="1366" spans="1:7">
      <c r="A1366" s="1">
        <v>44350</v>
      </c>
      <c r="B1366">
        <v>48293</v>
      </c>
      <c r="C1366">
        <f>_xlfn.XLOOKUP(A1366, USD!A:A, USD!B:B, "")</f>
        <v>73.045000000000002</v>
      </c>
      <c r="D1366">
        <f>_xlfn.XLOOKUP(A1366, Brent!A:A, Brent!B:B, "")</f>
        <v>70.709999999999994</v>
      </c>
      <c r="E1366">
        <f>_xlfn.XLOOKUP(
  A1366,
  Repo!A:A,
  Repo!B:B,
  "",
  -1
)</f>
        <v>4</v>
      </c>
      <c r="F1366" s="10">
        <f>_xlfn.XLOOKUP(
  A1366,
  CPI!D:D,
  CPI!C:C,
  "",
  -1
)</f>
        <v>6.26</v>
      </c>
      <c r="G1366">
        <v>49108</v>
      </c>
    </row>
    <row r="1367" spans="1:7">
      <c r="A1367" s="1">
        <v>44351</v>
      </c>
      <c r="B1367">
        <v>48650</v>
      </c>
      <c r="C1367">
        <f>_xlfn.XLOOKUP(A1367, USD!A:A, USD!B:B, "")</f>
        <v>72.87</v>
      </c>
      <c r="D1367">
        <f>_xlfn.XLOOKUP(A1367, Brent!A:A, Brent!B:B, "")</f>
        <v>71.3</v>
      </c>
      <c r="E1367">
        <f>_xlfn.XLOOKUP(
  A1367,
  Repo!A:A,
  Repo!B:B,
  "",
  -1
)</f>
        <v>4</v>
      </c>
      <c r="F1367" s="10">
        <f>_xlfn.XLOOKUP(
  A1367,
  CPI!D:D,
  CPI!C:C,
  "",
  -1
)</f>
        <v>6.26</v>
      </c>
      <c r="G1367">
        <v>48293</v>
      </c>
    </row>
    <row r="1368" spans="1:7">
      <c r="A1368" s="1">
        <v>44354</v>
      </c>
      <c r="B1368">
        <v>48911</v>
      </c>
      <c r="C1368">
        <f>_xlfn.XLOOKUP(A1368, USD!A:A, USD!B:B, "")</f>
        <v>72.811000000000007</v>
      </c>
      <c r="D1368">
        <f>_xlfn.XLOOKUP(A1368, Brent!A:A, Brent!B:B, "")</f>
        <v>70.89</v>
      </c>
      <c r="E1368">
        <f>_xlfn.XLOOKUP(
  A1368,
  Repo!A:A,
  Repo!B:B,
  "",
  -1
)</f>
        <v>4</v>
      </c>
      <c r="F1368" s="10">
        <f>_xlfn.XLOOKUP(
  A1368,
  CPI!D:D,
  CPI!C:C,
  "",
  -1
)</f>
        <v>6.26</v>
      </c>
      <c r="G1368">
        <v>48650</v>
      </c>
    </row>
    <row r="1369" spans="1:7">
      <c r="A1369" s="1">
        <v>44355</v>
      </c>
      <c r="B1369">
        <v>48908</v>
      </c>
      <c r="C1369">
        <f>_xlfn.XLOOKUP(A1369, USD!A:A, USD!B:B, "")</f>
        <v>72.954999999999998</v>
      </c>
      <c r="D1369">
        <f>_xlfn.XLOOKUP(A1369, Brent!A:A, Brent!B:B, "")</f>
        <v>71.39</v>
      </c>
      <c r="E1369">
        <f>_xlfn.XLOOKUP(
  A1369,
  Repo!A:A,
  Repo!B:B,
  "",
  -1
)</f>
        <v>4</v>
      </c>
      <c r="F1369" s="10">
        <f>_xlfn.XLOOKUP(
  A1369,
  CPI!D:D,
  CPI!C:C,
  "",
  -1
)</f>
        <v>6.26</v>
      </c>
      <c r="G1369">
        <v>48911</v>
      </c>
    </row>
    <row r="1370" spans="1:7">
      <c r="A1370" s="1">
        <v>44356</v>
      </c>
      <c r="B1370">
        <v>48904</v>
      </c>
      <c r="C1370">
        <f>_xlfn.XLOOKUP(A1370, USD!A:A, USD!B:B, "")</f>
        <v>72.984999999999999</v>
      </c>
      <c r="D1370">
        <f>_xlfn.XLOOKUP(A1370, Brent!A:A, Brent!B:B, "")</f>
        <v>71.31</v>
      </c>
      <c r="E1370">
        <f>_xlfn.XLOOKUP(
  A1370,
  Repo!A:A,
  Repo!B:B,
  "",
  -1
)</f>
        <v>4</v>
      </c>
      <c r="F1370" s="10">
        <f>_xlfn.XLOOKUP(
  A1370,
  CPI!D:D,
  CPI!C:C,
  "",
  -1
)</f>
        <v>6.26</v>
      </c>
      <c r="G1370">
        <v>48908</v>
      </c>
    </row>
    <row r="1371" spans="1:7">
      <c r="A1371" s="1">
        <v>44357</v>
      </c>
      <c r="B1371">
        <v>48975</v>
      </c>
      <c r="C1371">
        <f>_xlfn.XLOOKUP(A1371, USD!A:A, USD!B:B, "")</f>
        <v>73.08</v>
      </c>
      <c r="D1371">
        <f>_xlfn.XLOOKUP(A1371, Brent!A:A, Brent!B:B, "")</f>
        <v>71.650000000000006</v>
      </c>
      <c r="E1371">
        <f>_xlfn.XLOOKUP(
  A1371,
  Repo!A:A,
  Repo!B:B,
  "",
  -1
)</f>
        <v>4</v>
      </c>
      <c r="F1371" s="10">
        <f>_xlfn.XLOOKUP(
  A1371,
  CPI!D:D,
  CPI!C:C,
  "",
  -1
)</f>
        <v>6.26</v>
      </c>
      <c r="G1371">
        <v>48904</v>
      </c>
    </row>
    <row r="1372" spans="1:7">
      <c r="A1372" s="1">
        <v>44358</v>
      </c>
      <c r="B1372">
        <v>48717</v>
      </c>
      <c r="C1372">
        <f>_xlfn.XLOOKUP(A1372, USD!A:A, USD!B:B, "")</f>
        <v>73.245000000000005</v>
      </c>
      <c r="D1372">
        <f>_xlfn.XLOOKUP(A1372, Brent!A:A, Brent!B:B, "")</f>
        <v>72.05</v>
      </c>
      <c r="E1372">
        <f>_xlfn.XLOOKUP(
  A1372,
  Repo!A:A,
  Repo!B:B,
  "",
  -1
)</f>
        <v>4</v>
      </c>
      <c r="F1372" s="10">
        <f>_xlfn.XLOOKUP(
  A1372,
  CPI!D:D,
  CPI!C:C,
  "",
  -1
)</f>
        <v>6.26</v>
      </c>
      <c r="G1372">
        <v>48975</v>
      </c>
    </row>
    <row r="1373" spans="1:7">
      <c r="A1373" s="1">
        <v>44361</v>
      </c>
      <c r="B1373">
        <v>48318</v>
      </c>
      <c r="C1373">
        <f>_xlfn.XLOOKUP(A1373, USD!A:A, USD!B:B, "")</f>
        <v>73.185000000000002</v>
      </c>
      <c r="D1373">
        <f>_xlfn.XLOOKUP(A1373, Brent!A:A, Brent!B:B, "")</f>
        <v>72.27</v>
      </c>
      <c r="E1373">
        <f>_xlfn.XLOOKUP(
  A1373,
  Repo!A:A,
  Repo!B:B,
  "",
  -1
)</f>
        <v>4</v>
      </c>
      <c r="F1373" s="10">
        <f>_xlfn.XLOOKUP(
  A1373,
  CPI!D:D,
  CPI!C:C,
  "",
  -1
)</f>
        <v>6.26</v>
      </c>
      <c r="G1373">
        <v>48717</v>
      </c>
    </row>
    <row r="1374" spans="1:7">
      <c r="A1374" s="1">
        <v>44362</v>
      </c>
      <c r="B1374">
        <v>48230</v>
      </c>
      <c r="C1374">
        <f>_xlfn.XLOOKUP(A1374, USD!A:A, USD!B:B, "")</f>
        <v>73.36</v>
      </c>
      <c r="D1374">
        <f>_xlfn.XLOOKUP(A1374, Brent!A:A, Brent!B:B, "")</f>
        <v>73.38</v>
      </c>
      <c r="E1374">
        <f>_xlfn.XLOOKUP(
  A1374,
  Repo!A:A,
  Repo!B:B,
  "",
  -1
)</f>
        <v>4</v>
      </c>
      <c r="F1374" s="10">
        <f>_xlfn.XLOOKUP(
  A1374,
  CPI!D:D,
  CPI!C:C,
  "",
  -1
)</f>
        <v>6.26</v>
      </c>
      <c r="G1374">
        <v>48318</v>
      </c>
    </row>
    <row r="1375" spans="1:7">
      <c r="A1375" s="1">
        <v>44363</v>
      </c>
      <c r="B1375">
        <v>48279</v>
      </c>
      <c r="C1375">
        <f>_xlfn.XLOOKUP(A1375, USD!A:A, USD!B:B, "")</f>
        <v>73.275000000000006</v>
      </c>
      <c r="D1375">
        <f>_xlfn.XLOOKUP(A1375, Brent!A:A, Brent!B:B, "")</f>
        <v>73.88</v>
      </c>
      <c r="E1375">
        <f>_xlfn.XLOOKUP(
  A1375,
  Repo!A:A,
  Repo!B:B,
  "",
  -1
)</f>
        <v>4</v>
      </c>
      <c r="F1375" s="10">
        <f>_xlfn.XLOOKUP(
  A1375,
  CPI!D:D,
  CPI!C:C,
  "",
  -1
)</f>
        <v>6.26</v>
      </c>
      <c r="G1375">
        <v>48230</v>
      </c>
    </row>
    <row r="1376" spans="1:7">
      <c r="A1376" s="1">
        <v>44364</v>
      </c>
      <c r="B1376">
        <v>46781</v>
      </c>
      <c r="C1376">
        <f>_xlfn.XLOOKUP(A1376, USD!A:A, USD!B:B, "")</f>
        <v>74.186000000000007</v>
      </c>
      <c r="D1376">
        <f>_xlfn.XLOOKUP(A1376, Brent!A:A, Brent!B:B, "")</f>
        <v>72.92</v>
      </c>
      <c r="E1376">
        <f>_xlfn.XLOOKUP(
  A1376,
  Repo!A:A,
  Repo!B:B,
  "",
  -1
)</f>
        <v>4</v>
      </c>
      <c r="F1376" s="10">
        <f>_xlfn.XLOOKUP(
  A1376,
  CPI!D:D,
  CPI!C:C,
  "",
  -1
)</f>
        <v>6.26</v>
      </c>
      <c r="G1376">
        <v>48279</v>
      </c>
    </row>
    <row r="1377" spans="1:7">
      <c r="A1377" s="1">
        <v>44365</v>
      </c>
      <c r="B1377">
        <v>46592</v>
      </c>
      <c r="C1377">
        <f>_xlfn.XLOOKUP(A1377, USD!A:A, USD!B:B, "")</f>
        <v>74.12</v>
      </c>
      <c r="D1377">
        <f>_xlfn.XLOOKUP(A1377, Brent!A:A, Brent!B:B, "")</f>
        <v>73.099999999999994</v>
      </c>
      <c r="E1377">
        <f>_xlfn.XLOOKUP(
  A1377,
  Repo!A:A,
  Repo!B:B,
  "",
  -1
)</f>
        <v>4</v>
      </c>
      <c r="F1377" s="10">
        <f>_xlfn.XLOOKUP(
  A1377,
  CPI!D:D,
  CPI!C:C,
  "",
  -1
)</f>
        <v>6.26</v>
      </c>
      <c r="G1377">
        <v>46781</v>
      </c>
    </row>
    <row r="1378" spans="1:7">
      <c r="A1378" s="1">
        <v>44368</v>
      </c>
      <c r="B1378">
        <v>46904</v>
      </c>
      <c r="C1378">
        <f>_xlfn.XLOOKUP(A1378, USD!A:A, USD!B:B, "")</f>
        <v>74.14</v>
      </c>
      <c r="D1378">
        <f>_xlfn.XLOOKUP(A1378, Brent!A:A, Brent!B:B, "")</f>
        <v>74.489999999999995</v>
      </c>
      <c r="E1378">
        <f>_xlfn.XLOOKUP(
  A1378,
  Repo!A:A,
  Repo!B:B,
  "",
  -1
)</f>
        <v>4</v>
      </c>
      <c r="F1378" s="10">
        <f>_xlfn.XLOOKUP(
  A1378,
  CPI!D:D,
  CPI!C:C,
  "",
  -1
)</f>
        <v>6.26</v>
      </c>
      <c r="G1378">
        <v>46592</v>
      </c>
    </row>
    <row r="1379" spans="1:7">
      <c r="A1379" s="1">
        <v>44369</v>
      </c>
      <c r="B1379">
        <v>46838</v>
      </c>
      <c r="C1379">
        <f>_xlfn.XLOOKUP(A1379, USD!A:A, USD!B:B, "")</f>
        <v>74.34</v>
      </c>
      <c r="D1379">
        <f>_xlfn.XLOOKUP(A1379, Brent!A:A, Brent!B:B, "")</f>
        <v>74.92</v>
      </c>
      <c r="E1379">
        <f>_xlfn.XLOOKUP(
  A1379,
  Repo!A:A,
  Repo!B:B,
  "",
  -1
)</f>
        <v>4</v>
      </c>
      <c r="F1379" s="10">
        <f>_xlfn.XLOOKUP(
  A1379,
  CPI!D:D,
  CPI!C:C,
  "",
  -1
)</f>
        <v>6.26</v>
      </c>
      <c r="G1379">
        <v>46904</v>
      </c>
    </row>
    <row r="1380" spans="1:7">
      <c r="A1380" s="1">
        <v>44370</v>
      </c>
      <c r="B1380">
        <v>46921</v>
      </c>
      <c r="C1380">
        <f>_xlfn.XLOOKUP(A1380, USD!A:A, USD!B:B, "")</f>
        <v>74.150000000000006</v>
      </c>
      <c r="D1380">
        <f>_xlfn.XLOOKUP(A1380, Brent!A:A, Brent!B:B, "")</f>
        <v>75.22</v>
      </c>
      <c r="E1380">
        <f>_xlfn.XLOOKUP(
  A1380,
  Repo!A:A,
  Repo!B:B,
  "",
  -1
)</f>
        <v>4</v>
      </c>
      <c r="F1380" s="10">
        <f>_xlfn.XLOOKUP(
  A1380,
  CPI!D:D,
  CPI!C:C,
  "",
  -1
)</f>
        <v>6.26</v>
      </c>
      <c r="G1380">
        <v>46838</v>
      </c>
    </row>
    <row r="1381" spans="1:7">
      <c r="A1381" s="1">
        <v>44371</v>
      </c>
      <c r="B1381">
        <v>46701</v>
      </c>
      <c r="C1381">
        <f>_xlfn.XLOOKUP(A1381, USD!A:A, USD!B:B, "")</f>
        <v>74.19</v>
      </c>
      <c r="D1381">
        <f>_xlfn.XLOOKUP(A1381, Brent!A:A, Brent!B:B, "")</f>
        <v>75.95</v>
      </c>
      <c r="E1381">
        <f>_xlfn.XLOOKUP(
  A1381,
  Repo!A:A,
  Repo!B:B,
  "",
  -1
)</f>
        <v>4</v>
      </c>
      <c r="F1381" s="10">
        <f>_xlfn.XLOOKUP(
  A1381,
  CPI!D:D,
  CPI!C:C,
  "",
  -1
)</f>
        <v>6.26</v>
      </c>
      <c r="G1381">
        <v>46921</v>
      </c>
    </row>
    <row r="1382" spans="1:7">
      <c r="A1382" s="1">
        <v>44372</v>
      </c>
      <c r="B1382">
        <v>46757</v>
      </c>
      <c r="C1382">
        <f>_xlfn.XLOOKUP(A1382, USD!A:A, USD!B:B, "")</f>
        <v>74.22</v>
      </c>
      <c r="D1382">
        <f>_xlfn.XLOOKUP(A1382, Brent!A:A, Brent!B:B, "")</f>
        <v>76.45</v>
      </c>
      <c r="E1382">
        <f>_xlfn.XLOOKUP(
  A1382,
  Repo!A:A,
  Repo!B:B,
  "",
  -1
)</f>
        <v>4</v>
      </c>
      <c r="F1382" s="10">
        <f>_xlfn.XLOOKUP(
  A1382,
  CPI!D:D,
  CPI!C:C,
  "",
  -1
)</f>
        <v>6.26</v>
      </c>
      <c r="G1382">
        <v>46701</v>
      </c>
    </row>
    <row r="1383" spans="1:7">
      <c r="A1383" s="1">
        <v>44375</v>
      </c>
      <c r="B1383">
        <v>46821</v>
      </c>
      <c r="C1383">
        <f>_xlfn.XLOOKUP(A1383, USD!A:A, USD!B:B, "")</f>
        <v>74.275000000000006</v>
      </c>
      <c r="D1383">
        <f>_xlfn.XLOOKUP(A1383, Brent!A:A, Brent!B:B, "")</f>
        <v>74.78</v>
      </c>
      <c r="E1383">
        <f>_xlfn.XLOOKUP(
  A1383,
  Repo!A:A,
  Repo!B:B,
  "",
  -1
)</f>
        <v>4</v>
      </c>
      <c r="F1383" s="10">
        <f>_xlfn.XLOOKUP(
  A1383,
  CPI!D:D,
  CPI!C:C,
  "",
  -1
)</f>
        <v>6.26</v>
      </c>
      <c r="G1383">
        <v>46757</v>
      </c>
    </row>
    <row r="1384" spans="1:7">
      <c r="A1384" s="1">
        <v>44376</v>
      </c>
      <c r="B1384">
        <v>46438</v>
      </c>
      <c r="C1384">
        <f>_xlfn.XLOOKUP(A1384, USD!A:A, USD!B:B, "")</f>
        <v>74.3</v>
      </c>
      <c r="D1384">
        <f>_xlfn.XLOOKUP(A1384, Brent!A:A, Brent!B:B, "")</f>
        <v>75.38</v>
      </c>
      <c r="E1384">
        <f>_xlfn.XLOOKUP(
  A1384,
  Repo!A:A,
  Repo!B:B,
  "",
  -1
)</f>
        <v>4</v>
      </c>
      <c r="F1384" s="10">
        <f>_xlfn.XLOOKUP(
  A1384,
  CPI!D:D,
  CPI!C:C,
  "",
  -1
)</f>
        <v>6.26</v>
      </c>
      <c r="G1384">
        <v>46821</v>
      </c>
    </row>
    <row r="1385" spans="1:7">
      <c r="A1385" s="1">
        <v>44377</v>
      </c>
      <c r="B1385">
        <v>46817</v>
      </c>
      <c r="C1385">
        <f>_xlfn.XLOOKUP(A1385, USD!A:A, USD!B:B, "")</f>
        <v>74.364999999999995</v>
      </c>
      <c r="D1385">
        <f>_xlfn.XLOOKUP(A1385, Brent!A:A, Brent!B:B, "")</f>
        <v>76.94</v>
      </c>
      <c r="E1385">
        <f>_xlfn.XLOOKUP(
  A1385,
  Repo!A:A,
  Repo!B:B,
  "",
  -1
)</f>
        <v>4</v>
      </c>
      <c r="F1385" s="10">
        <f>_xlfn.XLOOKUP(
  A1385,
  CPI!D:D,
  CPI!C:C,
  "",
  -1
)</f>
        <v>6.26</v>
      </c>
      <c r="G1385">
        <v>46438</v>
      </c>
    </row>
    <row r="1386" spans="1:7">
      <c r="A1386" s="1">
        <v>44378</v>
      </c>
      <c r="B1386">
        <v>46985</v>
      </c>
      <c r="C1386">
        <f>_xlfn.XLOOKUP(A1386, USD!A:A, USD!B:B, "")</f>
        <v>74.564999999999998</v>
      </c>
      <c r="D1386">
        <f>_xlfn.XLOOKUP(A1386, Brent!A:A, Brent!B:B, "")</f>
        <v>76.69</v>
      </c>
      <c r="E1386">
        <f>_xlfn.XLOOKUP(
  A1386,
  Repo!A:A,
  Repo!B:B,
  "",
  -1
)</f>
        <v>4</v>
      </c>
      <c r="F1386" s="10">
        <f>_xlfn.XLOOKUP(
  A1386,
  CPI!D:D,
  CPI!C:C,
  "",
  -1
)</f>
        <v>5.59</v>
      </c>
      <c r="G1386">
        <v>46817</v>
      </c>
    </row>
    <row r="1387" spans="1:7">
      <c r="A1387" s="1">
        <v>44379</v>
      </c>
      <c r="B1387">
        <v>47286</v>
      </c>
      <c r="C1387">
        <f>_xlfn.XLOOKUP(A1387, USD!A:A, USD!B:B, "")</f>
        <v>74.518000000000001</v>
      </c>
      <c r="D1387">
        <f>_xlfn.XLOOKUP(A1387, Brent!A:A, Brent!B:B, "")</f>
        <v>77.510000000000005</v>
      </c>
      <c r="E1387">
        <f>_xlfn.XLOOKUP(
  A1387,
  Repo!A:A,
  Repo!B:B,
  "",
  -1
)</f>
        <v>4</v>
      </c>
      <c r="F1387" s="10">
        <f>_xlfn.XLOOKUP(
  A1387,
  CPI!D:D,
  CPI!C:C,
  "",
  -1
)</f>
        <v>5.59</v>
      </c>
      <c r="G1387">
        <v>46985</v>
      </c>
    </row>
    <row r="1388" spans="1:7">
      <c r="A1388" s="1">
        <v>44382</v>
      </c>
      <c r="B1388">
        <v>47567</v>
      </c>
      <c r="C1388">
        <f>_xlfn.XLOOKUP(A1388, USD!A:A, USD!B:B, "")</f>
        <v>74.316999999999993</v>
      </c>
      <c r="D1388">
        <f>_xlfn.XLOOKUP(A1388, Brent!A:A, Brent!B:B, "")</f>
        <v>78.34</v>
      </c>
      <c r="E1388">
        <f>_xlfn.XLOOKUP(
  A1388,
  Repo!A:A,
  Repo!B:B,
  "",
  -1
)</f>
        <v>4</v>
      </c>
      <c r="F1388" s="10">
        <f>_xlfn.XLOOKUP(
  A1388,
  CPI!D:D,
  CPI!C:C,
  "",
  -1
)</f>
        <v>5.59</v>
      </c>
      <c r="G1388">
        <v>47286</v>
      </c>
    </row>
    <row r="1389" spans="1:7">
      <c r="A1389" s="1">
        <v>44383</v>
      </c>
      <c r="B1389">
        <v>47694</v>
      </c>
      <c r="C1389">
        <f>_xlfn.XLOOKUP(A1389, USD!A:A, USD!B:B, "")</f>
        <v>74.590999999999994</v>
      </c>
      <c r="D1389">
        <f>_xlfn.XLOOKUP(A1389, Brent!A:A, Brent!B:B, "")</f>
        <v>75.81</v>
      </c>
      <c r="E1389">
        <f>_xlfn.XLOOKUP(
  A1389,
  Repo!A:A,
  Repo!B:B,
  "",
  -1
)</f>
        <v>4</v>
      </c>
      <c r="F1389" s="10">
        <f>_xlfn.XLOOKUP(
  A1389,
  CPI!D:D,
  CPI!C:C,
  "",
  -1
)</f>
        <v>5.59</v>
      </c>
      <c r="G1389">
        <v>47567</v>
      </c>
    </row>
    <row r="1390" spans="1:7">
      <c r="A1390" s="1">
        <v>44384</v>
      </c>
      <c r="B1390">
        <v>47887</v>
      </c>
      <c r="C1390">
        <f>_xlfn.XLOOKUP(A1390, USD!A:A, USD!B:B, "")</f>
        <v>74.8</v>
      </c>
      <c r="D1390">
        <f>_xlfn.XLOOKUP(A1390, Brent!A:A, Brent!B:B, "")</f>
        <v>74.31</v>
      </c>
      <c r="E1390">
        <f>_xlfn.XLOOKUP(
  A1390,
  Repo!A:A,
  Repo!B:B,
  "",
  -1
)</f>
        <v>4</v>
      </c>
      <c r="F1390" s="10">
        <f>_xlfn.XLOOKUP(
  A1390,
  CPI!D:D,
  CPI!C:C,
  "",
  -1
)</f>
        <v>5.59</v>
      </c>
      <c r="G1390">
        <v>47694</v>
      </c>
    </row>
    <row r="1391" spans="1:7">
      <c r="A1391" s="1">
        <v>44385</v>
      </c>
      <c r="B1391">
        <v>47735</v>
      </c>
      <c r="C1391">
        <f>_xlfn.XLOOKUP(A1391, USD!A:A, USD!B:B, "")</f>
        <v>74.739999999999995</v>
      </c>
      <c r="D1391">
        <f>_xlfn.XLOOKUP(A1391, Brent!A:A, Brent!B:B, "")</f>
        <v>75.069999999999993</v>
      </c>
      <c r="E1391">
        <f>_xlfn.XLOOKUP(
  A1391,
  Repo!A:A,
  Repo!B:B,
  "",
  -1
)</f>
        <v>4</v>
      </c>
      <c r="F1391" s="10">
        <f>_xlfn.XLOOKUP(
  A1391,
  CPI!D:D,
  CPI!C:C,
  "",
  -1
)</f>
        <v>5.59</v>
      </c>
      <c r="G1391">
        <v>47887</v>
      </c>
    </row>
    <row r="1392" spans="1:7">
      <c r="A1392" s="1">
        <v>44386</v>
      </c>
      <c r="B1392">
        <v>47898</v>
      </c>
      <c r="C1392">
        <f>_xlfn.XLOOKUP(A1392, USD!A:A, USD!B:B, "")</f>
        <v>74.486999999999995</v>
      </c>
      <c r="D1392">
        <f>_xlfn.XLOOKUP(A1392, Brent!A:A, Brent!B:B, "")</f>
        <v>77.14</v>
      </c>
      <c r="E1392">
        <f>_xlfn.XLOOKUP(
  A1392,
  Repo!A:A,
  Repo!B:B,
  "",
  -1
)</f>
        <v>4</v>
      </c>
      <c r="F1392" s="10">
        <f>_xlfn.XLOOKUP(
  A1392,
  CPI!D:D,
  CPI!C:C,
  "",
  -1
)</f>
        <v>5.59</v>
      </c>
      <c r="G1392">
        <v>47735</v>
      </c>
    </row>
    <row r="1393" spans="1:7">
      <c r="A1393" s="1">
        <v>44389</v>
      </c>
      <c r="B1393">
        <v>47768</v>
      </c>
      <c r="C1393">
        <f>_xlfn.XLOOKUP(A1393, USD!A:A, USD!B:B, "")</f>
        <v>74.545000000000002</v>
      </c>
      <c r="D1393">
        <f>_xlfn.XLOOKUP(A1393, Brent!A:A, Brent!B:B, "")</f>
        <v>76.77</v>
      </c>
      <c r="E1393">
        <f>_xlfn.XLOOKUP(
  A1393,
  Repo!A:A,
  Repo!B:B,
  "",
  -1
)</f>
        <v>4</v>
      </c>
      <c r="F1393" s="10">
        <f>_xlfn.XLOOKUP(
  A1393,
  CPI!D:D,
  CPI!C:C,
  "",
  -1
)</f>
        <v>5.59</v>
      </c>
      <c r="G1393">
        <v>47898</v>
      </c>
    </row>
    <row r="1394" spans="1:7">
      <c r="A1394" s="1">
        <v>44390</v>
      </c>
      <c r="B1394">
        <v>47887</v>
      </c>
      <c r="C1394">
        <f>_xlfn.XLOOKUP(A1394, USD!A:A, USD!B:B, "")</f>
        <v>74.599999999999994</v>
      </c>
      <c r="D1394">
        <f>_xlfn.XLOOKUP(A1394, Brent!A:A, Brent!B:B, "")</f>
        <v>77.5</v>
      </c>
      <c r="E1394">
        <f>_xlfn.XLOOKUP(
  A1394,
  Repo!A:A,
  Repo!B:B,
  "",
  -1
)</f>
        <v>4</v>
      </c>
      <c r="F1394" s="10">
        <f>_xlfn.XLOOKUP(
  A1394,
  CPI!D:D,
  CPI!C:C,
  "",
  -1
)</f>
        <v>5.59</v>
      </c>
      <c r="G1394">
        <v>47768</v>
      </c>
    </row>
    <row r="1395" spans="1:7">
      <c r="A1395" s="1">
        <v>44391</v>
      </c>
      <c r="B1395">
        <v>48265</v>
      </c>
      <c r="C1395">
        <f>_xlfn.XLOOKUP(A1395, USD!A:A, USD!B:B, "")</f>
        <v>74.47</v>
      </c>
      <c r="D1395">
        <f>_xlfn.XLOOKUP(A1395, Brent!A:A, Brent!B:B, "")</f>
        <v>75.739999999999995</v>
      </c>
      <c r="E1395">
        <f>_xlfn.XLOOKUP(
  A1395,
  Repo!A:A,
  Repo!B:B,
  "",
  -1
)</f>
        <v>4</v>
      </c>
      <c r="F1395" s="10">
        <f>_xlfn.XLOOKUP(
  A1395,
  CPI!D:D,
  CPI!C:C,
  "",
  -1
)</f>
        <v>5.59</v>
      </c>
      <c r="G1395">
        <v>47887</v>
      </c>
    </row>
    <row r="1396" spans="1:7">
      <c r="A1396" s="1">
        <v>44392</v>
      </c>
      <c r="B1396">
        <v>48358</v>
      </c>
      <c r="C1396">
        <f>_xlfn.XLOOKUP(A1396, USD!A:A, USD!B:B, "")</f>
        <v>74.55</v>
      </c>
      <c r="D1396">
        <f>_xlfn.XLOOKUP(A1396, Brent!A:A, Brent!B:B, "")</f>
        <v>74.53</v>
      </c>
      <c r="E1396">
        <f>_xlfn.XLOOKUP(
  A1396,
  Repo!A:A,
  Repo!B:B,
  "",
  -1
)</f>
        <v>4</v>
      </c>
      <c r="F1396" s="10">
        <f>_xlfn.XLOOKUP(
  A1396,
  CPI!D:D,
  CPI!C:C,
  "",
  -1
)</f>
        <v>5.59</v>
      </c>
      <c r="G1396">
        <v>48265</v>
      </c>
    </row>
    <row r="1397" spans="1:7">
      <c r="A1397" s="1">
        <v>44393</v>
      </c>
      <c r="B1397">
        <v>48040</v>
      </c>
      <c r="C1397">
        <f>_xlfn.XLOOKUP(A1397, USD!A:A, USD!B:B, "")</f>
        <v>74.61</v>
      </c>
      <c r="D1397">
        <f>_xlfn.XLOOKUP(A1397, Brent!A:A, Brent!B:B, "")</f>
        <v>74.459999999999994</v>
      </c>
      <c r="E1397">
        <f>_xlfn.XLOOKUP(
  A1397,
  Repo!A:A,
  Repo!B:B,
  "",
  -1
)</f>
        <v>4</v>
      </c>
      <c r="F1397" s="10">
        <f>_xlfn.XLOOKUP(
  A1397,
  CPI!D:D,
  CPI!C:C,
  "",
  -1
)</f>
        <v>5.59</v>
      </c>
      <c r="G1397">
        <v>48358</v>
      </c>
    </row>
    <row r="1398" spans="1:7">
      <c r="A1398" s="1">
        <v>44396</v>
      </c>
      <c r="B1398">
        <v>48069</v>
      </c>
      <c r="C1398">
        <f>_xlfn.XLOOKUP(A1398, USD!A:A, USD!B:B, "")</f>
        <v>74.858000000000004</v>
      </c>
      <c r="D1398">
        <f>_xlfn.XLOOKUP(A1398, Brent!A:A, Brent!B:B, "")</f>
        <v>69.33</v>
      </c>
      <c r="E1398">
        <f>_xlfn.XLOOKUP(
  A1398,
  Repo!A:A,
  Repo!B:B,
  "",
  -1
)</f>
        <v>4</v>
      </c>
      <c r="F1398" s="10">
        <f>_xlfn.XLOOKUP(
  A1398,
  CPI!D:D,
  CPI!C:C,
  "",
  -1
)</f>
        <v>5.59</v>
      </c>
      <c r="G1398">
        <v>48040</v>
      </c>
    </row>
    <row r="1399" spans="1:7">
      <c r="A1399" s="1">
        <v>44397</v>
      </c>
      <c r="B1399">
        <v>47861</v>
      </c>
      <c r="C1399">
        <f>_xlfn.XLOOKUP(A1399, USD!A:A, USD!B:B, "")</f>
        <v>74.534999999999997</v>
      </c>
      <c r="D1399">
        <f>_xlfn.XLOOKUP(A1399, Brent!A:A, Brent!B:B, "")</f>
        <v>70.03</v>
      </c>
      <c r="E1399">
        <f>_xlfn.XLOOKUP(
  A1399,
  Repo!A:A,
  Repo!B:B,
  "",
  -1
)</f>
        <v>4</v>
      </c>
      <c r="F1399" s="10">
        <f>_xlfn.XLOOKUP(
  A1399,
  CPI!D:D,
  CPI!C:C,
  "",
  -1
)</f>
        <v>5.59</v>
      </c>
      <c r="G1399">
        <v>48069</v>
      </c>
    </row>
    <row r="1400" spans="1:7">
      <c r="A1400" s="1">
        <v>44398</v>
      </c>
      <c r="B1400">
        <v>47584</v>
      </c>
      <c r="C1400">
        <f>_xlfn.XLOOKUP(A1400, USD!A:A, USD!B:B, "")</f>
        <v>74.495000000000005</v>
      </c>
      <c r="D1400">
        <f>_xlfn.XLOOKUP(A1400, Brent!A:A, Brent!B:B, "")</f>
        <v>72.540000000000006</v>
      </c>
      <c r="E1400">
        <f>_xlfn.XLOOKUP(
  A1400,
  Repo!A:A,
  Repo!B:B,
  "",
  -1
)</f>
        <v>4</v>
      </c>
      <c r="F1400" s="10">
        <f>_xlfn.XLOOKUP(
  A1400,
  CPI!D:D,
  CPI!C:C,
  "",
  -1
)</f>
        <v>5.59</v>
      </c>
      <c r="G1400">
        <v>47861</v>
      </c>
    </row>
    <row r="1401" spans="1:7">
      <c r="A1401" s="1">
        <v>44399</v>
      </c>
      <c r="B1401">
        <v>47624</v>
      </c>
      <c r="C1401">
        <f>_xlfn.XLOOKUP(A1401, USD!A:A, USD!B:B, "")</f>
        <v>74.454999999999998</v>
      </c>
      <c r="D1401">
        <f>_xlfn.XLOOKUP(A1401, Brent!A:A, Brent!B:B, "")</f>
        <v>74.25</v>
      </c>
      <c r="E1401">
        <f>_xlfn.XLOOKUP(
  A1401,
  Repo!A:A,
  Repo!B:B,
  "",
  -1
)</f>
        <v>4</v>
      </c>
      <c r="F1401" s="10">
        <f>_xlfn.XLOOKUP(
  A1401,
  CPI!D:D,
  CPI!C:C,
  "",
  -1
)</f>
        <v>5.59</v>
      </c>
      <c r="G1401">
        <v>47584</v>
      </c>
    </row>
    <row r="1402" spans="1:7">
      <c r="A1402" s="1">
        <v>44400</v>
      </c>
      <c r="B1402">
        <v>47521</v>
      </c>
      <c r="C1402">
        <f>_xlfn.XLOOKUP(A1402, USD!A:A, USD!B:B, "")</f>
        <v>74.427000000000007</v>
      </c>
      <c r="D1402">
        <f>_xlfn.XLOOKUP(A1402, Brent!A:A, Brent!B:B, "")</f>
        <v>74.86</v>
      </c>
      <c r="E1402">
        <f>_xlfn.XLOOKUP(
  A1402,
  Repo!A:A,
  Repo!B:B,
  "",
  -1
)</f>
        <v>4</v>
      </c>
      <c r="F1402" s="10">
        <f>_xlfn.XLOOKUP(
  A1402,
  CPI!D:D,
  CPI!C:C,
  "",
  -1
)</f>
        <v>5.59</v>
      </c>
      <c r="G1402">
        <v>47624</v>
      </c>
    </row>
    <row r="1403" spans="1:7">
      <c r="A1403" s="1">
        <v>44403</v>
      </c>
      <c r="B1403">
        <v>47455</v>
      </c>
      <c r="C1403">
        <f>_xlfn.XLOOKUP(A1403, USD!A:A, USD!B:B, "")</f>
        <v>74.34</v>
      </c>
      <c r="D1403">
        <f>_xlfn.XLOOKUP(A1403, Brent!A:A, Brent!B:B, "")</f>
        <v>74.790000000000006</v>
      </c>
      <c r="E1403">
        <f>_xlfn.XLOOKUP(
  A1403,
  Repo!A:A,
  Repo!B:B,
  "",
  -1
)</f>
        <v>4</v>
      </c>
      <c r="F1403" s="10">
        <f>_xlfn.XLOOKUP(
  A1403,
  CPI!D:D,
  CPI!C:C,
  "",
  -1
)</f>
        <v>5.59</v>
      </c>
      <c r="G1403">
        <v>47521</v>
      </c>
    </row>
    <row r="1404" spans="1:7">
      <c r="A1404" s="1">
        <v>44404</v>
      </c>
      <c r="B1404">
        <v>47551</v>
      </c>
      <c r="C1404">
        <f>_xlfn.XLOOKUP(A1404, USD!A:A, USD!B:B, "")</f>
        <v>74.504000000000005</v>
      </c>
      <c r="D1404">
        <f>_xlfn.XLOOKUP(A1404, Brent!A:A, Brent!B:B, "")</f>
        <v>74.87</v>
      </c>
      <c r="E1404">
        <f>_xlfn.XLOOKUP(
  A1404,
  Repo!A:A,
  Repo!B:B,
  "",
  -1
)</f>
        <v>4</v>
      </c>
      <c r="F1404" s="10">
        <f>_xlfn.XLOOKUP(
  A1404,
  CPI!D:D,
  CPI!C:C,
  "",
  -1
)</f>
        <v>5.59</v>
      </c>
      <c r="G1404">
        <v>47455</v>
      </c>
    </row>
    <row r="1405" spans="1:7">
      <c r="A1405" s="1">
        <v>44405</v>
      </c>
      <c r="B1405">
        <v>47535</v>
      </c>
      <c r="C1405">
        <f>_xlfn.XLOOKUP(A1405, USD!A:A, USD!B:B, "")</f>
        <v>74.5</v>
      </c>
      <c r="D1405">
        <f>_xlfn.XLOOKUP(A1405, Brent!A:A, Brent!B:B, "")</f>
        <v>75.09</v>
      </c>
      <c r="E1405">
        <f>_xlfn.XLOOKUP(
  A1405,
  Repo!A:A,
  Repo!B:B,
  "",
  -1
)</f>
        <v>4</v>
      </c>
      <c r="F1405" s="10">
        <f>_xlfn.XLOOKUP(
  A1405,
  CPI!D:D,
  CPI!C:C,
  "",
  -1
)</f>
        <v>5.59</v>
      </c>
      <c r="G1405">
        <v>47551</v>
      </c>
    </row>
    <row r="1406" spans="1:7">
      <c r="A1406" s="1">
        <v>44406</v>
      </c>
      <c r="B1406">
        <v>48210</v>
      </c>
      <c r="C1406">
        <f>_xlfn.XLOOKUP(A1406, USD!A:A, USD!B:B, "")</f>
        <v>74.248000000000005</v>
      </c>
      <c r="D1406">
        <f>_xlfn.XLOOKUP(A1406, Brent!A:A, Brent!B:B, "")</f>
        <v>76.3</v>
      </c>
      <c r="E1406">
        <f>_xlfn.XLOOKUP(
  A1406,
  Repo!A:A,
  Repo!B:B,
  "",
  -1
)</f>
        <v>4</v>
      </c>
      <c r="F1406" s="10">
        <f>_xlfn.XLOOKUP(
  A1406,
  CPI!D:D,
  CPI!C:C,
  "",
  -1
)</f>
        <v>5.59</v>
      </c>
      <c r="G1406">
        <v>47535</v>
      </c>
    </row>
    <row r="1407" spans="1:7">
      <c r="A1407" s="1">
        <v>44407</v>
      </c>
      <c r="B1407">
        <v>47901</v>
      </c>
      <c r="C1407">
        <f>_xlfn.XLOOKUP(A1407, USD!A:A, USD!B:B, "")</f>
        <v>74.343999999999994</v>
      </c>
      <c r="D1407">
        <f>_xlfn.XLOOKUP(A1407, Brent!A:A, Brent!B:B, "")</f>
        <v>77.72</v>
      </c>
      <c r="E1407">
        <f>_xlfn.XLOOKUP(
  A1407,
  Repo!A:A,
  Repo!B:B,
  "",
  -1
)</f>
        <v>4</v>
      </c>
      <c r="F1407" s="10">
        <f>_xlfn.XLOOKUP(
  A1407,
  CPI!D:D,
  CPI!C:C,
  "",
  -1
)</f>
        <v>5.59</v>
      </c>
      <c r="G1407">
        <v>48210</v>
      </c>
    </row>
    <row r="1408" spans="1:7">
      <c r="A1408" s="1">
        <v>44410</v>
      </c>
      <c r="B1408">
        <v>47937</v>
      </c>
      <c r="C1408">
        <f>_xlfn.XLOOKUP(A1408, USD!A:A, USD!B:B, "")</f>
        <v>74.355999999999995</v>
      </c>
      <c r="D1408">
        <f>_xlfn.XLOOKUP(A1408, Brent!A:A, Brent!B:B, "")</f>
        <v>73.91</v>
      </c>
      <c r="E1408">
        <f>_xlfn.XLOOKUP(
  A1408,
  Repo!A:A,
  Repo!B:B,
  "",
  -1
)</f>
        <v>4</v>
      </c>
      <c r="F1408" s="10">
        <f>_xlfn.XLOOKUP(
  A1408,
  CPI!D:D,
  CPI!C:C,
  "",
  -1
)</f>
        <v>5.3</v>
      </c>
      <c r="G1408">
        <v>47901</v>
      </c>
    </row>
    <row r="1409" spans="1:7">
      <c r="A1409" s="1">
        <v>44411</v>
      </c>
      <c r="B1409">
        <v>47854</v>
      </c>
      <c r="C1409">
        <f>_xlfn.XLOOKUP(A1409, USD!A:A, USD!B:B, "")</f>
        <v>74.251000000000005</v>
      </c>
      <c r="D1409">
        <f>_xlfn.XLOOKUP(A1409, Brent!A:A, Brent!B:B, "")</f>
        <v>73.239999999999995</v>
      </c>
      <c r="E1409">
        <f>_xlfn.XLOOKUP(
  A1409,
  Repo!A:A,
  Repo!B:B,
  "",
  -1
)</f>
        <v>4</v>
      </c>
      <c r="F1409" s="10">
        <f>_xlfn.XLOOKUP(
  A1409,
  CPI!D:D,
  CPI!C:C,
  "",
  -1
)</f>
        <v>5.3</v>
      </c>
      <c r="G1409">
        <v>47937</v>
      </c>
    </row>
    <row r="1410" spans="1:7">
      <c r="A1410" s="1">
        <v>44412</v>
      </c>
      <c r="B1410">
        <v>47872</v>
      </c>
      <c r="C1410">
        <f>_xlfn.XLOOKUP(A1410, USD!A:A, USD!B:B, "")</f>
        <v>74.174999999999997</v>
      </c>
      <c r="D1410">
        <f>_xlfn.XLOOKUP(A1410, Brent!A:A, Brent!B:B, "")</f>
        <v>70.989999999999995</v>
      </c>
      <c r="E1410">
        <f>_xlfn.XLOOKUP(
  A1410,
  Repo!A:A,
  Repo!B:B,
  "",
  -1
)</f>
        <v>4</v>
      </c>
      <c r="F1410" s="10">
        <f>_xlfn.XLOOKUP(
  A1410,
  CPI!D:D,
  CPI!C:C,
  "",
  -1
)</f>
        <v>5.3</v>
      </c>
      <c r="G1410">
        <v>47854</v>
      </c>
    </row>
    <row r="1411" spans="1:7">
      <c r="A1411" s="1">
        <v>44413</v>
      </c>
      <c r="B1411">
        <v>47959</v>
      </c>
      <c r="C1411">
        <f>_xlfn.XLOOKUP(A1411, USD!A:A, USD!B:B, "")</f>
        <v>74.099999999999994</v>
      </c>
      <c r="D1411">
        <f>_xlfn.XLOOKUP(A1411, Brent!A:A, Brent!B:B, "")</f>
        <v>72.14</v>
      </c>
      <c r="E1411">
        <f>_xlfn.XLOOKUP(
  A1411,
  Repo!A:A,
  Repo!B:B,
  "",
  -1
)</f>
        <v>4</v>
      </c>
      <c r="F1411" s="10">
        <f>_xlfn.XLOOKUP(
  A1411,
  CPI!D:D,
  CPI!C:C,
  "",
  -1
)</f>
        <v>5.3</v>
      </c>
      <c r="G1411">
        <v>47872</v>
      </c>
    </row>
    <row r="1412" spans="1:7">
      <c r="A1412" s="1">
        <v>44414</v>
      </c>
      <c r="B1412">
        <v>46682</v>
      </c>
      <c r="C1412">
        <f>_xlfn.XLOOKUP(A1412, USD!A:A, USD!B:B, "")</f>
        <v>74.242000000000004</v>
      </c>
      <c r="D1412">
        <f>_xlfn.XLOOKUP(A1412, Brent!A:A, Brent!B:B, "")</f>
        <v>71.02</v>
      </c>
      <c r="E1412">
        <f>_xlfn.XLOOKUP(
  A1412,
  Repo!A:A,
  Repo!B:B,
  "",
  -1
)</f>
        <v>4</v>
      </c>
      <c r="F1412" s="10">
        <f>_xlfn.XLOOKUP(
  A1412,
  CPI!D:D,
  CPI!C:C,
  "",
  -1
)</f>
        <v>5.3</v>
      </c>
      <c r="G1412">
        <v>47959</v>
      </c>
    </row>
    <row r="1413" spans="1:7">
      <c r="A1413" s="1">
        <v>44417</v>
      </c>
      <c r="B1413">
        <v>45949</v>
      </c>
      <c r="C1413">
        <f>_xlfn.XLOOKUP(A1413, USD!A:A, USD!B:B, "")</f>
        <v>74.488</v>
      </c>
      <c r="D1413">
        <f>_xlfn.XLOOKUP(A1413, Brent!A:A, Brent!B:B, "")</f>
        <v>69.650000000000006</v>
      </c>
      <c r="E1413">
        <f>_xlfn.XLOOKUP(
  A1413,
  Repo!A:A,
  Repo!B:B,
  "",
  -1
)</f>
        <v>4</v>
      </c>
      <c r="F1413" s="10">
        <f>_xlfn.XLOOKUP(
  A1413,
  CPI!D:D,
  CPI!C:C,
  "",
  -1
)</f>
        <v>5.3</v>
      </c>
      <c r="G1413">
        <v>46682</v>
      </c>
    </row>
    <row r="1414" spans="1:7">
      <c r="A1414" s="1">
        <v>44418</v>
      </c>
      <c r="B1414">
        <v>45936</v>
      </c>
      <c r="C1414">
        <f>_xlfn.XLOOKUP(A1414, USD!A:A, USD!B:B, "")</f>
        <v>74.435000000000002</v>
      </c>
      <c r="D1414">
        <f>_xlfn.XLOOKUP(A1414, Brent!A:A, Brent!B:B, "")</f>
        <v>71.14</v>
      </c>
      <c r="E1414">
        <f>_xlfn.XLOOKUP(
  A1414,
  Repo!A:A,
  Repo!B:B,
  "",
  -1
)</f>
        <v>4</v>
      </c>
      <c r="F1414" s="10">
        <f>_xlfn.XLOOKUP(
  A1414,
  CPI!D:D,
  CPI!C:C,
  "",
  -1
)</f>
        <v>5.3</v>
      </c>
      <c r="G1414">
        <v>45949</v>
      </c>
    </row>
    <row r="1415" spans="1:7">
      <c r="A1415" s="1">
        <v>44419</v>
      </c>
      <c r="B1415">
        <v>46351</v>
      </c>
      <c r="C1415">
        <f>_xlfn.XLOOKUP(A1415, USD!A:A, USD!B:B, "")</f>
        <v>74.263000000000005</v>
      </c>
      <c r="D1415">
        <f>_xlfn.XLOOKUP(A1415, Brent!A:A, Brent!B:B, "")</f>
        <v>71.989999999999995</v>
      </c>
      <c r="E1415">
        <f>_xlfn.XLOOKUP(
  A1415,
  Repo!A:A,
  Repo!B:B,
  "",
  -1
)</f>
        <v>4</v>
      </c>
      <c r="F1415" s="10">
        <f>_xlfn.XLOOKUP(
  A1415,
  CPI!D:D,
  CPI!C:C,
  "",
  -1
)</f>
        <v>5.3</v>
      </c>
      <c r="G1415">
        <v>45936</v>
      </c>
    </row>
    <row r="1416" spans="1:7">
      <c r="A1416" s="1">
        <v>44420</v>
      </c>
      <c r="B1416">
        <v>46335</v>
      </c>
      <c r="C1416">
        <f>_xlfn.XLOOKUP(A1416, USD!A:A, USD!B:B, "")</f>
        <v>74.314999999999998</v>
      </c>
      <c r="D1416">
        <f>_xlfn.XLOOKUP(A1416, Brent!A:A, Brent!B:B, "")</f>
        <v>71.790000000000006</v>
      </c>
      <c r="E1416">
        <f>_xlfn.XLOOKUP(
  A1416,
  Repo!A:A,
  Repo!B:B,
  "",
  -1
)</f>
        <v>4</v>
      </c>
      <c r="F1416" s="10">
        <f>_xlfn.XLOOKUP(
  A1416,
  CPI!D:D,
  CPI!C:C,
  "",
  -1
)</f>
        <v>5.3</v>
      </c>
      <c r="G1416">
        <v>46351</v>
      </c>
    </row>
    <row r="1417" spans="1:7">
      <c r="A1417" s="1">
        <v>44421</v>
      </c>
      <c r="B1417">
        <v>46886</v>
      </c>
      <c r="C1417">
        <f>_xlfn.XLOOKUP(A1417, USD!A:A, USD!B:B, "")</f>
        <v>74.242000000000004</v>
      </c>
      <c r="D1417">
        <f>_xlfn.XLOOKUP(A1417, Brent!A:A, Brent!B:B, "")</f>
        <v>70.900000000000006</v>
      </c>
      <c r="E1417">
        <f>_xlfn.XLOOKUP(
  A1417,
  Repo!A:A,
  Repo!B:B,
  "",
  -1
)</f>
        <v>4</v>
      </c>
      <c r="F1417" s="10">
        <f>_xlfn.XLOOKUP(
  A1417,
  CPI!D:D,
  CPI!C:C,
  "",
  -1
)</f>
        <v>5.3</v>
      </c>
      <c r="G1417">
        <v>46335</v>
      </c>
    </row>
    <row r="1418" spans="1:7">
      <c r="A1418" s="1">
        <v>44424</v>
      </c>
      <c r="B1418">
        <v>47138</v>
      </c>
      <c r="C1418">
        <f>_xlfn.XLOOKUP(A1418, USD!A:A, USD!B:B, "")</f>
        <v>74.17</v>
      </c>
      <c r="D1418">
        <f>_xlfn.XLOOKUP(A1418, Brent!A:A, Brent!B:B, "")</f>
        <v>70.069999999999993</v>
      </c>
      <c r="E1418">
        <f>_xlfn.XLOOKUP(
  A1418,
  Repo!A:A,
  Repo!B:B,
  "",
  -1
)</f>
        <v>4</v>
      </c>
      <c r="F1418" s="10">
        <f>_xlfn.XLOOKUP(
  A1418,
  CPI!D:D,
  CPI!C:C,
  "",
  -1
)</f>
        <v>5.3</v>
      </c>
      <c r="G1418">
        <v>46886</v>
      </c>
    </row>
    <row r="1419" spans="1:7">
      <c r="A1419" s="1">
        <v>44425</v>
      </c>
      <c r="B1419">
        <v>47206</v>
      </c>
      <c r="C1419">
        <f>_xlfn.XLOOKUP(A1419, USD!A:A, USD!B:B, "")</f>
        <v>74.375</v>
      </c>
      <c r="D1419">
        <f>_xlfn.XLOOKUP(A1419, Brent!A:A, Brent!B:B, "")</f>
        <v>69.400000000000006</v>
      </c>
      <c r="E1419">
        <f>_xlfn.XLOOKUP(
  A1419,
  Repo!A:A,
  Repo!B:B,
  "",
  -1
)</f>
        <v>4</v>
      </c>
      <c r="F1419" s="10">
        <f>_xlfn.XLOOKUP(
  A1419,
  CPI!D:D,
  CPI!C:C,
  "",
  -1
)</f>
        <v>5.3</v>
      </c>
      <c r="G1419">
        <v>47138</v>
      </c>
    </row>
    <row r="1420" spans="1:7">
      <c r="A1420" s="1">
        <v>44426</v>
      </c>
      <c r="B1420">
        <v>47069</v>
      </c>
      <c r="C1420">
        <f>_xlfn.XLOOKUP(A1420, USD!A:A, USD!B:B, "")</f>
        <v>74.290000000000006</v>
      </c>
      <c r="D1420">
        <f>_xlfn.XLOOKUP(A1420, Brent!A:A, Brent!B:B, "")</f>
        <v>68.61</v>
      </c>
      <c r="E1420">
        <f>_xlfn.XLOOKUP(
  A1420,
  Repo!A:A,
  Repo!B:B,
  "",
  -1
)</f>
        <v>4</v>
      </c>
      <c r="F1420" s="10">
        <f>_xlfn.XLOOKUP(
  A1420,
  CPI!D:D,
  CPI!C:C,
  "",
  -1
)</f>
        <v>5.3</v>
      </c>
      <c r="G1420">
        <v>47206</v>
      </c>
    </row>
    <row r="1421" spans="1:7">
      <c r="A1421" s="1">
        <v>44427</v>
      </c>
      <c r="B1421">
        <v>47119</v>
      </c>
      <c r="C1421">
        <f>_xlfn.XLOOKUP(A1421, USD!A:A, USD!B:B, "")</f>
        <v>74.38</v>
      </c>
      <c r="D1421">
        <f>_xlfn.XLOOKUP(A1421, Brent!A:A, Brent!B:B, "")</f>
        <v>66.8</v>
      </c>
      <c r="E1421">
        <f>_xlfn.XLOOKUP(
  A1421,
  Repo!A:A,
  Repo!B:B,
  "",
  -1
)</f>
        <v>4</v>
      </c>
      <c r="F1421" s="10">
        <f>_xlfn.XLOOKUP(
  A1421,
  CPI!D:D,
  CPI!C:C,
  "",
  -1
)</f>
        <v>5.3</v>
      </c>
      <c r="G1421">
        <v>47069</v>
      </c>
    </row>
    <row r="1422" spans="1:7">
      <c r="A1422" s="1">
        <v>44428</v>
      </c>
      <c r="B1422">
        <v>47110</v>
      </c>
      <c r="C1422">
        <f>_xlfn.XLOOKUP(A1422, USD!A:A, USD!B:B, "")</f>
        <v>74.352000000000004</v>
      </c>
      <c r="D1422">
        <f>_xlfn.XLOOKUP(A1422, Brent!A:A, Brent!B:B, "")</f>
        <v>65.510000000000005</v>
      </c>
      <c r="E1422">
        <f>_xlfn.XLOOKUP(
  A1422,
  Repo!A:A,
  Repo!B:B,
  "",
  -1
)</f>
        <v>4</v>
      </c>
      <c r="F1422" s="10">
        <f>_xlfn.XLOOKUP(
  A1422,
  CPI!D:D,
  CPI!C:C,
  "",
  -1
)</f>
        <v>5.3</v>
      </c>
      <c r="G1422">
        <v>47119</v>
      </c>
    </row>
    <row r="1423" spans="1:7">
      <c r="A1423" s="1">
        <v>44431</v>
      </c>
      <c r="B1423">
        <v>47511</v>
      </c>
      <c r="C1423">
        <f>_xlfn.XLOOKUP(A1423, USD!A:A, USD!B:B, "")</f>
        <v>74.135000000000005</v>
      </c>
      <c r="D1423">
        <f>_xlfn.XLOOKUP(A1423, Brent!A:A, Brent!B:B, "")</f>
        <v>69.069999999999993</v>
      </c>
      <c r="E1423">
        <f>_xlfn.XLOOKUP(
  A1423,
  Repo!A:A,
  Repo!B:B,
  "",
  -1
)</f>
        <v>4</v>
      </c>
      <c r="F1423" s="10">
        <f>_xlfn.XLOOKUP(
  A1423,
  CPI!D:D,
  CPI!C:C,
  "",
  -1
)</f>
        <v>5.3</v>
      </c>
      <c r="G1423">
        <v>47110</v>
      </c>
    </row>
    <row r="1424" spans="1:7">
      <c r="A1424" s="1">
        <v>44432</v>
      </c>
      <c r="B1424">
        <v>47532</v>
      </c>
      <c r="C1424">
        <f>_xlfn.XLOOKUP(A1424, USD!A:A, USD!B:B, "")</f>
        <v>74.135999999999996</v>
      </c>
      <c r="D1424">
        <f>_xlfn.XLOOKUP(A1424, Brent!A:A, Brent!B:B, "")</f>
        <v>71.209999999999994</v>
      </c>
      <c r="E1424">
        <f>_xlfn.XLOOKUP(
  A1424,
  Repo!A:A,
  Repo!B:B,
  "",
  -1
)</f>
        <v>4</v>
      </c>
      <c r="F1424" s="10">
        <f>_xlfn.XLOOKUP(
  A1424,
  CPI!D:D,
  CPI!C:C,
  "",
  -1
)</f>
        <v>5.3</v>
      </c>
      <c r="G1424">
        <v>47511</v>
      </c>
    </row>
    <row r="1425" spans="1:7">
      <c r="A1425" s="1">
        <v>44433</v>
      </c>
      <c r="B1425">
        <v>47108</v>
      </c>
      <c r="C1425">
        <f>_xlfn.XLOOKUP(A1425, USD!A:A, USD!B:B, "")</f>
        <v>74.12</v>
      </c>
      <c r="D1425">
        <f>_xlfn.XLOOKUP(A1425, Brent!A:A, Brent!B:B, "")</f>
        <v>72.12</v>
      </c>
      <c r="E1425">
        <f>_xlfn.XLOOKUP(
  A1425,
  Repo!A:A,
  Repo!B:B,
  "",
  -1
)</f>
        <v>4</v>
      </c>
      <c r="F1425" s="10">
        <f>_xlfn.XLOOKUP(
  A1425,
  CPI!D:D,
  CPI!C:C,
  "",
  -1
)</f>
        <v>5.3</v>
      </c>
      <c r="G1425">
        <v>47532</v>
      </c>
    </row>
    <row r="1426" spans="1:7">
      <c r="A1426" s="1">
        <v>44434</v>
      </c>
      <c r="B1426">
        <v>47163</v>
      </c>
      <c r="C1426">
        <f>_xlfn.XLOOKUP(A1426, USD!A:A, USD!B:B, "")</f>
        <v>74.155000000000001</v>
      </c>
      <c r="D1426">
        <f>_xlfn.XLOOKUP(A1426, Brent!A:A, Brent!B:B, "")</f>
        <v>70.42</v>
      </c>
      <c r="E1426">
        <f>_xlfn.XLOOKUP(
  A1426,
  Repo!A:A,
  Repo!B:B,
  "",
  -1
)</f>
        <v>4</v>
      </c>
      <c r="F1426" s="10">
        <f>_xlfn.XLOOKUP(
  A1426,
  CPI!D:D,
  CPI!C:C,
  "",
  -1
)</f>
        <v>5.3</v>
      </c>
      <c r="G1426">
        <v>47108</v>
      </c>
    </row>
    <row r="1427" spans="1:7">
      <c r="A1427" s="1">
        <v>44435</v>
      </c>
      <c r="B1427">
        <v>47416</v>
      </c>
      <c r="C1427">
        <f>_xlfn.XLOOKUP(A1427, USD!A:A, USD!B:B, "")</f>
        <v>73.474999999999994</v>
      </c>
      <c r="D1427">
        <f>_xlfn.XLOOKUP(A1427, Brent!A:A, Brent!B:B, "")</f>
        <v>72.260000000000005</v>
      </c>
      <c r="E1427">
        <f>_xlfn.XLOOKUP(
  A1427,
  Repo!A:A,
  Repo!B:B,
  "",
  -1
)</f>
        <v>4</v>
      </c>
      <c r="F1427" s="10">
        <f>_xlfn.XLOOKUP(
  A1427,
  CPI!D:D,
  CPI!C:C,
  "",
  -1
)</f>
        <v>5.3</v>
      </c>
      <c r="G1427">
        <v>47163</v>
      </c>
    </row>
    <row r="1428" spans="1:7">
      <c r="A1428" s="1">
        <v>44439</v>
      </c>
      <c r="B1428">
        <v>47060</v>
      </c>
      <c r="C1428">
        <f>_xlfn.XLOOKUP(A1428, USD!A:A, USD!B:B, "")</f>
        <v>72.950999999999993</v>
      </c>
      <c r="D1428">
        <f>_xlfn.XLOOKUP(A1428, Brent!A:A, Brent!B:B, "")</f>
        <v>73.45</v>
      </c>
      <c r="E1428">
        <f>_xlfn.XLOOKUP(
  A1428,
  Repo!A:A,
  Repo!B:B,
  "",
  -1
)</f>
        <v>4</v>
      </c>
      <c r="F1428" s="10">
        <f>_xlfn.XLOOKUP(
  A1428,
  CPI!D:D,
  CPI!C:C,
  "",
  -1
)</f>
        <v>5.3</v>
      </c>
      <c r="G1428">
        <v>47416</v>
      </c>
    </row>
    <row r="1429" spans="1:7">
      <c r="A1429" s="1">
        <v>44440</v>
      </c>
      <c r="B1429">
        <v>47093</v>
      </c>
      <c r="C1429">
        <f>_xlfn.XLOOKUP(A1429, USD!A:A, USD!B:B, "")</f>
        <v>72.995000000000005</v>
      </c>
      <c r="D1429">
        <f>_xlfn.XLOOKUP(A1429, Brent!A:A, Brent!B:B, "")</f>
        <v>71.989999999999995</v>
      </c>
      <c r="E1429">
        <f>_xlfn.XLOOKUP(
  A1429,
  Repo!A:A,
  Repo!B:B,
  "",
  -1
)</f>
        <v>4</v>
      </c>
      <c r="F1429" s="10">
        <f>_xlfn.XLOOKUP(
  A1429,
  CPI!D:D,
  CPI!C:C,
  "",
  -1
)</f>
        <v>4.3499999999999996</v>
      </c>
      <c r="G1429">
        <v>47060</v>
      </c>
    </row>
    <row r="1430" spans="1:7">
      <c r="A1430" s="1">
        <v>44441</v>
      </c>
      <c r="B1430">
        <v>47048</v>
      </c>
      <c r="C1430">
        <f>_xlfn.XLOOKUP(A1430, USD!A:A, USD!B:B, "")</f>
        <v>73.006</v>
      </c>
      <c r="D1430">
        <f>_xlfn.XLOOKUP(A1430, Brent!A:A, Brent!B:B, "")</f>
        <v>73.56</v>
      </c>
      <c r="E1430">
        <f>_xlfn.XLOOKUP(
  A1430,
  Repo!A:A,
  Repo!B:B,
  "",
  -1
)</f>
        <v>4</v>
      </c>
      <c r="F1430" s="10">
        <f>_xlfn.XLOOKUP(
  A1430,
  CPI!D:D,
  CPI!C:C,
  "",
  -1
)</f>
        <v>4.3499999999999996</v>
      </c>
      <c r="G1430">
        <v>47093</v>
      </c>
    </row>
    <row r="1431" spans="1:7">
      <c r="A1431" s="1">
        <v>44442</v>
      </c>
      <c r="B1431">
        <v>47342</v>
      </c>
      <c r="C1431">
        <f>_xlfn.XLOOKUP(A1431, USD!A:A, USD!B:B, "")</f>
        <v>72.997</v>
      </c>
      <c r="D1431">
        <f>_xlfn.XLOOKUP(A1431, Brent!A:A, Brent!B:B, "")</f>
        <v>73.069999999999993</v>
      </c>
      <c r="E1431">
        <f>_xlfn.XLOOKUP(
  A1431,
  Repo!A:A,
  Repo!B:B,
  "",
  -1
)</f>
        <v>4</v>
      </c>
      <c r="F1431" s="10">
        <f>_xlfn.XLOOKUP(
  A1431,
  CPI!D:D,
  CPI!C:C,
  "",
  -1
)</f>
        <v>4.3499999999999996</v>
      </c>
      <c r="G1431">
        <v>47048</v>
      </c>
    </row>
    <row r="1432" spans="1:7">
      <c r="A1432" s="1">
        <v>44445</v>
      </c>
      <c r="B1432">
        <v>47450</v>
      </c>
      <c r="C1432">
        <f>_xlfn.XLOOKUP(A1432, USD!A:A, USD!B:B, "")</f>
        <v>73.078000000000003</v>
      </c>
      <c r="D1432">
        <f>_xlfn.XLOOKUP(A1432, Brent!A:A, Brent!B:B, "")</f>
        <v>72.430000000000007</v>
      </c>
      <c r="E1432">
        <f>_xlfn.XLOOKUP(
  A1432,
  Repo!A:A,
  Repo!B:B,
  "",
  -1
)</f>
        <v>4</v>
      </c>
      <c r="F1432" s="10">
        <f>_xlfn.XLOOKUP(
  A1432,
  CPI!D:D,
  CPI!C:C,
  "",
  -1
)</f>
        <v>4.3499999999999996</v>
      </c>
      <c r="G1432">
        <v>47342</v>
      </c>
    </row>
    <row r="1433" spans="1:7">
      <c r="A1433" s="1">
        <v>44446</v>
      </c>
      <c r="B1433">
        <v>46989</v>
      </c>
      <c r="C1433">
        <f>_xlfn.XLOOKUP(A1433, USD!A:A, USD!B:B, "")</f>
        <v>73.441999999999993</v>
      </c>
      <c r="D1433">
        <f>_xlfn.XLOOKUP(A1433, Brent!A:A, Brent!B:B, "")</f>
        <v>71.52</v>
      </c>
      <c r="E1433">
        <f>_xlfn.XLOOKUP(
  A1433,
  Repo!A:A,
  Repo!B:B,
  "",
  -1
)</f>
        <v>4</v>
      </c>
      <c r="F1433" s="10">
        <f>_xlfn.XLOOKUP(
  A1433,
  CPI!D:D,
  CPI!C:C,
  "",
  -1
)</f>
        <v>4.3499999999999996</v>
      </c>
      <c r="G1433">
        <v>47450</v>
      </c>
    </row>
    <row r="1434" spans="1:7">
      <c r="A1434" s="1">
        <v>44447</v>
      </c>
      <c r="B1434">
        <v>47072</v>
      </c>
      <c r="C1434">
        <f>_xlfn.XLOOKUP(A1434, USD!A:A, USD!B:B, "")</f>
        <v>73.796000000000006</v>
      </c>
      <c r="D1434">
        <f>_xlfn.XLOOKUP(A1434, Brent!A:A, Brent!B:B, "")</f>
        <v>72.36</v>
      </c>
      <c r="E1434">
        <f>_xlfn.XLOOKUP(
  A1434,
  Repo!A:A,
  Repo!B:B,
  "",
  -1
)</f>
        <v>4</v>
      </c>
      <c r="F1434" s="10">
        <f>_xlfn.XLOOKUP(
  A1434,
  CPI!D:D,
  CPI!C:C,
  "",
  -1
)</f>
        <v>4.3499999999999996</v>
      </c>
      <c r="G1434">
        <v>46989</v>
      </c>
    </row>
    <row r="1435" spans="1:7">
      <c r="A1435" s="1">
        <v>44448</v>
      </c>
      <c r="B1435">
        <v>47021</v>
      </c>
      <c r="C1435">
        <f>_xlfn.XLOOKUP(A1435, USD!A:A, USD!B:B, "")</f>
        <v>73.546000000000006</v>
      </c>
      <c r="D1435">
        <f>_xlfn.XLOOKUP(A1435, Brent!A:A, Brent!B:B, "")</f>
        <v>71.319999999999993</v>
      </c>
      <c r="E1435">
        <f>_xlfn.XLOOKUP(
  A1435,
  Repo!A:A,
  Repo!B:B,
  "",
  -1
)</f>
        <v>4</v>
      </c>
      <c r="F1435" s="10">
        <f>_xlfn.XLOOKUP(
  A1435,
  CPI!D:D,
  CPI!C:C,
  "",
  -1
)</f>
        <v>4.3499999999999996</v>
      </c>
      <c r="G1435">
        <v>47072</v>
      </c>
    </row>
    <row r="1436" spans="1:7">
      <c r="A1436" s="1">
        <v>44449</v>
      </c>
      <c r="B1436">
        <v>46858</v>
      </c>
      <c r="C1436">
        <f>_xlfn.XLOOKUP(A1436, USD!A:A, USD!B:B, "")</f>
        <v>73.524000000000001</v>
      </c>
      <c r="D1436">
        <f>_xlfn.XLOOKUP(A1436, Brent!A:A, Brent!B:B, "")</f>
        <v>72.44</v>
      </c>
      <c r="E1436">
        <f>_xlfn.XLOOKUP(
  A1436,
  Repo!A:A,
  Repo!B:B,
  "",
  -1
)</f>
        <v>4</v>
      </c>
      <c r="F1436" s="10">
        <f>_xlfn.XLOOKUP(
  A1436,
  CPI!D:D,
  CPI!C:C,
  "",
  -1
)</f>
        <v>4.3499999999999996</v>
      </c>
      <c r="G1436">
        <v>47021</v>
      </c>
    </row>
    <row r="1437" spans="1:7">
      <c r="A1437" s="1">
        <v>44452</v>
      </c>
      <c r="B1437">
        <v>46946</v>
      </c>
      <c r="C1437">
        <f>_xlfn.XLOOKUP(A1437, USD!A:A, USD!B:B, "")</f>
        <v>73.564999999999998</v>
      </c>
      <c r="D1437">
        <f>_xlfn.XLOOKUP(A1437, Brent!A:A, Brent!B:B, "")</f>
        <v>72.97</v>
      </c>
      <c r="E1437">
        <f>_xlfn.XLOOKUP(
  A1437,
  Repo!A:A,
  Repo!B:B,
  "",
  -1
)</f>
        <v>4</v>
      </c>
      <c r="F1437" s="10">
        <f>_xlfn.XLOOKUP(
  A1437,
  CPI!D:D,
  CPI!C:C,
  "",
  -1
)</f>
        <v>4.3499999999999996</v>
      </c>
      <c r="G1437">
        <v>46858</v>
      </c>
    </row>
    <row r="1438" spans="1:7">
      <c r="A1438" s="1">
        <v>44453</v>
      </c>
      <c r="B1438">
        <v>47267</v>
      </c>
      <c r="C1438">
        <f>_xlfn.XLOOKUP(A1438, USD!A:A, USD!B:B, "")</f>
        <v>73.647000000000006</v>
      </c>
      <c r="D1438">
        <f>_xlfn.XLOOKUP(A1438, Brent!A:A, Brent!B:B, "")</f>
        <v>73.05</v>
      </c>
      <c r="E1438">
        <f>_xlfn.XLOOKUP(
  A1438,
  Repo!A:A,
  Repo!B:B,
  "",
  -1
)</f>
        <v>4</v>
      </c>
      <c r="F1438" s="10">
        <f>_xlfn.XLOOKUP(
  A1438,
  CPI!D:D,
  CPI!C:C,
  "",
  -1
)</f>
        <v>4.3499999999999996</v>
      </c>
      <c r="G1438">
        <v>46946</v>
      </c>
    </row>
    <row r="1439" spans="1:7">
      <c r="A1439" s="1">
        <v>44454</v>
      </c>
      <c r="B1439">
        <v>46949</v>
      </c>
      <c r="C1439">
        <f>_xlfn.XLOOKUP(A1439, USD!A:A, USD!B:B, "")</f>
        <v>73.444999999999993</v>
      </c>
      <c r="D1439">
        <f>_xlfn.XLOOKUP(A1439, Brent!A:A, Brent!B:B, "")</f>
        <v>74.84</v>
      </c>
      <c r="E1439">
        <f>_xlfn.XLOOKUP(
  A1439,
  Repo!A:A,
  Repo!B:B,
  "",
  -1
)</f>
        <v>4</v>
      </c>
      <c r="F1439" s="10">
        <f>_xlfn.XLOOKUP(
  A1439,
  CPI!D:D,
  CPI!C:C,
  "",
  -1
)</f>
        <v>4.3499999999999996</v>
      </c>
      <c r="G1439">
        <v>47267</v>
      </c>
    </row>
    <row r="1440" spans="1:7">
      <c r="A1440" s="1">
        <v>44455</v>
      </c>
      <c r="B1440">
        <v>46120</v>
      </c>
      <c r="C1440">
        <f>_xlfn.XLOOKUP(A1440, USD!A:A, USD!B:B, "")</f>
        <v>73.575000000000003</v>
      </c>
      <c r="D1440">
        <f>_xlfn.XLOOKUP(A1440, Brent!A:A, Brent!B:B, "")</f>
        <v>75.14</v>
      </c>
      <c r="E1440">
        <f>_xlfn.XLOOKUP(
  A1440,
  Repo!A:A,
  Repo!B:B,
  "",
  -1
)</f>
        <v>4</v>
      </c>
      <c r="F1440" s="10">
        <f>_xlfn.XLOOKUP(
  A1440,
  CPI!D:D,
  CPI!C:C,
  "",
  -1
)</f>
        <v>4.3499999999999996</v>
      </c>
      <c r="G1440">
        <v>46949</v>
      </c>
    </row>
    <row r="1441" spans="1:7">
      <c r="A1441" s="1">
        <v>44456</v>
      </c>
      <c r="B1441">
        <v>46025</v>
      </c>
      <c r="C1441">
        <f>_xlfn.XLOOKUP(A1441, USD!A:A, USD!B:B, "")</f>
        <v>73.644999999999996</v>
      </c>
      <c r="D1441">
        <f>_xlfn.XLOOKUP(A1441, Brent!A:A, Brent!B:B, "")</f>
        <v>74.64</v>
      </c>
      <c r="E1441">
        <f>_xlfn.XLOOKUP(
  A1441,
  Repo!A:A,
  Repo!B:B,
  "",
  -1
)</f>
        <v>4</v>
      </c>
      <c r="F1441" s="10">
        <f>_xlfn.XLOOKUP(
  A1441,
  CPI!D:D,
  CPI!C:C,
  "",
  -1
)</f>
        <v>4.3499999999999996</v>
      </c>
      <c r="G1441">
        <v>46120</v>
      </c>
    </row>
    <row r="1442" spans="1:7">
      <c r="A1442" s="1">
        <v>44459</v>
      </c>
      <c r="B1442">
        <v>46297</v>
      </c>
      <c r="C1442">
        <f>_xlfn.XLOOKUP(A1442, USD!A:A, USD!B:B, "")</f>
        <v>73.653000000000006</v>
      </c>
      <c r="D1442">
        <f>_xlfn.XLOOKUP(A1442, Brent!A:A, Brent!B:B, "")</f>
        <v>73.59</v>
      </c>
      <c r="E1442">
        <f>_xlfn.XLOOKUP(
  A1442,
  Repo!A:A,
  Repo!B:B,
  "",
  -1
)</f>
        <v>4</v>
      </c>
      <c r="F1442" s="10">
        <f>_xlfn.XLOOKUP(
  A1442,
  CPI!D:D,
  CPI!C:C,
  "",
  -1
)</f>
        <v>4.3499999999999996</v>
      </c>
      <c r="G1442">
        <v>46025</v>
      </c>
    </row>
    <row r="1443" spans="1:7">
      <c r="A1443" s="1">
        <v>44460</v>
      </c>
      <c r="B1443">
        <v>46641</v>
      </c>
      <c r="C1443">
        <f>_xlfn.XLOOKUP(A1443, USD!A:A, USD!B:B, "")</f>
        <v>73.745000000000005</v>
      </c>
      <c r="D1443">
        <f>_xlfn.XLOOKUP(A1443, Brent!A:A, Brent!B:B, "")</f>
        <v>73.650000000000006</v>
      </c>
      <c r="E1443">
        <f>_xlfn.XLOOKUP(
  A1443,
  Repo!A:A,
  Repo!B:B,
  "",
  -1
)</f>
        <v>4</v>
      </c>
      <c r="F1443" s="10">
        <f>_xlfn.XLOOKUP(
  A1443,
  CPI!D:D,
  CPI!C:C,
  "",
  -1
)</f>
        <v>4.3499999999999996</v>
      </c>
      <c r="G1443">
        <v>46297</v>
      </c>
    </row>
    <row r="1444" spans="1:7">
      <c r="A1444" s="1">
        <v>44461</v>
      </c>
      <c r="B1444">
        <v>46682</v>
      </c>
      <c r="C1444">
        <f>_xlfn.XLOOKUP(A1444, USD!A:A, USD!B:B, "")</f>
        <v>73.825000000000003</v>
      </c>
      <c r="D1444">
        <f>_xlfn.XLOOKUP(A1444, Brent!A:A, Brent!B:B, "")</f>
        <v>75.5</v>
      </c>
      <c r="E1444">
        <f>_xlfn.XLOOKUP(
  A1444,
  Repo!A:A,
  Repo!B:B,
  "",
  -1
)</f>
        <v>4</v>
      </c>
      <c r="F1444" s="10">
        <f>_xlfn.XLOOKUP(
  A1444,
  CPI!D:D,
  CPI!C:C,
  "",
  -1
)</f>
        <v>4.3499999999999996</v>
      </c>
      <c r="G1444">
        <v>46641</v>
      </c>
    </row>
    <row r="1445" spans="1:7">
      <c r="A1445" s="1">
        <v>44462</v>
      </c>
      <c r="B1445">
        <v>46083</v>
      </c>
      <c r="C1445">
        <f>_xlfn.XLOOKUP(A1445, USD!A:A, USD!B:B, "")</f>
        <v>73.81</v>
      </c>
      <c r="D1445">
        <f>_xlfn.XLOOKUP(A1445, Brent!A:A, Brent!B:B, "")</f>
        <v>76.44</v>
      </c>
      <c r="E1445">
        <f>_xlfn.XLOOKUP(
  A1445,
  Repo!A:A,
  Repo!B:B,
  "",
  -1
)</f>
        <v>4</v>
      </c>
      <c r="F1445" s="10">
        <f>_xlfn.XLOOKUP(
  A1445,
  CPI!D:D,
  CPI!C:C,
  "",
  -1
)</f>
        <v>4.3499999999999996</v>
      </c>
      <c r="G1445">
        <v>46682</v>
      </c>
    </row>
    <row r="1446" spans="1:7">
      <c r="A1446" s="1">
        <v>44463</v>
      </c>
      <c r="B1446">
        <v>45995</v>
      </c>
      <c r="C1446">
        <f>_xlfn.XLOOKUP(A1446, USD!A:A, USD!B:B, "")</f>
        <v>73.820999999999998</v>
      </c>
      <c r="D1446">
        <f>_xlfn.XLOOKUP(A1446, Brent!A:A, Brent!B:B, "")</f>
        <v>77.42</v>
      </c>
      <c r="E1446">
        <f>_xlfn.XLOOKUP(
  A1446,
  Repo!A:A,
  Repo!B:B,
  "",
  -1
)</f>
        <v>4</v>
      </c>
      <c r="F1446" s="10">
        <f>_xlfn.XLOOKUP(
  A1446,
  CPI!D:D,
  CPI!C:C,
  "",
  -1
)</f>
        <v>4.3499999999999996</v>
      </c>
      <c r="G1446">
        <v>46083</v>
      </c>
    </row>
    <row r="1447" spans="1:7">
      <c r="A1447" s="1">
        <v>44466</v>
      </c>
      <c r="B1447">
        <v>46064</v>
      </c>
      <c r="C1447">
        <f>_xlfn.XLOOKUP(A1447, USD!A:A, USD!B:B, "")</f>
        <v>73.825000000000003</v>
      </c>
      <c r="D1447">
        <f>_xlfn.XLOOKUP(A1447, Brent!A:A, Brent!B:B, "")</f>
        <v>78.849999999999994</v>
      </c>
      <c r="E1447">
        <f>_xlfn.XLOOKUP(
  A1447,
  Repo!A:A,
  Repo!B:B,
  "",
  -1
)</f>
        <v>4</v>
      </c>
      <c r="F1447" s="10">
        <f>_xlfn.XLOOKUP(
  A1447,
  CPI!D:D,
  CPI!C:C,
  "",
  -1
)</f>
        <v>4.3499999999999996</v>
      </c>
      <c r="G1447">
        <v>45995</v>
      </c>
    </row>
    <row r="1448" spans="1:7">
      <c r="A1448" s="1">
        <v>44467</v>
      </c>
      <c r="B1448">
        <v>45819</v>
      </c>
      <c r="C1448">
        <f>_xlfn.XLOOKUP(A1448, USD!A:A, USD!B:B, "")</f>
        <v>74.2</v>
      </c>
      <c r="D1448">
        <f>_xlfn.XLOOKUP(A1448, Brent!A:A, Brent!B:B, "")</f>
        <v>78.3</v>
      </c>
      <c r="E1448">
        <f>_xlfn.XLOOKUP(
  A1448,
  Repo!A:A,
  Repo!B:B,
  "",
  -1
)</f>
        <v>4</v>
      </c>
      <c r="F1448" s="10">
        <f>_xlfn.XLOOKUP(
  A1448,
  CPI!D:D,
  CPI!C:C,
  "",
  -1
)</f>
        <v>4.3499999999999996</v>
      </c>
      <c r="G1448">
        <v>46064</v>
      </c>
    </row>
    <row r="1449" spans="1:7">
      <c r="A1449" s="1">
        <v>44468</v>
      </c>
      <c r="B1449">
        <v>45550</v>
      </c>
      <c r="C1449">
        <f>_xlfn.XLOOKUP(A1449, USD!A:A, USD!B:B, "")</f>
        <v>74.298000000000002</v>
      </c>
      <c r="D1449">
        <f>_xlfn.XLOOKUP(A1449, Brent!A:A, Brent!B:B, "")</f>
        <v>77.86</v>
      </c>
      <c r="E1449">
        <f>_xlfn.XLOOKUP(
  A1449,
  Repo!A:A,
  Repo!B:B,
  "",
  -1
)</f>
        <v>4</v>
      </c>
      <c r="F1449" s="10">
        <f>_xlfn.XLOOKUP(
  A1449,
  CPI!D:D,
  CPI!C:C,
  "",
  -1
)</f>
        <v>4.3499999999999996</v>
      </c>
      <c r="G1449">
        <v>45819</v>
      </c>
    </row>
    <row r="1450" spans="1:7">
      <c r="A1450" s="1">
        <v>44469</v>
      </c>
      <c r="B1450">
        <v>46221</v>
      </c>
      <c r="C1450">
        <f>_xlfn.XLOOKUP(A1450, USD!A:A, USD!B:B, "")</f>
        <v>74.17</v>
      </c>
      <c r="D1450">
        <f>_xlfn.XLOOKUP(A1450, Brent!A:A, Brent!B:B, "")</f>
        <v>77.81</v>
      </c>
      <c r="E1450">
        <f>_xlfn.XLOOKUP(
  A1450,
  Repo!A:A,
  Repo!B:B,
  "",
  -1
)</f>
        <v>4</v>
      </c>
      <c r="F1450" s="10">
        <f>_xlfn.XLOOKUP(
  A1450,
  CPI!D:D,
  CPI!C:C,
  "",
  -1
)</f>
        <v>4.3499999999999996</v>
      </c>
      <c r="G1450">
        <v>45550</v>
      </c>
    </row>
    <row r="1451" spans="1:7">
      <c r="A1451" s="1">
        <v>44470</v>
      </c>
      <c r="B1451">
        <v>46315</v>
      </c>
      <c r="C1451">
        <f>_xlfn.XLOOKUP(A1451, USD!A:A, USD!B:B, "")</f>
        <v>74.150000000000006</v>
      </c>
      <c r="D1451">
        <f>_xlfn.XLOOKUP(A1451, Brent!A:A, Brent!B:B, "")</f>
        <v>79.400000000000006</v>
      </c>
      <c r="E1451">
        <f>_xlfn.XLOOKUP(
  A1451,
  Repo!A:A,
  Repo!B:B,
  "",
  -1
)</f>
        <v>4</v>
      </c>
      <c r="F1451" s="10">
        <f>_xlfn.XLOOKUP(
  A1451,
  CPI!D:D,
  CPI!C:C,
  "",
  -1
)</f>
        <v>4.4800000000000004</v>
      </c>
      <c r="G1451">
        <v>46221</v>
      </c>
    </row>
    <row r="1452" spans="1:7">
      <c r="A1452" s="1">
        <v>44473</v>
      </c>
      <c r="B1452">
        <v>46618</v>
      </c>
      <c r="C1452">
        <f>_xlfn.XLOOKUP(A1452, USD!A:A, USD!B:B, "")</f>
        <v>74.587999999999994</v>
      </c>
      <c r="D1452">
        <f>_xlfn.XLOOKUP(A1452, Brent!A:A, Brent!B:B, "")</f>
        <v>81.44</v>
      </c>
      <c r="E1452">
        <f>_xlfn.XLOOKUP(
  A1452,
  Repo!A:A,
  Repo!B:B,
  "",
  -1
)</f>
        <v>4</v>
      </c>
      <c r="F1452" s="10">
        <f>_xlfn.XLOOKUP(
  A1452,
  CPI!D:D,
  CPI!C:C,
  "",
  -1
)</f>
        <v>4.4800000000000004</v>
      </c>
      <c r="G1452">
        <v>46315</v>
      </c>
    </row>
    <row r="1453" spans="1:7">
      <c r="A1453" s="1">
        <v>44474</v>
      </c>
      <c r="B1453">
        <v>46459</v>
      </c>
      <c r="C1453">
        <f>_xlfn.XLOOKUP(A1453, USD!A:A, USD!B:B, "")</f>
        <v>74.564999999999998</v>
      </c>
      <c r="D1453">
        <f>_xlfn.XLOOKUP(A1453, Brent!A:A, Brent!B:B, "")</f>
        <v>82.72</v>
      </c>
      <c r="E1453">
        <f>_xlfn.XLOOKUP(
  A1453,
  Repo!A:A,
  Repo!B:B,
  "",
  -1
)</f>
        <v>4</v>
      </c>
      <c r="F1453" s="10">
        <f>_xlfn.XLOOKUP(
  A1453,
  CPI!D:D,
  CPI!C:C,
  "",
  -1
)</f>
        <v>4.4800000000000004</v>
      </c>
      <c r="G1453">
        <v>46618</v>
      </c>
    </row>
    <row r="1454" spans="1:7">
      <c r="A1454" s="1">
        <v>44475</v>
      </c>
      <c r="B1454">
        <v>46781</v>
      </c>
      <c r="C1454">
        <f>_xlfn.XLOOKUP(A1454, USD!A:A, USD!B:B, "")</f>
        <v>74.778000000000006</v>
      </c>
      <c r="D1454">
        <f>_xlfn.XLOOKUP(A1454, Brent!A:A, Brent!B:B, "")</f>
        <v>81.39</v>
      </c>
      <c r="E1454">
        <f>_xlfn.XLOOKUP(
  A1454,
  Repo!A:A,
  Repo!B:B,
  "",
  -1
)</f>
        <v>4</v>
      </c>
      <c r="F1454" s="10">
        <f>_xlfn.XLOOKUP(
  A1454,
  CPI!D:D,
  CPI!C:C,
  "",
  -1
)</f>
        <v>4.4800000000000004</v>
      </c>
      <c r="G1454">
        <v>46459</v>
      </c>
    </row>
    <row r="1455" spans="1:7">
      <c r="A1455" s="1">
        <v>44476</v>
      </c>
      <c r="B1455">
        <v>46737</v>
      </c>
      <c r="C1455">
        <f>_xlfn.XLOOKUP(A1455, USD!A:A, USD!B:B, "")</f>
        <v>74.825000000000003</v>
      </c>
      <c r="D1455">
        <f>_xlfn.XLOOKUP(A1455, Brent!A:A, Brent!B:B, "")</f>
        <v>82.34</v>
      </c>
      <c r="E1455">
        <f>_xlfn.XLOOKUP(
  A1455,
  Repo!A:A,
  Repo!B:B,
  "",
  -1
)</f>
        <v>4</v>
      </c>
      <c r="F1455" s="10">
        <f>_xlfn.XLOOKUP(
  A1455,
  CPI!D:D,
  CPI!C:C,
  "",
  -1
)</f>
        <v>4.4800000000000004</v>
      </c>
      <c r="G1455">
        <v>46781</v>
      </c>
    </row>
    <row r="1456" spans="1:7">
      <c r="A1456" s="1">
        <v>44477</v>
      </c>
      <c r="B1456">
        <v>46922</v>
      </c>
      <c r="C1456">
        <f>_xlfn.XLOOKUP(A1456, USD!A:A, USD!B:B, "")</f>
        <v>75.131</v>
      </c>
      <c r="D1456">
        <f>_xlfn.XLOOKUP(A1456, Brent!A:A, Brent!B:B, "")</f>
        <v>82.17</v>
      </c>
      <c r="E1456">
        <f>_xlfn.XLOOKUP(
  A1456,
  Repo!A:A,
  Repo!B:B,
  "",
  -1
)</f>
        <v>4</v>
      </c>
      <c r="F1456" s="10">
        <f>_xlfn.XLOOKUP(
  A1456,
  CPI!D:D,
  CPI!C:C,
  "",
  -1
)</f>
        <v>4.4800000000000004</v>
      </c>
      <c r="G1456">
        <v>46737</v>
      </c>
    </row>
    <row r="1457" spans="1:7">
      <c r="A1457" s="1">
        <v>44480</v>
      </c>
      <c r="B1457">
        <v>46941</v>
      </c>
      <c r="C1457">
        <f>_xlfn.XLOOKUP(A1457, USD!A:A, USD!B:B, "")</f>
        <v>75.403000000000006</v>
      </c>
      <c r="D1457">
        <f>_xlfn.XLOOKUP(A1457, Brent!A:A, Brent!B:B, "")</f>
        <v>83.75</v>
      </c>
      <c r="E1457">
        <f>_xlfn.XLOOKUP(
  A1457,
  Repo!A:A,
  Repo!B:B,
  "",
  -1
)</f>
        <v>4</v>
      </c>
      <c r="F1457" s="10">
        <f>_xlfn.XLOOKUP(
  A1457,
  CPI!D:D,
  CPI!C:C,
  "",
  -1
)</f>
        <v>4.4800000000000004</v>
      </c>
      <c r="G1457">
        <v>46922</v>
      </c>
    </row>
    <row r="1458" spans="1:7">
      <c r="A1458" s="1">
        <v>44481</v>
      </c>
      <c r="B1458">
        <v>47097</v>
      </c>
      <c r="C1458">
        <f>_xlfn.XLOOKUP(A1458, USD!A:A, USD!B:B, "")</f>
        <v>75.488</v>
      </c>
      <c r="D1458">
        <f>_xlfn.XLOOKUP(A1458, Brent!A:A, Brent!B:B, "")</f>
        <v>83.53</v>
      </c>
      <c r="E1458">
        <f>_xlfn.XLOOKUP(
  A1458,
  Repo!A:A,
  Repo!B:B,
  "",
  -1
)</f>
        <v>4</v>
      </c>
      <c r="F1458" s="10">
        <f>_xlfn.XLOOKUP(
  A1458,
  CPI!D:D,
  CPI!C:C,
  "",
  -1
)</f>
        <v>4.4800000000000004</v>
      </c>
      <c r="G1458">
        <v>46941</v>
      </c>
    </row>
    <row r="1459" spans="1:7">
      <c r="A1459" s="1">
        <v>44482</v>
      </c>
      <c r="B1459">
        <v>47753</v>
      </c>
      <c r="C1459">
        <f>_xlfn.XLOOKUP(A1459, USD!A:A, USD!B:B, "")</f>
        <v>75.305999999999997</v>
      </c>
      <c r="D1459">
        <f>_xlfn.XLOOKUP(A1459, Brent!A:A, Brent!B:B, "")</f>
        <v>83.53</v>
      </c>
      <c r="E1459">
        <f>_xlfn.XLOOKUP(
  A1459,
  Repo!A:A,
  Repo!B:B,
  "",
  -1
)</f>
        <v>4</v>
      </c>
      <c r="F1459" s="10">
        <f>_xlfn.XLOOKUP(
  A1459,
  CPI!D:D,
  CPI!C:C,
  "",
  -1
)</f>
        <v>4.4800000000000004</v>
      </c>
      <c r="G1459">
        <v>47097</v>
      </c>
    </row>
    <row r="1460" spans="1:7">
      <c r="A1460" s="1">
        <v>44483</v>
      </c>
      <c r="B1460">
        <v>47748</v>
      </c>
      <c r="C1460">
        <f>_xlfn.XLOOKUP(A1460, USD!A:A, USD!B:B, "")</f>
        <v>74.995000000000005</v>
      </c>
      <c r="D1460">
        <f>_xlfn.XLOOKUP(A1460, Brent!A:A, Brent!B:B, "")</f>
        <v>83.86</v>
      </c>
      <c r="E1460">
        <f>_xlfn.XLOOKUP(
  A1460,
  Repo!A:A,
  Repo!B:B,
  "",
  -1
)</f>
        <v>4</v>
      </c>
      <c r="F1460" s="10">
        <f>_xlfn.XLOOKUP(
  A1460,
  CPI!D:D,
  CPI!C:C,
  "",
  -1
)</f>
        <v>4.4800000000000004</v>
      </c>
      <c r="G1460">
        <v>47753</v>
      </c>
    </row>
    <row r="1461" spans="1:7">
      <c r="A1461" s="1">
        <v>44484</v>
      </c>
      <c r="B1461">
        <v>47106</v>
      </c>
      <c r="C1461">
        <f>_xlfn.XLOOKUP(A1461, USD!A:A, USD!B:B, "")</f>
        <v>75.03</v>
      </c>
      <c r="D1461">
        <f>_xlfn.XLOOKUP(A1461, Brent!A:A, Brent!B:B, "")</f>
        <v>84.67</v>
      </c>
      <c r="E1461">
        <f>_xlfn.XLOOKUP(
  A1461,
  Repo!A:A,
  Repo!B:B,
  "",
  -1
)</f>
        <v>4</v>
      </c>
      <c r="F1461" s="10">
        <f>_xlfn.XLOOKUP(
  A1461,
  CPI!D:D,
  CPI!C:C,
  "",
  -1
)</f>
        <v>4.4800000000000004</v>
      </c>
      <c r="G1461">
        <v>47748</v>
      </c>
    </row>
    <row r="1462" spans="1:7">
      <c r="A1462" s="1">
        <v>44487</v>
      </c>
      <c r="B1462">
        <v>47186</v>
      </c>
      <c r="C1462">
        <f>_xlfn.XLOOKUP(A1462, USD!A:A, USD!B:B, "")</f>
        <v>75.209999999999994</v>
      </c>
      <c r="D1462">
        <f>_xlfn.XLOOKUP(A1462, Brent!A:A, Brent!B:B, "")</f>
        <v>84.13</v>
      </c>
      <c r="E1462">
        <f>_xlfn.XLOOKUP(
  A1462,
  Repo!A:A,
  Repo!B:B,
  "",
  -1
)</f>
        <v>4</v>
      </c>
      <c r="F1462" s="10">
        <f>_xlfn.XLOOKUP(
  A1462,
  CPI!D:D,
  CPI!C:C,
  "",
  -1
)</f>
        <v>4.4800000000000004</v>
      </c>
      <c r="G1462">
        <v>47106</v>
      </c>
    </row>
    <row r="1463" spans="1:7">
      <c r="A1463" s="1">
        <v>44488</v>
      </c>
      <c r="B1463">
        <v>47196</v>
      </c>
      <c r="C1463">
        <f>_xlfn.XLOOKUP(A1463, USD!A:A, USD!B:B, "")</f>
        <v>75.12</v>
      </c>
      <c r="D1463">
        <f>_xlfn.XLOOKUP(A1463, Brent!A:A, Brent!B:B, "")</f>
        <v>85.02</v>
      </c>
      <c r="E1463">
        <f>_xlfn.XLOOKUP(
  A1463,
  Repo!A:A,
  Repo!B:B,
  "",
  -1
)</f>
        <v>4</v>
      </c>
      <c r="F1463" s="10">
        <f>_xlfn.XLOOKUP(
  A1463,
  CPI!D:D,
  CPI!C:C,
  "",
  -1
)</f>
        <v>4.4800000000000004</v>
      </c>
      <c r="G1463">
        <v>47186</v>
      </c>
    </row>
    <row r="1464" spans="1:7">
      <c r="A1464" s="1">
        <v>44489</v>
      </c>
      <c r="B1464">
        <v>47380</v>
      </c>
      <c r="C1464">
        <f>_xlfn.XLOOKUP(A1464, USD!A:A, USD!B:B, "")</f>
        <v>74.81</v>
      </c>
      <c r="D1464">
        <f>_xlfn.XLOOKUP(A1464, Brent!A:A, Brent!B:B, "")</f>
        <v>85.76</v>
      </c>
      <c r="E1464">
        <f>_xlfn.XLOOKUP(
  A1464,
  Repo!A:A,
  Repo!B:B,
  "",
  -1
)</f>
        <v>4</v>
      </c>
      <c r="F1464" s="10">
        <f>_xlfn.XLOOKUP(
  A1464,
  CPI!D:D,
  CPI!C:C,
  "",
  -1
)</f>
        <v>4.4800000000000004</v>
      </c>
      <c r="G1464">
        <v>47196</v>
      </c>
    </row>
    <row r="1465" spans="1:7">
      <c r="A1465" s="1">
        <v>44490</v>
      </c>
      <c r="B1465">
        <v>47314</v>
      </c>
      <c r="C1465">
        <f>_xlfn.XLOOKUP(A1465, USD!A:A, USD!B:B, "")</f>
        <v>74.888999999999996</v>
      </c>
      <c r="D1465">
        <f>_xlfn.XLOOKUP(A1465, Brent!A:A, Brent!B:B, "")</f>
        <v>84.58</v>
      </c>
      <c r="E1465">
        <f>_xlfn.XLOOKUP(
  A1465,
  Repo!A:A,
  Repo!B:B,
  "",
  -1
)</f>
        <v>4</v>
      </c>
      <c r="F1465" s="10">
        <f>_xlfn.XLOOKUP(
  A1465,
  CPI!D:D,
  CPI!C:C,
  "",
  -1
)</f>
        <v>4.4800000000000004</v>
      </c>
      <c r="G1465">
        <v>47380</v>
      </c>
    </row>
    <row r="1466" spans="1:7">
      <c r="A1466" s="1">
        <v>44491</v>
      </c>
      <c r="B1466">
        <v>47668</v>
      </c>
      <c r="C1466">
        <f>_xlfn.XLOOKUP(A1466, USD!A:A, USD!B:B, "")</f>
        <v>74.998999999999995</v>
      </c>
      <c r="D1466">
        <f>_xlfn.XLOOKUP(A1466, Brent!A:A, Brent!B:B, "")</f>
        <v>85.43</v>
      </c>
      <c r="E1466">
        <f>_xlfn.XLOOKUP(
  A1466,
  Repo!A:A,
  Repo!B:B,
  "",
  -1
)</f>
        <v>4</v>
      </c>
      <c r="F1466" s="10">
        <f>_xlfn.XLOOKUP(
  A1466,
  CPI!D:D,
  CPI!C:C,
  "",
  -1
)</f>
        <v>4.4800000000000004</v>
      </c>
      <c r="G1466">
        <v>47314</v>
      </c>
    </row>
    <row r="1467" spans="1:7">
      <c r="A1467" s="1">
        <v>44494</v>
      </c>
      <c r="B1467">
        <v>48030</v>
      </c>
      <c r="C1467">
        <f>_xlfn.XLOOKUP(A1467, USD!A:A, USD!B:B, "")</f>
        <v>75.022000000000006</v>
      </c>
      <c r="D1467">
        <f>_xlfn.XLOOKUP(A1467, Brent!A:A, Brent!B:B, "")</f>
        <v>84.85</v>
      </c>
      <c r="E1467">
        <f>_xlfn.XLOOKUP(
  A1467,
  Repo!A:A,
  Repo!B:B,
  "",
  -1
)</f>
        <v>4</v>
      </c>
      <c r="F1467" s="10">
        <f>_xlfn.XLOOKUP(
  A1467,
  CPI!D:D,
  CPI!C:C,
  "",
  -1
)</f>
        <v>4.4800000000000004</v>
      </c>
      <c r="G1467">
        <v>47668</v>
      </c>
    </row>
    <row r="1468" spans="1:7">
      <c r="A1468" s="1">
        <v>44495</v>
      </c>
      <c r="B1468">
        <v>47680</v>
      </c>
      <c r="C1468">
        <f>_xlfn.XLOOKUP(A1468, USD!A:A, USD!B:B, "")</f>
        <v>74.941999999999993</v>
      </c>
      <c r="D1468">
        <f>_xlfn.XLOOKUP(A1468, Brent!A:A, Brent!B:B, "")</f>
        <v>85.11</v>
      </c>
      <c r="E1468">
        <f>_xlfn.XLOOKUP(
  A1468,
  Repo!A:A,
  Repo!B:B,
  "",
  -1
)</f>
        <v>4</v>
      </c>
      <c r="F1468" s="10">
        <f>_xlfn.XLOOKUP(
  A1468,
  CPI!D:D,
  CPI!C:C,
  "",
  -1
)</f>
        <v>4.4800000000000004</v>
      </c>
      <c r="G1468">
        <v>48030</v>
      </c>
    </row>
    <row r="1469" spans="1:7">
      <c r="A1469" s="1">
        <v>44496</v>
      </c>
      <c r="B1469">
        <v>47804</v>
      </c>
      <c r="C1469">
        <f>_xlfn.XLOOKUP(A1469, USD!A:A, USD!B:B, "")</f>
        <v>75.069000000000003</v>
      </c>
      <c r="D1469">
        <f>_xlfn.XLOOKUP(A1469, Brent!A:A, Brent!B:B, "")</f>
        <v>84.12</v>
      </c>
      <c r="E1469">
        <f>_xlfn.XLOOKUP(
  A1469,
  Repo!A:A,
  Repo!B:B,
  "",
  -1
)</f>
        <v>4</v>
      </c>
      <c r="F1469" s="10">
        <f>_xlfn.XLOOKUP(
  A1469,
  CPI!D:D,
  CPI!C:C,
  "",
  -1
)</f>
        <v>4.4800000000000004</v>
      </c>
      <c r="G1469">
        <v>47680</v>
      </c>
    </row>
    <row r="1470" spans="1:7">
      <c r="A1470" s="1">
        <v>44497</v>
      </c>
      <c r="B1470">
        <v>47777</v>
      </c>
      <c r="C1470">
        <f>_xlfn.XLOOKUP(A1470, USD!A:A, USD!B:B, "")</f>
        <v>74.787999999999997</v>
      </c>
      <c r="D1470">
        <f>_xlfn.XLOOKUP(A1470, Brent!A:A, Brent!B:B, "")</f>
        <v>83.4</v>
      </c>
      <c r="E1470">
        <f>_xlfn.XLOOKUP(
  A1470,
  Repo!A:A,
  Repo!B:B,
  "",
  -1
)</f>
        <v>4</v>
      </c>
      <c r="F1470" s="10">
        <f>_xlfn.XLOOKUP(
  A1470,
  CPI!D:D,
  CPI!C:C,
  "",
  -1
)</f>
        <v>4.4800000000000004</v>
      </c>
      <c r="G1470">
        <v>47804</v>
      </c>
    </row>
    <row r="1471" spans="1:7">
      <c r="A1471" s="1">
        <v>44498</v>
      </c>
      <c r="B1471">
        <v>47502</v>
      </c>
      <c r="C1471">
        <f>_xlfn.XLOOKUP(A1471, USD!A:A, USD!B:B, "")</f>
        <v>74.935000000000002</v>
      </c>
      <c r="D1471">
        <f>_xlfn.XLOOKUP(A1471, Brent!A:A, Brent!B:B, "")</f>
        <v>83.1</v>
      </c>
      <c r="E1471">
        <f>_xlfn.XLOOKUP(
  A1471,
  Repo!A:A,
  Repo!B:B,
  "",
  -1
)</f>
        <v>4</v>
      </c>
      <c r="F1471" s="10">
        <f>_xlfn.XLOOKUP(
  A1471,
  CPI!D:D,
  CPI!C:C,
  "",
  -1
)</f>
        <v>4.4800000000000004</v>
      </c>
      <c r="G1471">
        <v>47777</v>
      </c>
    </row>
    <row r="1472" spans="1:7">
      <c r="A1472" s="1">
        <v>44501</v>
      </c>
      <c r="B1472">
        <v>47692</v>
      </c>
      <c r="C1472">
        <f>_xlfn.XLOOKUP(A1472, USD!A:A, USD!B:B, "")</f>
        <v>74.837000000000003</v>
      </c>
      <c r="D1472">
        <f>_xlfn.XLOOKUP(A1472, Brent!A:A, Brent!B:B, "")</f>
        <v>84.51</v>
      </c>
      <c r="E1472">
        <f>_xlfn.XLOOKUP(
  A1472,
  Repo!A:A,
  Repo!B:B,
  "",
  -1
)</f>
        <v>4</v>
      </c>
      <c r="F1472" s="10">
        <f>_xlfn.XLOOKUP(
  A1472,
  CPI!D:D,
  CPI!C:C,
  "",
  -1
)</f>
        <v>4.91</v>
      </c>
      <c r="G1472">
        <v>47502</v>
      </c>
    </row>
    <row r="1473" spans="1:7">
      <c r="A1473" s="1">
        <v>44502</v>
      </c>
      <c r="B1473">
        <v>47683</v>
      </c>
      <c r="C1473">
        <f>_xlfn.XLOOKUP(A1473, USD!A:A, USD!B:B, "")</f>
        <v>74.694999999999993</v>
      </c>
      <c r="D1473">
        <f>_xlfn.XLOOKUP(A1473, Brent!A:A, Brent!B:B, "")</f>
        <v>84.42</v>
      </c>
      <c r="E1473">
        <f>_xlfn.XLOOKUP(
  A1473,
  Repo!A:A,
  Repo!B:B,
  "",
  -1
)</f>
        <v>4</v>
      </c>
      <c r="F1473" s="10">
        <f>_xlfn.XLOOKUP(
  A1473,
  CPI!D:D,
  CPI!C:C,
  "",
  -1
)</f>
        <v>4.91</v>
      </c>
      <c r="G1473">
        <v>47692</v>
      </c>
    </row>
    <row r="1474" spans="1:7">
      <c r="A1474" s="1">
        <v>44503</v>
      </c>
      <c r="B1474">
        <v>46961</v>
      </c>
      <c r="C1474">
        <f>_xlfn.XLOOKUP(A1474, USD!A:A, USD!B:B, "")</f>
        <v>74.451999999999998</v>
      </c>
      <c r="D1474">
        <f>_xlfn.XLOOKUP(A1474, Brent!A:A, Brent!B:B, "")</f>
        <v>81.099999999999994</v>
      </c>
      <c r="E1474">
        <f>_xlfn.XLOOKUP(
  A1474,
  Repo!A:A,
  Repo!B:B,
  "",
  -1
)</f>
        <v>4</v>
      </c>
      <c r="F1474" s="10">
        <f>_xlfn.XLOOKUP(
  A1474,
  CPI!D:D,
  CPI!C:C,
  "",
  -1
)</f>
        <v>4.91</v>
      </c>
      <c r="G1474">
        <v>47683</v>
      </c>
    </row>
    <row r="1475" spans="1:7">
      <c r="A1475" s="1">
        <v>44504</v>
      </c>
      <c r="B1475">
        <v>47559</v>
      </c>
      <c r="C1475">
        <f>_xlfn.XLOOKUP(A1475, USD!A:A, USD!B:B, "")</f>
        <v>74.548000000000002</v>
      </c>
      <c r="D1475">
        <f>_xlfn.XLOOKUP(A1475, Brent!A:A, Brent!B:B, "")</f>
        <v>80.150000000000006</v>
      </c>
      <c r="E1475">
        <f>_xlfn.XLOOKUP(
  A1475,
  Repo!A:A,
  Repo!B:B,
  "",
  -1
)</f>
        <v>4</v>
      </c>
      <c r="F1475" s="10">
        <f>_xlfn.XLOOKUP(
  A1475,
  CPI!D:D,
  CPI!C:C,
  "",
  -1
)</f>
        <v>4.91</v>
      </c>
      <c r="G1475">
        <v>46961</v>
      </c>
    </row>
    <row r="1476" spans="1:7">
      <c r="A1476" s="1">
        <v>44505</v>
      </c>
      <c r="B1476">
        <v>47959</v>
      </c>
      <c r="C1476">
        <f>_xlfn.XLOOKUP(A1476, USD!A:A, USD!B:B, "")</f>
        <v>74.191000000000003</v>
      </c>
      <c r="D1476">
        <f>_xlfn.XLOOKUP(A1476, Brent!A:A, Brent!B:B, "")</f>
        <v>82.43</v>
      </c>
      <c r="E1476">
        <f>_xlfn.XLOOKUP(
  A1476,
  Repo!A:A,
  Repo!B:B,
  "",
  -1
)</f>
        <v>4</v>
      </c>
      <c r="F1476" s="10">
        <f>_xlfn.XLOOKUP(
  A1476,
  CPI!D:D,
  CPI!C:C,
  "",
  -1
)</f>
        <v>4.91</v>
      </c>
      <c r="G1476">
        <v>47559</v>
      </c>
    </row>
    <row r="1477" spans="1:7">
      <c r="A1477" s="1">
        <v>44508</v>
      </c>
      <c r="B1477">
        <v>48025</v>
      </c>
      <c r="C1477">
        <f>_xlfn.XLOOKUP(A1477, USD!A:A, USD!B:B, "")</f>
        <v>73.921000000000006</v>
      </c>
      <c r="D1477">
        <f>_xlfn.XLOOKUP(A1477, Brent!A:A, Brent!B:B, "")</f>
        <v>83.22</v>
      </c>
      <c r="E1477">
        <f>_xlfn.XLOOKUP(
  A1477,
  Repo!A:A,
  Repo!B:B,
  "",
  -1
)</f>
        <v>4</v>
      </c>
      <c r="F1477" s="10">
        <f>_xlfn.XLOOKUP(
  A1477,
  CPI!D:D,
  CPI!C:C,
  "",
  -1
)</f>
        <v>4.91</v>
      </c>
      <c r="G1477">
        <v>47959</v>
      </c>
    </row>
    <row r="1478" spans="1:7">
      <c r="A1478" s="1">
        <v>44509</v>
      </c>
      <c r="B1478">
        <v>48263</v>
      </c>
      <c r="C1478">
        <f>_xlfn.XLOOKUP(A1478, USD!A:A, USD!B:B, "")</f>
        <v>74.174999999999997</v>
      </c>
      <c r="D1478">
        <f>_xlfn.XLOOKUP(A1478, Brent!A:A, Brent!B:B, "")</f>
        <v>84.52</v>
      </c>
      <c r="E1478">
        <f>_xlfn.XLOOKUP(
  A1478,
  Repo!A:A,
  Repo!B:B,
  "",
  -1
)</f>
        <v>4</v>
      </c>
      <c r="F1478" s="10">
        <f>_xlfn.XLOOKUP(
  A1478,
  CPI!D:D,
  CPI!C:C,
  "",
  -1
)</f>
        <v>4.91</v>
      </c>
      <c r="G1478">
        <v>48025</v>
      </c>
    </row>
    <row r="1479" spans="1:7">
      <c r="A1479" s="1">
        <v>44510</v>
      </c>
      <c r="B1479">
        <v>48857</v>
      </c>
      <c r="C1479">
        <f>_xlfn.XLOOKUP(A1479, USD!A:A, USD!B:B, "")</f>
        <v>74.415000000000006</v>
      </c>
      <c r="D1479">
        <f>_xlfn.XLOOKUP(A1479, Brent!A:A, Brent!B:B, "")</f>
        <v>82.91</v>
      </c>
      <c r="E1479">
        <f>_xlfn.XLOOKUP(
  A1479,
  Repo!A:A,
  Repo!B:B,
  "",
  -1
)</f>
        <v>4</v>
      </c>
      <c r="F1479" s="10">
        <f>_xlfn.XLOOKUP(
  A1479,
  CPI!D:D,
  CPI!C:C,
  "",
  -1
)</f>
        <v>4.91</v>
      </c>
      <c r="G1479">
        <v>48263</v>
      </c>
    </row>
    <row r="1480" spans="1:7">
      <c r="A1480" s="1">
        <v>44511</v>
      </c>
      <c r="B1480">
        <v>49208</v>
      </c>
      <c r="C1480">
        <f>_xlfn.XLOOKUP(A1480, USD!A:A, USD!B:B, "")</f>
        <v>74.311999999999998</v>
      </c>
      <c r="D1480">
        <f>_xlfn.XLOOKUP(A1480, Brent!A:A, Brent!B:B, "")</f>
        <v>83.4</v>
      </c>
      <c r="E1480">
        <f>_xlfn.XLOOKUP(
  A1480,
  Repo!A:A,
  Repo!B:B,
  "",
  -1
)</f>
        <v>4</v>
      </c>
      <c r="F1480" s="10">
        <f>_xlfn.XLOOKUP(
  A1480,
  CPI!D:D,
  CPI!C:C,
  "",
  -1
)</f>
        <v>4.91</v>
      </c>
      <c r="G1480">
        <v>48857</v>
      </c>
    </row>
    <row r="1481" spans="1:7">
      <c r="A1481" s="1">
        <v>44512</v>
      </c>
      <c r="B1481">
        <v>49277</v>
      </c>
      <c r="C1481">
        <f>_xlfn.XLOOKUP(A1481, USD!A:A, USD!B:B, "")</f>
        <v>74.346999999999994</v>
      </c>
      <c r="D1481">
        <f>_xlfn.XLOOKUP(A1481, Brent!A:A, Brent!B:B, "")</f>
        <v>82.9</v>
      </c>
      <c r="E1481">
        <f>_xlfn.XLOOKUP(
  A1481,
  Repo!A:A,
  Repo!B:B,
  "",
  -1
)</f>
        <v>4</v>
      </c>
      <c r="F1481" s="10">
        <f>_xlfn.XLOOKUP(
  A1481,
  CPI!D:D,
  CPI!C:C,
  "",
  -1
)</f>
        <v>4.91</v>
      </c>
      <c r="G1481">
        <v>49208</v>
      </c>
    </row>
    <row r="1482" spans="1:7">
      <c r="A1482" s="1">
        <v>44515</v>
      </c>
      <c r="B1482">
        <v>49269</v>
      </c>
      <c r="C1482">
        <f>_xlfn.XLOOKUP(A1482, USD!A:A, USD!B:B, "")</f>
        <v>74.403999999999996</v>
      </c>
      <c r="D1482">
        <f>_xlfn.XLOOKUP(A1482, Brent!A:A, Brent!B:B, "")</f>
        <v>81.94</v>
      </c>
      <c r="E1482">
        <f>_xlfn.XLOOKUP(
  A1482,
  Repo!A:A,
  Repo!B:B,
  "",
  -1
)</f>
        <v>4</v>
      </c>
      <c r="F1482" s="10">
        <f>_xlfn.XLOOKUP(
  A1482,
  CPI!D:D,
  CPI!C:C,
  "",
  -1
)</f>
        <v>4.91</v>
      </c>
      <c r="G1482">
        <v>49277</v>
      </c>
    </row>
    <row r="1483" spans="1:7">
      <c r="A1483" s="1">
        <v>44516</v>
      </c>
      <c r="B1483">
        <v>49038</v>
      </c>
      <c r="C1483">
        <f>_xlfn.XLOOKUP(A1483, USD!A:A, USD!B:B, "")</f>
        <v>74.456999999999994</v>
      </c>
      <c r="D1483">
        <f>_xlfn.XLOOKUP(A1483, Brent!A:A, Brent!B:B, "")</f>
        <v>82.85</v>
      </c>
      <c r="E1483">
        <f>_xlfn.XLOOKUP(
  A1483,
  Repo!A:A,
  Repo!B:B,
  "",
  -1
)</f>
        <v>4</v>
      </c>
      <c r="F1483" s="10">
        <f>_xlfn.XLOOKUP(
  A1483,
  CPI!D:D,
  CPI!C:C,
  "",
  -1
)</f>
        <v>4.91</v>
      </c>
      <c r="G1483">
        <v>49269</v>
      </c>
    </row>
    <row r="1484" spans="1:7">
      <c r="A1484" s="1">
        <v>44517</v>
      </c>
      <c r="B1484">
        <v>49262</v>
      </c>
      <c r="C1484">
        <f>_xlfn.XLOOKUP(A1484, USD!A:A, USD!B:B, "")</f>
        <v>74.254999999999995</v>
      </c>
      <c r="D1484">
        <f>_xlfn.XLOOKUP(A1484, Brent!A:A, Brent!B:B, "")</f>
        <v>80.67</v>
      </c>
      <c r="E1484">
        <f>_xlfn.XLOOKUP(
  A1484,
  Repo!A:A,
  Repo!B:B,
  "",
  -1
)</f>
        <v>4</v>
      </c>
      <c r="F1484" s="10">
        <f>_xlfn.XLOOKUP(
  A1484,
  CPI!D:D,
  CPI!C:C,
  "",
  -1
)</f>
        <v>4.91</v>
      </c>
      <c r="G1484">
        <v>49038</v>
      </c>
    </row>
    <row r="1485" spans="1:7">
      <c r="A1485" s="1">
        <v>44518</v>
      </c>
      <c r="B1485">
        <v>49047</v>
      </c>
      <c r="C1485">
        <f>_xlfn.XLOOKUP(A1485, USD!A:A, USD!B:B, "")</f>
        <v>74.165000000000006</v>
      </c>
      <c r="D1485">
        <f>_xlfn.XLOOKUP(A1485, Brent!A:A, Brent!B:B, "")</f>
        <v>82.45</v>
      </c>
      <c r="E1485">
        <f>_xlfn.XLOOKUP(
  A1485,
  Repo!A:A,
  Repo!B:B,
  "",
  -1
)</f>
        <v>4</v>
      </c>
      <c r="F1485" s="10">
        <f>_xlfn.XLOOKUP(
  A1485,
  CPI!D:D,
  CPI!C:C,
  "",
  -1
)</f>
        <v>4.91</v>
      </c>
      <c r="G1485">
        <v>49262</v>
      </c>
    </row>
    <row r="1486" spans="1:7">
      <c r="A1486" s="1">
        <v>44519</v>
      </c>
      <c r="B1486">
        <v>48829</v>
      </c>
      <c r="C1486">
        <f>_xlfn.XLOOKUP(A1486, USD!A:A, USD!B:B, "")</f>
        <v>74.349999999999994</v>
      </c>
      <c r="D1486">
        <f>_xlfn.XLOOKUP(A1486, Brent!A:A, Brent!B:B, "")</f>
        <v>80.239999999999995</v>
      </c>
      <c r="E1486">
        <f>_xlfn.XLOOKUP(
  A1486,
  Repo!A:A,
  Repo!B:B,
  "",
  -1
)</f>
        <v>4</v>
      </c>
      <c r="F1486" s="10">
        <f>_xlfn.XLOOKUP(
  A1486,
  CPI!D:D,
  CPI!C:C,
  "",
  -1
)</f>
        <v>4.91</v>
      </c>
      <c r="G1486">
        <v>49047</v>
      </c>
    </row>
    <row r="1487" spans="1:7">
      <c r="A1487" s="1">
        <v>44522</v>
      </c>
      <c r="B1487">
        <v>47963</v>
      </c>
      <c r="C1487">
        <f>_xlfn.XLOOKUP(A1487, USD!A:A, USD!B:B, "")</f>
        <v>74.444999999999993</v>
      </c>
      <c r="D1487">
        <f>_xlfn.XLOOKUP(A1487, Brent!A:A, Brent!B:B, "")</f>
        <v>80.97</v>
      </c>
      <c r="E1487">
        <f>_xlfn.XLOOKUP(
  A1487,
  Repo!A:A,
  Repo!B:B,
  "",
  -1
)</f>
        <v>4</v>
      </c>
      <c r="F1487" s="10">
        <f>_xlfn.XLOOKUP(
  A1487,
  CPI!D:D,
  CPI!C:C,
  "",
  -1
)</f>
        <v>4.91</v>
      </c>
      <c r="G1487">
        <v>48829</v>
      </c>
    </row>
    <row r="1488" spans="1:7">
      <c r="A1488" s="1">
        <v>44523</v>
      </c>
      <c r="B1488">
        <v>47460</v>
      </c>
      <c r="C1488">
        <f>_xlfn.XLOOKUP(A1488, USD!A:A, USD!B:B, "")</f>
        <v>74.447000000000003</v>
      </c>
      <c r="D1488">
        <f>_xlfn.XLOOKUP(A1488, Brent!A:A, Brent!B:B, "")</f>
        <v>83.43</v>
      </c>
      <c r="E1488">
        <f>_xlfn.XLOOKUP(
  A1488,
  Repo!A:A,
  Repo!B:B,
  "",
  -1
)</f>
        <v>4</v>
      </c>
      <c r="F1488" s="10">
        <f>_xlfn.XLOOKUP(
  A1488,
  CPI!D:D,
  CPI!C:C,
  "",
  -1
)</f>
        <v>4.91</v>
      </c>
      <c r="G1488">
        <v>47963</v>
      </c>
    </row>
    <row r="1489" spans="1:7">
      <c r="A1489" s="1">
        <v>44524</v>
      </c>
      <c r="B1489">
        <v>47469</v>
      </c>
      <c r="C1489">
        <f>_xlfn.XLOOKUP(A1489, USD!A:A, USD!B:B, "")</f>
        <v>74.622</v>
      </c>
      <c r="D1489">
        <f>_xlfn.XLOOKUP(A1489, Brent!A:A, Brent!B:B, "")</f>
        <v>82.37</v>
      </c>
      <c r="E1489">
        <f>_xlfn.XLOOKUP(
  A1489,
  Repo!A:A,
  Repo!B:B,
  "",
  -1
)</f>
        <v>4</v>
      </c>
      <c r="F1489" s="10">
        <f>_xlfn.XLOOKUP(
  A1489,
  CPI!D:D,
  CPI!C:C,
  "",
  -1
)</f>
        <v>4.91</v>
      </c>
      <c r="G1489">
        <v>47460</v>
      </c>
    </row>
    <row r="1490" spans="1:7">
      <c r="A1490" s="1">
        <v>44525</v>
      </c>
      <c r="B1490">
        <v>47444</v>
      </c>
      <c r="C1490">
        <f>_xlfn.XLOOKUP(A1490, USD!A:A, USD!B:B, "")</f>
        <v>74.501999999999995</v>
      </c>
      <c r="D1490">
        <f>_xlfn.XLOOKUP(A1490, Brent!A:A, Brent!B:B, "")</f>
        <v>82.05</v>
      </c>
      <c r="E1490">
        <f>_xlfn.XLOOKUP(
  A1490,
  Repo!A:A,
  Repo!B:B,
  "",
  -1
)</f>
        <v>4</v>
      </c>
      <c r="F1490" s="10">
        <f>_xlfn.XLOOKUP(
  A1490,
  CPI!D:D,
  CPI!C:C,
  "",
  -1
)</f>
        <v>4.91</v>
      </c>
      <c r="G1490">
        <v>47469</v>
      </c>
    </row>
    <row r="1491" spans="1:7">
      <c r="A1491" s="1">
        <v>44526</v>
      </c>
      <c r="B1491">
        <v>47610</v>
      </c>
      <c r="C1491">
        <f>_xlfn.XLOOKUP(A1491, USD!A:A, USD!B:B, "")</f>
        <v>75.064999999999998</v>
      </c>
      <c r="D1491">
        <f>_xlfn.XLOOKUP(A1491, Brent!A:A, Brent!B:B, "")</f>
        <v>72.37</v>
      </c>
      <c r="E1491">
        <f>_xlfn.XLOOKUP(
  A1491,
  Repo!A:A,
  Repo!B:B,
  "",
  -1
)</f>
        <v>4</v>
      </c>
      <c r="F1491" s="10">
        <f>_xlfn.XLOOKUP(
  A1491,
  CPI!D:D,
  CPI!C:C,
  "",
  -1
)</f>
        <v>4.91</v>
      </c>
      <c r="G1491">
        <v>47444</v>
      </c>
    </row>
    <row r="1492" spans="1:7">
      <c r="A1492" s="1">
        <v>44529</v>
      </c>
      <c r="B1492">
        <v>47613</v>
      </c>
      <c r="C1492">
        <f>_xlfn.XLOOKUP(A1492, USD!A:A, USD!B:B, "")</f>
        <v>75.05</v>
      </c>
      <c r="D1492">
        <f>_xlfn.XLOOKUP(A1492, Brent!A:A, Brent!B:B, "")</f>
        <v>73.34</v>
      </c>
      <c r="E1492">
        <f>_xlfn.XLOOKUP(
  A1492,
  Repo!A:A,
  Repo!B:B,
  "",
  -1
)</f>
        <v>4</v>
      </c>
      <c r="F1492" s="10">
        <f>_xlfn.XLOOKUP(
  A1492,
  CPI!D:D,
  CPI!C:C,
  "",
  -1
)</f>
        <v>4.91</v>
      </c>
      <c r="G1492">
        <v>47610</v>
      </c>
    </row>
    <row r="1493" spans="1:7">
      <c r="A1493" s="1">
        <v>44530</v>
      </c>
      <c r="B1493">
        <v>47439</v>
      </c>
      <c r="C1493">
        <f>_xlfn.XLOOKUP(A1493, USD!A:A, USD!B:B, "")</f>
        <v>75.099999999999994</v>
      </c>
      <c r="D1493">
        <f>_xlfn.XLOOKUP(A1493, Brent!A:A, Brent!B:B, "")</f>
        <v>70.86</v>
      </c>
      <c r="E1493">
        <f>_xlfn.XLOOKUP(
  A1493,
  Repo!A:A,
  Repo!B:B,
  "",
  -1
)</f>
        <v>4</v>
      </c>
      <c r="F1493" s="10">
        <f>_xlfn.XLOOKUP(
  A1493,
  CPI!D:D,
  CPI!C:C,
  "",
  -1
)</f>
        <v>4.91</v>
      </c>
      <c r="G1493">
        <v>47613</v>
      </c>
    </row>
    <row r="1494" spans="1:7">
      <c r="A1494" s="1">
        <v>44531</v>
      </c>
      <c r="B1494">
        <v>47525</v>
      </c>
      <c r="C1494">
        <f>_xlfn.XLOOKUP(A1494, USD!A:A, USD!B:B, "")</f>
        <v>75.021000000000001</v>
      </c>
      <c r="D1494">
        <f>_xlfn.XLOOKUP(A1494, Brent!A:A, Brent!B:B, "")</f>
        <v>69.53</v>
      </c>
      <c r="E1494">
        <f>_xlfn.XLOOKUP(
  A1494,
  Repo!A:A,
  Repo!B:B,
  "",
  -1
)</f>
        <v>4</v>
      </c>
      <c r="F1494" s="10">
        <f>_xlfn.XLOOKUP(
  A1494,
  CPI!D:D,
  CPI!C:C,
  "",
  -1
)</f>
        <v>5.66</v>
      </c>
      <c r="G1494">
        <v>47439</v>
      </c>
    </row>
    <row r="1495" spans="1:7">
      <c r="A1495" s="1">
        <v>44532</v>
      </c>
      <c r="B1495">
        <v>47307</v>
      </c>
      <c r="C1495">
        <f>_xlfn.XLOOKUP(A1495, USD!A:A, USD!B:B, "")</f>
        <v>74.989000000000004</v>
      </c>
      <c r="D1495">
        <f>_xlfn.XLOOKUP(A1495, Brent!A:A, Brent!B:B, "")</f>
        <v>70.56</v>
      </c>
      <c r="E1495">
        <f>_xlfn.XLOOKUP(
  A1495,
  Repo!A:A,
  Repo!B:B,
  "",
  -1
)</f>
        <v>4</v>
      </c>
      <c r="F1495" s="10">
        <f>_xlfn.XLOOKUP(
  A1495,
  CPI!D:D,
  CPI!C:C,
  "",
  -1
)</f>
        <v>5.66</v>
      </c>
      <c r="G1495">
        <v>47525</v>
      </c>
    </row>
    <row r="1496" spans="1:7">
      <c r="A1496" s="1">
        <v>44533</v>
      </c>
      <c r="B1496">
        <v>47425</v>
      </c>
      <c r="C1496">
        <f>_xlfn.XLOOKUP(A1496, USD!A:A, USD!B:B, "")</f>
        <v>75.241</v>
      </c>
      <c r="D1496">
        <f>_xlfn.XLOOKUP(A1496, Brent!A:A, Brent!B:B, "")</f>
        <v>70.709999999999994</v>
      </c>
      <c r="E1496">
        <f>_xlfn.XLOOKUP(
  A1496,
  Repo!A:A,
  Repo!B:B,
  "",
  -1
)</f>
        <v>4</v>
      </c>
      <c r="F1496" s="10">
        <f>_xlfn.XLOOKUP(
  A1496,
  CPI!D:D,
  CPI!C:C,
  "",
  -1
)</f>
        <v>5.66</v>
      </c>
      <c r="G1496">
        <v>47307</v>
      </c>
    </row>
    <row r="1497" spans="1:7">
      <c r="A1497" s="1">
        <v>44536</v>
      </c>
      <c r="B1497">
        <v>47787</v>
      </c>
      <c r="C1497">
        <f>_xlfn.XLOOKUP(A1497, USD!A:A, USD!B:B, "")</f>
        <v>75.394999999999996</v>
      </c>
      <c r="D1497">
        <f>_xlfn.XLOOKUP(A1497, Brent!A:A, Brent!B:B, "")</f>
        <v>73.38</v>
      </c>
      <c r="E1497">
        <f>_xlfn.XLOOKUP(
  A1497,
  Repo!A:A,
  Repo!B:B,
  "",
  -1
)</f>
        <v>4</v>
      </c>
      <c r="F1497" s="10">
        <f>_xlfn.XLOOKUP(
  A1497,
  CPI!D:D,
  CPI!C:C,
  "",
  -1
)</f>
        <v>5.66</v>
      </c>
      <c r="G1497">
        <v>47425</v>
      </c>
    </row>
    <row r="1498" spans="1:7">
      <c r="A1498" s="1">
        <v>44537</v>
      </c>
      <c r="B1498">
        <v>47922</v>
      </c>
      <c r="C1498">
        <f>_xlfn.XLOOKUP(A1498, USD!A:A, USD!B:B, "")</f>
        <v>75.409000000000006</v>
      </c>
      <c r="D1498">
        <f>_xlfn.XLOOKUP(A1498, Brent!A:A, Brent!B:B, "")</f>
        <v>75.540000000000006</v>
      </c>
      <c r="E1498">
        <f>_xlfn.XLOOKUP(
  A1498,
  Repo!A:A,
  Repo!B:B,
  "",
  -1
)</f>
        <v>4</v>
      </c>
      <c r="F1498" s="10">
        <f>_xlfn.XLOOKUP(
  A1498,
  CPI!D:D,
  CPI!C:C,
  "",
  -1
)</f>
        <v>5.66</v>
      </c>
      <c r="G1498">
        <v>47787</v>
      </c>
    </row>
    <row r="1499" spans="1:7">
      <c r="A1499" s="1">
        <v>44538</v>
      </c>
      <c r="B1499">
        <v>47900</v>
      </c>
      <c r="C1499">
        <f>_xlfn.XLOOKUP(A1499, USD!A:A, USD!B:B, "")</f>
        <v>75.384</v>
      </c>
      <c r="D1499">
        <f>_xlfn.XLOOKUP(A1499, Brent!A:A, Brent!B:B, "")</f>
        <v>75.94</v>
      </c>
      <c r="E1499">
        <f>_xlfn.XLOOKUP(
  A1499,
  Repo!A:A,
  Repo!B:B,
  "",
  -1
)</f>
        <v>4</v>
      </c>
      <c r="F1499" s="10">
        <f>_xlfn.XLOOKUP(
  A1499,
  CPI!D:D,
  CPI!C:C,
  "",
  -1
)</f>
        <v>5.66</v>
      </c>
      <c r="G1499">
        <v>47922</v>
      </c>
    </row>
    <row r="1500" spans="1:7">
      <c r="A1500" s="1">
        <v>44539</v>
      </c>
      <c r="B1500">
        <v>47802</v>
      </c>
      <c r="C1500">
        <f>_xlfn.XLOOKUP(A1500, USD!A:A, USD!B:B, "")</f>
        <v>75.599000000000004</v>
      </c>
      <c r="D1500">
        <f>_xlfn.XLOOKUP(A1500, Brent!A:A, Brent!B:B, "")</f>
        <v>74.099999999999994</v>
      </c>
      <c r="E1500">
        <f>_xlfn.XLOOKUP(
  A1500,
  Repo!A:A,
  Repo!B:B,
  "",
  -1
)</f>
        <v>4</v>
      </c>
      <c r="F1500" s="10">
        <f>_xlfn.XLOOKUP(
  A1500,
  CPI!D:D,
  CPI!C:C,
  "",
  -1
)</f>
        <v>5.66</v>
      </c>
      <c r="G1500">
        <v>47900</v>
      </c>
    </row>
    <row r="1501" spans="1:7">
      <c r="A1501" s="1">
        <v>44540</v>
      </c>
      <c r="B1501">
        <v>47993</v>
      </c>
      <c r="C1501">
        <f>_xlfn.XLOOKUP(A1501, USD!A:A, USD!B:B, "")</f>
        <v>75.718000000000004</v>
      </c>
      <c r="D1501">
        <f>_xlfn.XLOOKUP(A1501, Brent!A:A, Brent!B:B, "")</f>
        <v>74.98</v>
      </c>
      <c r="E1501">
        <f>_xlfn.XLOOKUP(
  A1501,
  Repo!A:A,
  Repo!B:B,
  "",
  -1
)</f>
        <v>4</v>
      </c>
      <c r="F1501" s="10">
        <f>_xlfn.XLOOKUP(
  A1501,
  CPI!D:D,
  CPI!C:C,
  "",
  -1
)</f>
        <v>5.66</v>
      </c>
      <c r="G1501">
        <v>47802</v>
      </c>
    </row>
    <row r="1502" spans="1:7">
      <c r="A1502" s="1">
        <v>44543</v>
      </c>
      <c r="B1502">
        <v>48106</v>
      </c>
      <c r="C1502">
        <f>_xlfn.XLOOKUP(A1502, USD!A:A, USD!B:B, "")</f>
        <v>75.77</v>
      </c>
      <c r="D1502">
        <f>_xlfn.XLOOKUP(A1502, Brent!A:A, Brent!B:B, "")</f>
        <v>74.12</v>
      </c>
      <c r="E1502">
        <f>_xlfn.XLOOKUP(
  A1502,
  Repo!A:A,
  Repo!B:B,
  "",
  -1
)</f>
        <v>4</v>
      </c>
      <c r="F1502" s="10">
        <f>_xlfn.XLOOKUP(
  A1502,
  CPI!D:D,
  CPI!C:C,
  "",
  -1
)</f>
        <v>5.66</v>
      </c>
      <c r="G1502">
        <v>47993</v>
      </c>
    </row>
    <row r="1503" spans="1:7">
      <c r="A1503" s="1">
        <v>44544</v>
      </c>
      <c r="B1503">
        <v>47895</v>
      </c>
      <c r="C1503">
        <f>_xlfn.XLOOKUP(A1503, USD!A:A, USD!B:B, "")</f>
        <v>76.045000000000002</v>
      </c>
      <c r="D1503">
        <f>_xlfn.XLOOKUP(A1503, Brent!A:A, Brent!B:B, "")</f>
        <v>73.37</v>
      </c>
      <c r="E1503">
        <f>_xlfn.XLOOKUP(
  A1503,
  Repo!A:A,
  Repo!B:B,
  "",
  -1
)</f>
        <v>4</v>
      </c>
      <c r="F1503" s="10">
        <f>_xlfn.XLOOKUP(
  A1503,
  CPI!D:D,
  CPI!C:C,
  "",
  -1
)</f>
        <v>5.66</v>
      </c>
      <c r="G1503">
        <v>48106</v>
      </c>
    </row>
    <row r="1504" spans="1:7">
      <c r="A1504" s="1">
        <v>44545</v>
      </c>
      <c r="B1504">
        <v>47900</v>
      </c>
      <c r="C1504">
        <f>_xlfn.XLOOKUP(A1504, USD!A:A, USD!B:B, "")</f>
        <v>76.355000000000004</v>
      </c>
      <c r="D1504">
        <f>_xlfn.XLOOKUP(A1504, Brent!A:A, Brent!B:B, "")</f>
        <v>73.709999999999994</v>
      </c>
      <c r="E1504">
        <f>_xlfn.XLOOKUP(
  A1504,
  Repo!A:A,
  Repo!B:B,
  "",
  -1
)</f>
        <v>4</v>
      </c>
      <c r="F1504" s="10">
        <f>_xlfn.XLOOKUP(
  A1504,
  CPI!D:D,
  CPI!C:C,
  "",
  -1
)</f>
        <v>5.66</v>
      </c>
      <c r="G1504">
        <v>47895</v>
      </c>
    </row>
    <row r="1505" spans="1:7">
      <c r="A1505" s="1">
        <v>44546</v>
      </c>
      <c r="B1505">
        <v>48407</v>
      </c>
      <c r="C1505">
        <f>_xlfn.XLOOKUP(A1505, USD!A:A, USD!B:B, "")</f>
        <v>76.183999999999997</v>
      </c>
      <c r="D1505">
        <f>_xlfn.XLOOKUP(A1505, Brent!A:A, Brent!B:B, "")</f>
        <v>74.64</v>
      </c>
      <c r="E1505">
        <f>_xlfn.XLOOKUP(
  A1505,
  Repo!A:A,
  Repo!B:B,
  "",
  -1
)</f>
        <v>4</v>
      </c>
      <c r="F1505" s="10">
        <f>_xlfn.XLOOKUP(
  A1505,
  CPI!D:D,
  CPI!C:C,
  "",
  -1
)</f>
        <v>5.66</v>
      </c>
      <c r="G1505">
        <v>47900</v>
      </c>
    </row>
    <row r="1506" spans="1:7">
      <c r="A1506" s="1">
        <v>44547</v>
      </c>
      <c r="B1506">
        <v>48467</v>
      </c>
      <c r="C1506">
        <f>_xlfn.XLOOKUP(A1506, USD!A:A, USD!B:B, "")</f>
        <v>76.013000000000005</v>
      </c>
      <c r="D1506">
        <f>_xlfn.XLOOKUP(A1506, Brent!A:A, Brent!B:B, "")</f>
        <v>72.97</v>
      </c>
      <c r="E1506">
        <f>_xlfn.XLOOKUP(
  A1506,
  Repo!A:A,
  Repo!B:B,
  "",
  -1
)</f>
        <v>4</v>
      </c>
      <c r="F1506" s="10">
        <f>_xlfn.XLOOKUP(
  A1506,
  CPI!D:D,
  CPI!C:C,
  "",
  -1
)</f>
        <v>5.66</v>
      </c>
      <c r="G1506">
        <v>48407</v>
      </c>
    </row>
    <row r="1507" spans="1:7">
      <c r="A1507" s="1">
        <v>44550</v>
      </c>
      <c r="B1507">
        <v>48130</v>
      </c>
      <c r="C1507">
        <f>_xlfn.XLOOKUP(A1507, USD!A:A, USD!B:B, "")</f>
        <v>75.73</v>
      </c>
      <c r="D1507">
        <f>_xlfn.XLOOKUP(A1507, Brent!A:A, Brent!B:B, "")</f>
        <v>70.510000000000005</v>
      </c>
      <c r="E1507">
        <f>_xlfn.XLOOKUP(
  A1507,
  Repo!A:A,
  Repo!B:B,
  "",
  -1
)</f>
        <v>4</v>
      </c>
      <c r="F1507" s="10">
        <f>_xlfn.XLOOKUP(
  A1507,
  CPI!D:D,
  CPI!C:C,
  "",
  -1
)</f>
        <v>5.66</v>
      </c>
      <c r="G1507">
        <v>48467</v>
      </c>
    </row>
    <row r="1508" spans="1:7">
      <c r="A1508" s="1">
        <v>44551</v>
      </c>
      <c r="B1508">
        <v>47933</v>
      </c>
      <c r="C1508">
        <f>_xlfn.XLOOKUP(A1508, USD!A:A, USD!B:B, "")</f>
        <v>75.704999999999998</v>
      </c>
      <c r="D1508">
        <f>_xlfn.XLOOKUP(A1508, Brent!A:A, Brent!B:B, "")</f>
        <v>72.849999999999994</v>
      </c>
      <c r="E1508">
        <f>_xlfn.XLOOKUP(
  A1508,
  Repo!A:A,
  Repo!B:B,
  "",
  -1
)</f>
        <v>4</v>
      </c>
      <c r="F1508" s="10">
        <f>_xlfn.XLOOKUP(
  A1508,
  CPI!D:D,
  CPI!C:C,
  "",
  -1
)</f>
        <v>5.66</v>
      </c>
      <c r="G1508">
        <v>48130</v>
      </c>
    </row>
    <row r="1509" spans="1:7">
      <c r="A1509" s="1">
        <v>44552</v>
      </c>
      <c r="B1509">
        <v>48026</v>
      </c>
      <c r="C1509">
        <f>_xlfn.XLOOKUP(A1509, USD!A:A, USD!B:B, "")</f>
        <v>75.459999999999994</v>
      </c>
      <c r="D1509">
        <f>_xlfn.XLOOKUP(A1509, Brent!A:A, Brent!B:B, "")</f>
        <v>74.69</v>
      </c>
      <c r="E1509">
        <f>_xlfn.XLOOKUP(
  A1509,
  Repo!A:A,
  Repo!B:B,
  "",
  -1
)</f>
        <v>4</v>
      </c>
      <c r="F1509" s="10">
        <f>_xlfn.XLOOKUP(
  A1509,
  CPI!D:D,
  CPI!C:C,
  "",
  -1
)</f>
        <v>5.66</v>
      </c>
      <c r="G1509">
        <v>47933</v>
      </c>
    </row>
    <row r="1510" spans="1:7">
      <c r="A1510" s="1">
        <v>44553</v>
      </c>
      <c r="B1510">
        <v>48012</v>
      </c>
      <c r="C1510">
        <f>_xlfn.XLOOKUP(A1510, USD!A:A, USD!B:B, "")</f>
        <v>75.034999999999997</v>
      </c>
      <c r="D1510">
        <f>_xlfn.XLOOKUP(A1510, Brent!A:A, Brent!B:B, "")</f>
        <v>76.260000000000005</v>
      </c>
      <c r="E1510">
        <f>_xlfn.XLOOKUP(
  A1510,
  Repo!A:A,
  Repo!B:B,
  "",
  -1
)</f>
        <v>4</v>
      </c>
      <c r="F1510" s="10">
        <f>_xlfn.XLOOKUP(
  A1510,
  CPI!D:D,
  CPI!C:C,
  "",
  -1
)</f>
        <v>5.66</v>
      </c>
      <c r="G1510">
        <v>48026</v>
      </c>
    </row>
    <row r="1511" spans="1:7">
      <c r="A1511" s="1">
        <v>44554</v>
      </c>
      <c r="B1511">
        <v>47982</v>
      </c>
      <c r="C1511">
        <f>_xlfn.XLOOKUP(A1511, USD!A:A, USD!B:B, "")</f>
        <v>75.004000000000005</v>
      </c>
      <c r="D1511">
        <f>_xlfn.XLOOKUP(A1511, Brent!A:A, Brent!B:B, "")</f>
        <v>75.239999999999995</v>
      </c>
      <c r="E1511">
        <f>_xlfn.XLOOKUP(
  A1511,
  Repo!A:A,
  Repo!B:B,
  "",
  -1
)</f>
        <v>4</v>
      </c>
      <c r="F1511" s="10">
        <f>_xlfn.XLOOKUP(
  A1511,
  CPI!D:D,
  CPI!C:C,
  "",
  -1
)</f>
        <v>5.66</v>
      </c>
      <c r="G1511">
        <v>48012</v>
      </c>
    </row>
    <row r="1512" spans="1:7">
      <c r="A1512" s="1">
        <v>44559</v>
      </c>
      <c r="B1512">
        <v>47673</v>
      </c>
      <c r="C1512">
        <f>_xlfn.XLOOKUP(A1512, USD!A:A, USD!B:B, "")</f>
        <v>74.569999999999993</v>
      </c>
      <c r="D1512">
        <f>_xlfn.XLOOKUP(A1512, Brent!A:A, Brent!B:B, "")</f>
        <v>78.63</v>
      </c>
      <c r="E1512">
        <f>_xlfn.XLOOKUP(
  A1512,
  Repo!A:A,
  Repo!B:B,
  "",
  -1
)</f>
        <v>4</v>
      </c>
      <c r="F1512" s="10">
        <f>_xlfn.XLOOKUP(
  A1512,
  CPI!D:D,
  CPI!C:C,
  "",
  -1
)</f>
        <v>5.66</v>
      </c>
      <c r="G1512">
        <v>47982</v>
      </c>
    </row>
    <row r="1513" spans="1:7">
      <c r="A1513" s="1">
        <v>44560</v>
      </c>
      <c r="B1513">
        <v>47746</v>
      </c>
      <c r="C1513">
        <f>_xlfn.XLOOKUP(A1513, USD!A:A, USD!B:B, "")</f>
        <v>74.415000000000006</v>
      </c>
      <c r="D1513">
        <f>_xlfn.XLOOKUP(A1513, Brent!A:A, Brent!B:B, "")</f>
        <v>78.61</v>
      </c>
      <c r="E1513">
        <f>_xlfn.XLOOKUP(
  A1513,
  Repo!A:A,
  Repo!B:B,
  "",
  -1
)</f>
        <v>4</v>
      </c>
      <c r="F1513" s="10">
        <f>_xlfn.XLOOKUP(
  A1513,
  CPI!D:D,
  CPI!C:C,
  "",
  -1
)</f>
        <v>5.66</v>
      </c>
      <c r="G1513">
        <v>47673</v>
      </c>
    </row>
    <row r="1514" spans="1:7">
      <c r="A1514" s="1">
        <v>44561</v>
      </c>
      <c r="B1514">
        <v>47994</v>
      </c>
      <c r="C1514">
        <f>_xlfn.XLOOKUP(A1514, USD!A:A, USD!B:B, "")</f>
        <v>74.486000000000004</v>
      </c>
      <c r="D1514">
        <f>_xlfn.XLOOKUP(A1514, Brent!A:A, Brent!B:B, "")</f>
        <v>77.239999999999995</v>
      </c>
      <c r="E1514">
        <f>_xlfn.XLOOKUP(
  A1514,
  Repo!A:A,
  Repo!B:B,
  "",
  -1
)</f>
        <v>4</v>
      </c>
      <c r="F1514" s="10">
        <f>_xlfn.XLOOKUP(
  A1514,
  CPI!D:D,
  CPI!C:C,
  "",
  -1
)</f>
        <v>5.66</v>
      </c>
      <c r="G1514">
        <v>47746</v>
      </c>
    </row>
    <row r="1515" spans="1:7">
      <c r="A1515" s="1">
        <v>44564</v>
      </c>
      <c r="B1515">
        <v>47473</v>
      </c>
      <c r="C1515">
        <f>_xlfn.XLOOKUP(A1515, USD!A:A, USD!B:B, "")</f>
        <v>74.400000000000006</v>
      </c>
      <c r="D1515">
        <f>_xlfn.XLOOKUP(A1515, Brent!A:A, Brent!B:B, "")</f>
        <v>78.25</v>
      </c>
      <c r="E1515">
        <f>_xlfn.XLOOKUP(
  A1515,
  Repo!A:A,
  Repo!B:B,
  "",
  -1
)</f>
        <v>4</v>
      </c>
      <c r="F1515" s="10">
        <f>_xlfn.XLOOKUP(
  A1515,
  CPI!D:D,
  CPI!C:C,
  "",
  -1
)</f>
        <v>6.01</v>
      </c>
      <c r="G1515">
        <v>47994</v>
      </c>
    </row>
    <row r="1516" spans="1:7">
      <c r="A1516" s="1">
        <v>44565</v>
      </c>
      <c r="B1516">
        <v>47763</v>
      </c>
      <c r="C1516">
        <f>_xlfn.XLOOKUP(A1516, USD!A:A, USD!B:B, "")</f>
        <v>74.53</v>
      </c>
      <c r="D1516">
        <f>_xlfn.XLOOKUP(A1516, Brent!A:A, Brent!B:B, "")</f>
        <v>79.39</v>
      </c>
      <c r="E1516">
        <f>_xlfn.XLOOKUP(
  A1516,
  Repo!A:A,
  Repo!B:B,
  "",
  -1
)</f>
        <v>4</v>
      </c>
      <c r="F1516" s="10">
        <f>_xlfn.XLOOKUP(
  A1516,
  CPI!D:D,
  CPI!C:C,
  "",
  -1
)</f>
        <v>6.01</v>
      </c>
      <c r="G1516">
        <v>47473</v>
      </c>
    </row>
    <row r="1517" spans="1:7">
      <c r="A1517" s="1">
        <v>44566</v>
      </c>
      <c r="B1517">
        <v>47974</v>
      </c>
      <c r="C1517">
        <f>_xlfn.XLOOKUP(A1517, USD!A:A, USD!B:B, "")</f>
        <v>74.284999999999997</v>
      </c>
      <c r="D1517">
        <f>_xlfn.XLOOKUP(A1517, Brent!A:A, Brent!B:B, "")</f>
        <v>80.599999999999994</v>
      </c>
      <c r="E1517">
        <f>_xlfn.XLOOKUP(
  A1517,
  Repo!A:A,
  Repo!B:B,
  "",
  -1
)</f>
        <v>4</v>
      </c>
      <c r="F1517" s="10">
        <f>_xlfn.XLOOKUP(
  A1517,
  CPI!D:D,
  CPI!C:C,
  "",
  -1
)</f>
        <v>6.01</v>
      </c>
      <c r="G1517">
        <v>47763</v>
      </c>
    </row>
    <row r="1518" spans="1:7">
      <c r="A1518" s="1">
        <v>44567</v>
      </c>
      <c r="B1518">
        <v>47499</v>
      </c>
      <c r="C1518">
        <f>_xlfn.XLOOKUP(A1518, USD!A:A, USD!B:B, "")</f>
        <v>74.385000000000005</v>
      </c>
      <c r="D1518">
        <f>_xlfn.XLOOKUP(A1518, Brent!A:A, Brent!B:B, "")</f>
        <v>81.99</v>
      </c>
      <c r="E1518">
        <f>_xlfn.XLOOKUP(
  A1518,
  Repo!A:A,
  Repo!B:B,
  "",
  -1
)</f>
        <v>4</v>
      </c>
      <c r="F1518" s="10">
        <f>_xlfn.XLOOKUP(
  A1518,
  CPI!D:D,
  CPI!C:C,
  "",
  -1
)</f>
        <v>6.01</v>
      </c>
      <c r="G1518">
        <v>47974</v>
      </c>
    </row>
    <row r="1519" spans="1:7">
      <c r="A1519" s="1">
        <v>44568</v>
      </c>
      <c r="B1519">
        <v>47481</v>
      </c>
      <c r="C1519">
        <f>_xlfn.XLOOKUP(A1519, USD!A:A, USD!B:B, "")</f>
        <v>74.278000000000006</v>
      </c>
      <c r="D1519">
        <f>_xlfn.XLOOKUP(A1519, Brent!A:A, Brent!B:B, "")</f>
        <v>82.28</v>
      </c>
      <c r="E1519">
        <f>_xlfn.XLOOKUP(
  A1519,
  Repo!A:A,
  Repo!B:B,
  "",
  -1
)</f>
        <v>4</v>
      </c>
      <c r="F1519" s="10">
        <f>_xlfn.XLOOKUP(
  A1519,
  CPI!D:D,
  CPI!C:C,
  "",
  -1
)</f>
        <v>6.01</v>
      </c>
      <c r="G1519">
        <v>47499</v>
      </c>
    </row>
    <row r="1520" spans="1:7">
      <c r="A1520" s="1">
        <v>44571</v>
      </c>
      <c r="B1520">
        <v>47471</v>
      </c>
      <c r="C1520">
        <f>_xlfn.XLOOKUP(A1520, USD!A:A, USD!B:B, "")</f>
        <v>74.025000000000006</v>
      </c>
      <c r="D1520">
        <f>_xlfn.XLOOKUP(A1520, Brent!A:A, Brent!B:B, "")</f>
        <v>81.56</v>
      </c>
      <c r="E1520">
        <f>_xlfn.XLOOKUP(
  A1520,
  Repo!A:A,
  Repo!B:B,
  "",
  -1
)</f>
        <v>4</v>
      </c>
      <c r="F1520" s="10">
        <f>_xlfn.XLOOKUP(
  A1520,
  CPI!D:D,
  CPI!C:C,
  "",
  -1
)</f>
        <v>6.01</v>
      </c>
      <c r="G1520">
        <v>47481</v>
      </c>
    </row>
    <row r="1521" spans="1:7">
      <c r="A1521" s="1">
        <v>44572</v>
      </c>
      <c r="B1521">
        <v>47694</v>
      </c>
      <c r="C1521">
        <f>_xlfn.XLOOKUP(A1521, USD!A:A, USD!B:B, "")</f>
        <v>73.816999999999993</v>
      </c>
      <c r="D1521">
        <f>_xlfn.XLOOKUP(A1521, Brent!A:A, Brent!B:B, "")</f>
        <v>84.98</v>
      </c>
      <c r="E1521">
        <f>_xlfn.XLOOKUP(
  A1521,
  Repo!A:A,
  Repo!B:B,
  "",
  -1
)</f>
        <v>4</v>
      </c>
      <c r="F1521" s="10">
        <f>_xlfn.XLOOKUP(
  A1521,
  CPI!D:D,
  CPI!C:C,
  "",
  -1
)</f>
        <v>6.01</v>
      </c>
      <c r="G1521">
        <v>47471</v>
      </c>
    </row>
    <row r="1522" spans="1:7">
      <c r="A1522" s="1">
        <v>44573</v>
      </c>
      <c r="B1522">
        <v>47802</v>
      </c>
      <c r="C1522">
        <f>_xlfn.XLOOKUP(A1522, USD!A:A, USD!B:B, "")</f>
        <v>73.796999999999997</v>
      </c>
      <c r="D1522">
        <f>_xlfn.XLOOKUP(A1522, Brent!A:A, Brent!B:B, "")</f>
        <v>85.83</v>
      </c>
      <c r="E1522">
        <f>_xlfn.XLOOKUP(
  A1522,
  Repo!A:A,
  Repo!B:B,
  "",
  -1
)</f>
        <v>4</v>
      </c>
      <c r="F1522" s="10">
        <f>_xlfn.XLOOKUP(
  A1522,
  CPI!D:D,
  CPI!C:C,
  "",
  -1
)</f>
        <v>6.01</v>
      </c>
      <c r="G1522">
        <v>47694</v>
      </c>
    </row>
    <row r="1523" spans="1:7">
      <c r="A1523" s="1">
        <v>44574</v>
      </c>
      <c r="B1523">
        <v>47759</v>
      </c>
      <c r="C1523">
        <f>_xlfn.XLOOKUP(A1523, USD!A:A, USD!B:B, "")</f>
        <v>73.971999999999994</v>
      </c>
      <c r="D1523">
        <f>_xlfn.XLOOKUP(A1523, Brent!A:A, Brent!B:B, "")</f>
        <v>85.8</v>
      </c>
      <c r="E1523">
        <f>_xlfn.XLOOKUP(
  A1523,
  Repo!A:A,
  Repo!B:B,
  "",
  -1
)</f>
        <v>4</v>
      </c>
      <c r="F1523" s="10">
        <f>_xlfn.XLOOKUP(
  A1523,
  CPI!D:D,
  CPI!C:C,
  "",
  -1
)</f>
        <v>6.01</v>
      </c>
      <c r="G1523">
        <v>47802</v>
      </c>
    </row>
    <row r="1524" spans="1:7">
      <c r="A1524" s="1">
        <v>44575</v>
      </c>
      <c r="B1524">
        <v>47803</v>
      </c>
      <c r="C1524">
        <f>_xlfn.XLOOKUP(A1524, USD!A:A, USD!B:B, "")</f>
        <v>74.156000000000006</v>
      </c>
      <c r="D1524">
        <f>_xlfn.XLOOKUP(A1524, Brent!A:A, Brent!B:B, "")</f>
        <v>87.17</v>
      </c>
      <c r="E1524">
        <f>_xlfn.XLOOKUP(
  A1524,
  Repo!A:A,
  Repo!B:B,
  "",
  -1
)</f>
        <v>4</v>
      </c>
      <c r="F1524" s="10">
        <f>_xlfn.XLOOKUP(
  A1524,
  CPI!D:D,
  CPI!C:C,
  "",
  -1
)</f>
        <v>6.01</v>
      </c>
      <c r="G1524">
        <v>47759</v>
      </c>
    </row>
    <row r="1525" spans="1:7">
      <c r="A1525" s="1">
        <v>44578</v>
      </c>
      <c r="B1525">
        <v>47908</v>
      </c>
      <c r="C1525">
        <f>_xlfn.XLOOKUP(A1525, USD!A:A, USD!B:B, "")</f>
        <v>74.254999999999995</v>
      </c>
      <c r="D1525">
        <f>_xlfn.XLOOKUP(A1525, Brent!A:A, Brent!B:B, "")</f>
        <v>87.82</v>
      </c>
      <c r="E1525">
        <f>_xlfn.XLOOKUP(
  A1525,
  Repo!A:A,
  Repo!B:B,
  "",
  -1
)</f>
        <v>4</v>
      </c>
      <c r="F1525" s="10">
        <f>_xlfn.XLOOKUP(
  A1525,
  CPI!D:D,
  CPI!C:C,
  "",
  -1
)</f>
        <v>6.01</v>
      </c>
      <c r="G1525">
        <v>47803</v>
      </c>
    </row>
    <row r="1526" spans="1:7">
      <c r="A1526" s="1">
        <v>44579</v>
      </c>
      <c r="B1526">
        <v>47926</v>
      </c>
      <c r="C1526">
        <f>_xlfn.XLOOKUP(A1526, USD!A:A, USD!B:B, "")</f>
        <v>74.564999999999998</v>
      </c>
      <c r="D1526">
        <f>_xlfn.XLOOKUP(A1526, Brent!A:A, Brent!B:B, "")</f>
        <v>88.83</v>
      </c>
      <c r="E1526">
        <f>_xlfn.XLOOKUP(
  A1526,
  Repo!A:A,
  Repo!B:B,
  "",
  -1
)</f>
        <v>4</v>
      </c>
      <c r="F1526" s="10">
        <f>_xlfn.XLOOKUP(
  A1526,
  CPI!D:D,
  CPI!C:C,
  "",
  -1
)</f>
        <v>6.01</v>
      </c>
      <c r="G1526">
        <v>47908</v>
      </c>
    </row>
    <row r="1527" spans="1:7">
      <c r="A1527" s="1">
        <v>44580</v>
      </c>
      <c r="B1527">
        <v>48368</v>
      </c>
      <c r="C1527">
        <f>_xlfn.XLOOKUP(A1527, USD!A:A, USD!B:B, "")</f>
        <v>74.454999999999998</v>
      </c>
      <c r="D1527">
        <f>_xlfn.XLOOKUP(A1527, Brent!A:A, Brent!B:B, "")</f>
        <v>89.64</v>
      </c>
      <c r="E1527">
        <f>_xlfn.XLOOKUP(
  A1527,
  Repo!A:A,
  Repo!B:B,
  "",
  -1
)</f>
        <v>4</v>
      </c>
      <c r="F1527" s="10">
        <f>_xlfn.XLOOKUP(
  A1527,
  CPI!D:D,
  CPI!C:C,
  "",
  -1
)</f>
        <v>6.01</v>
      </c>
      <c r="G1527">
        <v>47926</v>
      </c>
    </row>
    <row r="1528" spans="1:7">
      <c r="A1528" s="1">
        <v>44581</v>
      </c>
      <c r="B1528">
        <v>48372</v>
      </c>
      <c r="C1528">
        <f>_xlfn.XLOOKUP(A1528, USD!A:A, USD!B:B, "")</f>
        <v>74.468000000000004</v>
      </c>
      <c r="D1528">
        <f>_xlfn.XLOOKUP(A1528, Brent!A:A, Brent!B:B, "")</f>
        <v>89.75</v>
      </c>
      <c r="E1528">
        <f>_xlfn.XLOOKUP(
  A1528,
  Repo!A:A,
  Repo!B:B,
  "",
  -1
)</f>
        <v>4</v>
      </c>
      <c r="F1528" s="10">
        <f>_xlfn.XLOOKUP(
  A1528,
  CPI!D:D,
  CPI!C:C,
  "",
  -1
)</f>
        <v>6.01</v>
      </c>
      <c r="G1528">
        <v>48368</v>
      </c>
    </row>
    <row r="1529" spans="1:7">
      <c r="A1529" s="1">
        <v>44582</v>
      </c>
      <c r="B1529">
        <v>48243</v>
      </c>
      <c r="C1529">
        <f>_xlfn.XLOOKUP(A1529, USD!A:A, USD!B:B, "")</f>
        <v>74.409000000000006</v>
      </c>
      <c r="D1529">
        <f>_xlfn.XLOOKUP(A1529, Brent!A:A, Brent!B:B, "")</f>
        <v>89.75</v>
      </c>
      <c r="E1529">
        <f>_xlfn.XLOOKUP(
  A1529,
  Repo!A:A,
  Repo!B:B,
  "",
  -1
)</f>
        <v>4</v>
      </c>
      <c r="F1529" s="10">
        <f>_xlfn.XLOOKUP(
  A1529,
  CPI!D:D,
  CPI!C:C,
  "",
  -1
)</f>
        <v>6.01</v>
      </c>
      <c r="G1529">
        <v>48372</v>
      </c>
    </row>
    <row r="1530" spans="1:7">
      <c r="A1530" s="1">
        <v>44585</v>
      </c>
      <c r="B1530">
        <v>48537</v>
      </c>
      <c r="C1530">
        <f>_xlfn.XLOOKUP(A1530, USD!A:A, USD!B:B, "")</f>
        <v>74.641999999999996</v>
      </c>
      <c r="D1530">
        <f>_xlfn.XLOOKUP(A1530, Brent!A:A, Brent!B:B, "")</f>
        <v>87.74</v>
      </c>
      <c r="E1530">
        <f>_xlfn.XLOOKUP(
  A1530,
  Repo!A:A,
  Repo!B:B,
  "",
  -1
)</f>
        <v>4</v>
      </c>
      <c r="F1530" s="10">
        <f>_xlfn.XLOOKUP(
  A1530,
  CPI!D:D,
  CPI!C:C,
  "",
  -1
)</f>
        <v>6.01</v>
      </c>
      <c r="G1530">
        <v>48243</v>
      </c>
    </row>
    <row r="1531" spans="1:7">
      <c r="A1531" s="1">
        <v>44586</v>
      </c>
      <c r="B1531">
        <v>48836</v>
      </c>
      <c r="C1531">
        <f>_xlfn.XLOOKUP(A1531, USD!A:A, USD!B:B, "")</f>
        <v>74.787000000000006</v>
      </c>
      <c r="D1531">
        <f>_xlfn.XLOOKUP(A1531, Brent!A:A, Brent!B:B, "")</f>
        <v>89.49</v>
      </c>
      <c r="E1531">
        <f>_xlfn.XLOOKUP(
  A1531,
  Repo!A:A,
  Repo!B:B,
  "",
  -1
)</f>
        <v>4</v>
      </c>
      <c r="F1531" s="10">
        <f>_xlfn.XLOOKUP(
  A1531,
  CPI!D:D,
  CPI!C:C,
  "",
  -1
)</f>
        <v>6.01</v>
      </c>
      <c r="G1531">
        <v>48537</v>
      </c>
    </row>
    <row r="1532" spans="1:7">
      <c r="A1532" s="1">
        <v>44588</v>
      </c>
      <c r="B1532">
        <v>47974</v>
      </c>
      <c r="C1532">
        <f>_xlfn.XLOOKUP(A1532, USD!A:A, USD!B:B, "")</f>
        <v>75.209000000000003</v>
      </c>
      <c r="D1532">
        <f>_xlfn.XLOOKUP(A1532, Brent!A:A, Brent!B:B, "")</f>
        <v>90.7</v>
      </c>
      <c r="E1532">
        <f>_xlfn.XLOOKUP(
  A1532,
  Repo!A:A,
  Repo!B:B,
  "",
  -1
)</f>
        <v>4</v>
      </c>
      <c r="F1532" s="10">
        <f>_xlfn.XLOOKUP(
  A1532,
  CPI!D:D,
  CPI!C:C,
  "",
  -1
)</f>
        <v>6.01</v>
      </c>
      <c r="G1532">
        <v>48836</v>
      </c>
    </row>
    <row r="1533" spans="1:7">
      <c r="A1533" s="1">
        <v>44589</v>
      </c>
      <c r="B1533">
        <v>47652</v>
      </c>
      <c r="C1533">
        <f>_xlfn.XLOOKUP(A1533, USD!A:A, USD!B:B, "")</f>
        <v>75.046000000000006</v>
      </c>
      <c r="D1533">
        <f>_xlfn.XLOOKUP(A1533, Brent!A:A, Brent!B:B, "")</f>
        <v>91.47</v>
      </c>
      <c r="E1533">
        <f>_xlfn.XLOOKUP(
  A1533,
  Repo!A:A,
  Repo!B:B,
  "",
  -1
)</f>
        <v>4</v>
      </c>
      <c r="F1533" s="10">
        <f>_xlfn.XLOOKUP(
  A1533,
  CPI!D:D,
  CPI!C:C,
  "",
  -1
)</f>
        <v>6.01</v>
      </c>
      <c r="G1533">
        <v>47974</v>
      </c>
    </row>
    <row r="1534" spans="1:7">
      <c r="A1534" s="1">
        <v>44592</v>
      </c>
      <c r="B1534">
        <v>47840</v>
      </c>
      <c r="C1534">
        <f>_xlfn.XLOOKUP(A1534, USD!A:A, USD!B:B, "")</f>
        <v>74.555999999999997</v>
      </c>
      <c r="D1534">
        <f>_xlfn.XLOOKUP(A1534, Brent!A:A, Brent!B:B, "")</f>
        <v>92.35</v>
      </c>
      <c r="E1534">
        <f>_xlfn.XLOOKUP(
  A1534,
  Repo!A:A,
  Repo!B:B,
  "",
  -1
)</f>
        <v>4</v>
      </c>
      <c r="F1534" s="10">
        <f>_xlfn.XLOOKUP(
  A1534,
  CPI!D:D,
  CPI!C:C,
  "",
  -1
)</f>
        <v>6.01</v>
      </c>
      <c r="G1534">
        <v>47652</v>
      </c>
    </row>
    <row r="1535" spans="1:7">
      <c r="A1535" s="1">
        <v>44593</v>
      </c>
      <c r="B1535">
        <v>47966</v>
      </c>
      <c r="C1535">
        <f>_xlfn.XLOOKUP(A1535, USD!A:A, USD!B:B, "")</f>
        <v>74.751000000000005</v>
      </c>
      <c r="D1535">
        <f>_xlfn.XLOOKUP(A1535, Brent!A:A, Brent!B:B, "")</f>
        <v>90.24</v>
      </c>
      <c r="E1535">
        <f>_xlfn.XLOOKUP(
  A1535,
  Repo!A:A,
  Repo!B:B,
  "",
  -1
)</f>
        <v>4</v>
      </c>
      <c r="F1535" s="10">
        <f>_xlfn.XLOOKUP(
  A1535,
  CPI!D:D,
  CPI!C:C,
  "",
  -1
)</f>
        <v>6.07</v>
      </c>
      <c r="G1535">
        <v>47840</v>
      </c>
    </row>
    <row r="1536" spans="1:7">
      <c r="A1536" s="1">
        <v>44594</v>
      </c>
      <c r="B1536">
        <v>48049</v>
      </c>
      <c r="C1536">
        <f>_xlfn.XLOOKUP(A1536, USD!A:A, USD!B:B, "")</f>
        <v>74.822999999999993</v>
      </c>
      <c r="D1536">
        <f>_xlfn.XLOOKUP(A1536, Brent!A:A, Brent!B:B, "")</f>
        <v>91.43</v>
      </c>
      <c r="E1536">
        <f>_xlfn.XLOOKUP(
  A1536,
  Repo!A:A,
  Repo!B:B,
  "",
  -1
)</f>
        <v>4</v>
      </c>
      <c r="F1536" s="10">
        <f>_xlfn.XLOOKUP(
  A1536,
  CPI!D:D,
  CPI!C:C,
  "",
  -1
)</f>
        <v>6.07</v>
      </c>
      <c r="G1536">
        <v>47966</v>
      </c>
    </row>
    <row r="1537" spans="1:7">
      <c r="A1537" s="1">
        <v>44595</v>
      </c>
      <c r="B1537">
        <v>47884</v>
      </c>
      <c r="C1537">
        <f>_xlfn.XLOOKUP(A1537, USD!A:A, USD!B:B, "")</f>
        <v>74.644000000000005</v>
      </c>
      <c r="D1537">
        <f>_xlfn.XLOOKUP(A1537, Brent!A:A, Brent!B:B, "")</f>
        <v>92.99</v>
      </c>
      <c r="E1537">
        <f>_xlfn.XLOOKUP(
  A1537,
  Repo!A:A,
  Repo!B:B,
  "",
  -1
)</f>
        <v>4</v>
      </c>
      <c r="F1537" s="10">
        <f>_xlfn.XLOOKUP(
  A1537,
  CPI!D:D,
  CPI!C:C,
  "",
  -1
)</f>
        <v>6.07</v>
      </c>
      <c r="G1537">
        <v>48049</v>
      </c>
    </row>
    <row r="1538" spans="1:7">
      <c r="A1538" s="1">
        <v>44596</v>
      </c>
      <c r="B1538">
        <v>48081</v>
      </c>
      <c r="C1538">
        <f>_xlfn.XLOOKUP(A1538, USD!A:A, USD!B:B, "")</f>
        <v>74.644999999999996</v>
      </c>
      <c r="D1538">
        <f>_xlfn.XLOOKUP(A1538, Brent!A:A, Brent!B:B, "")</f>
        <v>96.86</v>
      </c>
      <c r="E1538">
        <f>_xlfn.XLOOKUP(
  A1538,
  Repo!A:A,
  Repo!B:B,
  "",
  -1
)</f>
        <v>4</v>
      </c>
      <c r="F1538" s="10">
        <f>_xlfn.XLOOKUP(
  A1538,
  CPI!D:D,
  CPI!C:C,
  "",
  -1
)</f>
        <v>6.07</v>
      </c>
      <c r="G1538">
        <v>47884</v>
      </c>
    </row>
    <row r="1539" spans="1:7">
      <c r="A1539" s="1">
        <v>44599</v>
      </c>
      <c r="B1539">
        <v>48168</v>
      </c>
      <c r="C1539">
        <f>_xlfn.XLOOKUP(A1539, USD!A:A, USD!B:B, "")</f>
        <v>74.655000000000001</v>
      </c>
      <c r="D1539">
        <f>_xlfn.XLOOKUP(A1539, Brent!A:A, Brent!B:B, "")</f>
        <v>97.28</v>
      </c>
      <c r="E1539">
        <f>_xlfn.XLOOKUP(
  A1539,
  Repo!A:A,
  Repo!B:B,
  "",
  -1
)</f>
        <v>4</v>
      </c>
      <c r="F1539" s="10">
        <f>_xlfn.XLOOKUP(
  A1539,
  CPI!D:D,
  CPI!C:C,
  "",
  -1
)</f>
        <v>6.07</v>
      </c>
      <c r="G1539">
        <v>48081</v>
      </c>
    </row>
    <row r="1540" spans="1:7">
      <c r="A1540" s="1">
        <v>44600</v>
      </c>
      <c r="B1540">
        <v>48345</v>
      </c>
      <c r="C1540">
        <f>_xlfn.XLOOKUP(A1540, USD!A:A, USD!B:B, "")</f>
        <v>74.718999999999994</v>
      </c>
      <c r="D1540">
        <f>_xlfn.XLOOKUP(A1540, Brent!A:A, Brent!B:B, "")</f>
        <v>96.07</v>
      </c>
      <c r="E1540">
        <f>_xlfn.XLOOKUP(
  A1540,
  Repo!A:A,
  Repo!B:B,
  "",
  -1
)</f>
        <v>4</v>
      </c>
      <c r="F1540" s="10">
        <f>_xlfn.XLOOKUP(
  A1540,
  CPI!D:D,
  CPI!C:C,
  "",
  -1
)</f>
        <v>6.07</v>
      </c>
      <c r="G1540">
        <v>48168</v>
      </c>
    </row>
    <row r="1541" spans="1:7">
      <c r="A1541" s="1">
        <v>44601</v>
      </c>
      <c r="B1541">
        <v>48575</v>
      </c>
      <c r="C1541">
        <f>_xlfn.XLOOKUP(A1541, USD!A:A, USD!B:B, "")</f>
        <v>74.808000000000007</v>
      </c>
      <c r="D1541">
        <f>_xlfn.XLOOKUP(A1541, Brent!A:A, Brent!B:B, "")</f>
        <v>94.95</v>
      </c>
      <c r="E1541">
        <f>_xlfn.XLOOKUP(
  A1541,
  Repo!A:A,
  Repo!B:B,
  "",
  -1
)</f>
        <v>4</v>
      </c>
      <c r="F1541" s="10">
        <f>_xlfn.XLOOKUP(
  A1541,
  CPI!D:D,
  CPI!C:C,
  "",
  -1
)</f>
        <v>6.07</v>
      </c>
      <c r="G1541">
        <v>48345</v>
      </c>
    </row>
    <row r="1542" spans="1:7">
      <c r="A1542" s="1">
        <v>44602</v>
      </c>
      <c r="B1542">
        <v>48867</v>
      </c>
      <c r="C1542">
        <f>_xlfn.XLOOKUP(A1542, USD!A:A, USD!B:B, "")</f>
        <v>75.102000000000004</v>
      </c>
      <c r="D1542">
        <f>_xlfn.XLOOKUP(A1542, Brent!A:A, Brent!B:B, "")</f>
        <v>96.37</v>
      </c>
      <c r="E1542">
        <f>_xlfn.XLOOKUP(
  A1542,
  Repo!A:A,
  Repo!B:B,
  "",
  -1
)</f>
        <v>4</v>
      </c>
      <c r="F1542" s="10">
        <f>_xlfn.XLOOKUP(
  A1542,
  CPI!D:D,
  CPI!C:C,
  "",
  -1
)</f>
        <v>6.07</v>
      </c>
      <c r="G1542">
        <v>48575</v>
      </c>
    </row>
    <row r="1543" spans="1:7">
      <c r="A1543" s="1">
        <v>44603</v>
      </c>
      <c r="B1543">
        <v>49024</v>
      </c>
      <c r="C1543">
        <f>_xlfn.XLOOKUP(A1543, USD!A:A, USD!B:B, "")</f>
        <v>75.347999999999999</v>
      </c>
      <c r="D1543">
        <f>_xlfn.XLOOKUP(A1543, Brent!A:A, Brent!B:B, "")</f>
        <v>97.5</v>
      </c>
      <c r="E1543">
        <f>_xlfn.XLOOKUP(
  A1543,
  Repo!A:A,
  Repo!B:B,
  "",
  -1
)</f>
        <v>4</v>
      </c>
      <c r="F1543" s="10">
        <f>_xlfn.XLOOKUP(
  A1543,
  CPI!D:D,
  CPI!C:C,
  "",
  -1
)</f>
        <v>6.07</v>
      </c>
      <c r="G1543">
        <v>48867</v>
      </c>
    </row>
    <row r="1544" spans="1:7">
      <c r="A1544" s="1">
        <v>44606</v>
      </c>
      <c r="B1544">
        <v>49827</v>
      </c>
      <c r="C1544">
        <f>_xlfn.XLOOKUP(A1544, USD!A:A, USD!B:B, "")</f>
        <v>75.686000000000007</v>
      </c>
      <c r="D1544">
        <f>_xlfn.XLOOKUP(A1544, Brent!A:A, Brent!B:B, "")</f>
        <v>101.66</v>
      </c>
      <c r="E1544">
        <f>_xlfn.XLOOKUP(
  A1544,
  Repo!A:A,
  Repo!B:B,
  "",
  -1
)</f>
        <v>4</v>
      </c>
      <c r="F1544" s="10">
        <f>_xlfn.XLOOKUP(
  A1544,
  CPI!D:D,
  CPI!C:C,
  "",
  -1
)</f>
        <v>6.07</v>
      </c>
      <c r="G1544">
        <v>49024</v>
      </c>
    </row>
    <row r="1545" spans="1:7">
      <c r="A1545" s="1">
        <v>44607</v>
      </c>
      <c r="B1545">
        <v>49332</v>
      </c>
      <c r="C1545">
        <f>_xlfn.XLOOKUP(A1545, USD!A:A, USD!B:B, "")</f>
        <v>75.177000000000007</v>
      </c>
      <c r="D1545">
        <f>_xlfn.XLOOKUP(A1545, Brent!A:A, Brent!B:B, "")</f>
        <v>98.43</v>
      </c>
      <c r="E1545">
        <f>_xlfn.XLOOKUP(
  A1545,
  Repo!A:A,
  Repo!B:B,
  "",
  -1
)</f>
        <v>4</v>
      </c>
      <c r="F1545" s="10">
        <f>_xlfn.XLOOKUP(
  A1545,
  CPI!D:D,
  CPI!C:C,
  "",
  -1
)</f>
        <v>6.07</v>
      </c>
      <c r="G1545">
        <v>49827</v>
      </c>
    </row>
    <row r="1546" spans="1:7">
      <c r="A1546" s="1">
        <v>44608</v>
      </c>
      <c r="B1546">
        <v>49546</v>
      </c>
      <c r="C1546">
        <f>_xlfn.XLOOKUP(A1546, USD!A:A, USD!B:B, "")</f>
        <v>75.05</v>
      </c>
      <c r="D1546">
        <f>_xlfn.XLOOKUP(A1546, Brent!A:A, Brent!B:B, "")</f>
        <v>97.44</v>
      </c>
      <c r="E1546">
        <f>_xlfn.XLOOKUP(
  A1546,
  Repo!A:A,
  Repo!B:B,
  "",
  -1
)</f>
        <v>4</v>
      </c>
      <c r="F1546" s="10">
        <f>_xlfn.XLOOKUP(
  A1546,
  CPI!D:D,
  CPI!C:C,
  "",
  -1
)</f>
        <v>6.07</v>
      </c>
      <c r="G1546">
        <v>49332</v>
      </c>
    </row>
    <row r="1547" spans="1:7">
      <c r="A1547" s="1">
        <v>44609</v>
      </c>
      <c r="B1547">
        <v>50277</v>
      </c>
      <c r="C1547">
        <f>_xlfn.XLOOKUP(A1547, USD!A:A, USD!B:B, "")</f>
        <v>75.105000000000004</v>
      </c>
      <c r="D1547">
        <f>_xlfn.XLOOKUP(A1547, Brent!A:A, Brent!B:B, "")</f>
        <v>95.28</v>
      </c>
      <c r="E1547">
        <f>_xlfn.XLOOKUP(
  A1547,
  Repo!A:A,
  Repo!B:B,
  "",
  -1
)</f>
        <v>4</v>
      </c>
      <c r="F1547" s="10">
        <f>_xlfn.XLOOKUP(
  A1547,
  CPI!D:D,
  CPI!C:C,
  "",
  -1
)</f>
        <v>6.07</v>
      </c>
      <c r="G1547">
        <v>49546</v>
      </c>
    </row>
    <row r="1548" spans="1:7">
      <c r="A1548" s="1">
        <v>44610</v>
      </c>
      <c r="B1548">
        <v>50034</v>
      </c>
      <c r="C1548">
        <f>_xlfn.XLOOKUP(A1548, USD!A:A, USD!B:B, "")</f>
        <v>74.686999999999998</v>
      </c>
      <c r="D1548">
        <f>_xlfn.XLOOKUP(A1548, Brent!A:A, Brent!B:B, "")</f>
        <v>96.18</v>
      </c>
      <c r="E1548">
        <f>_xlfn.XLOOKUP(
  A1548,
  Repo!A:A,
  Repo!B:B,
  "",
  -1
)</f>
        <v>4</v>
      </c>
      <c r="F1548" s="10">
        <f>_xlfn.XLOOKUP(
  A1548,
  CPI!D:D,
  CPI!C:C,
  "",
  -1
)</f>
        <v>6.07</v>
      </c>
      <c r="G1548">
        <v>50277</v>
      </c>
    </row>
    <row r="1549" spans="1:7">
      <c r="A1549" s="1">
        <v>44613</v>
      </c>
      <c r="B1549">
        <v>49998</v>
      </c>
      <c r="C1549">
        <f>_xlfn.XLOOKUP(A1549, USD!A:A, USD!B:B, "")</f>
        <v>74.524000000000001</v>
      </c>
      <c r="D1549">
        <f>_xlfn.XLOOKUP(A1549, Brent!A:A, Brent!B:B, "")</f>
        <v>98.95</v>
      </c>
      <c r="E1549">
        <f>_xlfn.XLOOKUP(
  A1549,
  Repo!A:A,
  Repo!B:B,
  "",
  -1
)</f>
        <v>4</v>
      </c>
      <c r="F1549" s="10">
        <f>_xlfn.XLOOKUP(
  A1549,
  CPI!D:D,
  CPI!C:C,
  "",
  -1
)</f>
        <v>6.07</v>
      </c>
      <c r="G1549">
        <v>50034</v>
      </c>
    </row>
    <row r="1550" spans="1:7">
      <c r="A1550" s="1">
        <v>44614</v>
      </c>
      <c r="B1550">
        <v>50186</v>
      </c>
      <c r="C1550">
        <f>_xlfn.XLOOKUP(A1550, USD!A:A, USD!B:B, "")</f>
        <v>74.63</v>
      </c>
      <c r="D1550">
        <f>_xlfn.XLOOKUP(A1550, Brent!A:A, Brent!B:B, "")</f>
        <v>98.73</v>
      </c>
      <c r="E1550">
        <f>_xlfn.XLOOKUP(
  A1550,
  Repo!A:A,
  Repo!B:B,
  "",
  -1
)</f>
        <v>4</v>
      </c>
      <c r="F1550" s="10">
        <f>_xlfn.XLOOKUP(
  A1550,
  CPI!D:D,
  CPI!C:C,
  "",
  -1
)</f>
        <v>6.07</v>
      </c>
      <c r="G1550">
        <v>49998</v>
      </c>
    </row>
    <row r="1551" spans="1:7">
      <c r="A1551" s="1">
        <v>44615</v>
      </c>
      <c r="B1551">
        <v>50226</v>
      </c>
      <c r="C1551">
        <f>_xlfn.XLOOKUP(A1551, USD!A:A, USD!B:B, "")</f>
        <v>74.64</v>
      </c>
      <c r="D1551">
        <f>_xlfn.XLOOKUP(A1551, Brent!A:A, Brent!B:B, "")</f>
        <v>99.29</v>
      </c>
      <c r="E1551">
        <f>_xlfn.XLOOKUP(
  A1551,
  Repo!A:A,
  Repo!B:B,
  "",
  -1
)</f>
        <v>4</v>
      </c>
      <c r="F1551" s="10">
        <f>_xlfn.XLOOKUP(
  A1551,
  CPI!D:D,
  CPI!C:C,
  "",
  -1
)</f>
        <v>6.07</v>
      </c>
      <c r="G1551">
        <v>50186</v>
      </c>
    </row>
    <row r="1552" spans="1:7">
      <c r="A1552" s="1">
        <v>44616</v>
      </c>
      <c r="B1552">
        <v>51403</v>
      </c>
      <c r="C1552">
        <f>_xlfn.XLOOKUP(A1552, USD!A:A, USD!B:B, "")</f>
        <v>75.614999999999995</v>
      </c>
      <c r="D1552">
        <f>_xlfn.XLOOKUP(A1552, Brent!A:A, Brent!B:B, "")</f>
        <v>101.29</v>
      </c>
      <c r="E1552">
        <f>_xlfn.XLOOKUP(
  A1552,
  Repo!A:A,
  Repo!B:B,
  "",
  -1
)</f>
        <v>4</v>
      </c>
      <c r="F1552" s="10">
        <f>_xlfn.XLOOKUP(
  A1552,
  CPI!D:D,
  CPI!C:C,
  "",
  -1
)</f>
        <v>6.07</v>
      </c>
      <c r="G1552">
        <v>50226</v>
      </c>
    </row>
    <row r="1553" spans="1:7">
      <c r="A1553" s="1">
        <v>44617</v>
      </c>
      <c r="B1553">
        <v>50039</v>
      </c>
      <c r="C1553">
        <f>_xlfn.XLOOKUP(A1553, USD!A:A, USD!B:B, "")</f>
        <v>75.075000000000003</v>
      </c>
      <c r="D1553">
        <f>_xlfn.XLOOKUP(A1553, Brent!A:A, Brent!B:B, "")</f>
        <v>98.56</v>
      </c>
      <c r="E1553">
        <f>_xlfn.XLOOKUP(
  A1553,
  Repo!A:A,
  Repo!B:B,
  "",
  -1
)</f>
        <v>4</v>
      </c>
      <c r="F1553" s="10">
        <f>_xlfn.XLOOKUP(
  A1553,
  CPI!D:D,
  CPI!C:C,
  "",
  -1
)</f>
        <v>6.07</v>
      </c>
      <c r="G1553">
        <v>51403</v>
      </c>
    </row>
    <row r="1554" spans="1:7">
      <c r="A1554" s="1">
        <v>44620</v>
      </c>
      <c r="B1554">
        <v>50530</v>
      </c>
      <c r="C1554">
        <f>_xlfn.XLOOKUP(A1554, USD!A:A, USD!B:B, "")</f>
        <v>75.52</v>
      </c>
      <c r="D1554">
        <f>_xlfn.XLOOKUP(A1554, Brent!A:A, Brent!B:B, "")</f>
        <v>103.08</v>
      </c>
      <c r="E1554">
        <f>_xlfn.XLOOKUP(
  A1554,
  Repo!A:A,
  Repo!B:B,
  "",
  -1
)</f>
        <v>4</v>
      </c>
      <c r="F1554" s="10">
        <f>_xlfn.XLOOKUP(
  A1554,
  CPI!D:D,
  CPI!C:C,
  "",
  -1
)</f>
        <v>6.07</v>
      </c>
      <c r="G1554">
        <v>50039</v>
      </c>
    </row>
    <row r="1555" spans="1:7">
      <c r="A1555" s="1">
        <v>44621</v>
      </c>
      <c r="B1555">
        <v>51565</v>
      </c>
      <c r="C1555">
        <f>_xlfn.XLOOKUP(A1555, USD!A:A, USD!B:B, "")</f>
        <v>75.781999999999996</v>
      </c>
      <c r="D1555">
        <f>_xlfn.XLOOKUP(A1555, Brent!A:A, Brent!B:B, "")</f>
        <v>110.93</v>
      </c>
      <c r="E1555">
        <f>_xlfn.XLOOKUP(
  A1555,
  Repo!A:A,
  Repo!B:B,
  "",
  -1
)</f>
        <v>4</v>
      </c>
      <c r="F1555" s="10">
        <f>_xlfn.XLOOKUP(
  A1555,
  CPI!D:D,
  CPI!C:C,
  "",
  -1
)</f>
        <v>6.95</v>
      </c>
      <c r="G1555">
        <v>50530</v>
      </c>
    </row>
    <row r="1556" spans="1:7">
      <c r="A1556" s="1">
        <v>44622</v>
      </c>
      <c r="B1556">
        <v>51133</v>
      </c>
      <c r="C1556">
        <f>_xlfn.XLOOKUP(A1556, USD!A:A, USD!B:B, "")</f>
        <v>75.638000000000005</v>
      </c>
      <c r="D1556">
        <f>_xlfn.XLOOKUP(A1556, Brent!A:A, Brent!B:B, "")</f>
        <v>118.94</v>
      </c>
      <c r="E1556">
        <f>_xlfn.XLOOKUP(
  A1556,
  Repo!A:A,
  Repo!B:B,
  "",
  -1
)</f>
        <v>4</v>
      </c>
      <c r="F1556" s="10">
        <f>_xlfn.XLOOKUP(
  A1556,
  CPI!D:D,
  CPI!C:C,
  "",
  -1
)</f>
        <v>6.95</v>
      </c>
      <c r="G1556">
        <v>51565</v>
      </c>
    </row>
    <row r="1557" spans="1:7">
      <c r="A1557" s="1">
        <v>44623</v>
      </c>
      <c r="B1557">
        <v>51569</v>
      </c>
      <c r="C1557">
        <f>_xlfn.XLOOKUP(A1557, USD!A:A, USD!B:B, "")</f>
        <v>75.971000000000004</v>
      </c>
      <c r="D1557">
        <f>_xlfn.XLOOKUP(A1557, Brent!A:A, Brent!B:B, "")</f>
        <v>115.36</v>
      </c>
      <c r="E1557">
        <f>_xlfn.XLOOKUP(
  A1557,
  Repo!A:A,
  Repo!B:B,
  "",
  -1
)</f>
        <v>4</v>
      </c>
      <c r="F1557" s="10">
        <f>_xlfn.XLOOKUP(
  A1557,
  CPI!D:D,
  CPI!C:C,
  "",
  -1
)</f>
        <v>6.95</v>
      </c>
      <c r="G1557">
        <v>51133</v>
      </c>
    </row>
    <row r="1558" spans="1:7">
      <c r="A1558" s="1">
        <v>44624</v>
      </c>
      <c r="B1558">
        <v>52274</v>
      </c>
      <c r="C1558">
        <f>_xlfn.XLOOKUP(A1558, USD!A:A, USD!B:B, "")</f>
        <v>76.424999999999997</v>
      </c>
      <c r="D1558">
        <f>_xlfn.XLOOKUP(A1558, Brent!A:A, Brent!B:B, "")</f>
        <v>123.86</v>
      </c>
      <c r="E1558">
        <f>_xlfn.XLOOKUP(
  A1558,
  Repo!A:A,
  Repo!B:B,
  "",
  -1
)</f>
        <v>4</v>
      </c>
      <c r="F1558" s="10">
        <f>_xlfn.XLOOKUP(
  A1558,
  CPI!D:D,
  CPI!C:C,
  "",
  -1
)</f>
        <v>6.95</v>
      </c>
      <c r="G1558">
        <v>51569</v>
      </c>
    </row>
    <row r="1559" spans="1:7">
      <c r="A1559" s="1">
        <v>44627</v>
      </c>
      <c r="B1559">
        <v>53461</v>
      </c>
      <c r="C1559">
        <f>_xlfn.XLOOKUP(A1559, USD!A:A, USD!B:B, "")</f>
        <v>76.974999999999994</v>
      </c>
      <c r="D1559">
        <f>_xlfn.XLOOKUP(A1559, Brent!A:A, Brent!B:B, "")</f>
        <v>129.02000000000001</v>
      </c>
      <c r="E1559">
        <f>_xlfn.XLOOKUP(
  A1559,
  Repo!A:A,
  Repo!B:B,
  "",
  -1
)</f>
        <v>4</v>
      </c>
      <c r="F1559" s="10">
        <f>_xlfn.XLOOKUP(
  A1559,
  CPI!D:D,
  CPI!C:C,
  "",
  -1
)</f>
        <v>6.95</v>
      </c>
      <c r="G1559">
        <v>52274</v>
      </c>
    </row>
    <row r="1560" spans="1:7">
      <c r="A1560" s="1">
        <v>44628</v>
      </c>
      <c r="B1560">
        <v>54146</v>
      </c>
      <c r="C1560">
        <f>_xlfn.XLOOKUP(A1560, USD!A:A, USD!B:B, "")</f>
        <v>76.905000000000001</v>
      </c>
      <c r="D1560">
        <f>_xlfn.XLOOKUP(A1560, Brent!A:A, Brent!B:B, "")</f>
        <v>133.18</v>
      </c>
      <c r="E1560">
        <f>_xlfn.XLOOKUP(
  A1560,
  Repo!A:A,
  Repo!B:B,
  "",
  -1
)</f>
        <v>4</v>
      </c>
      <c r="F1560" s="10">
        <f>_xlfn.XLOOKUP(
  A1560,
  CPI!D:D,
  CPI!C:C,
  "",
  -1
)</f>
        <v>6.95</v>
      </c>
      <c r="G1560">
        <v>53461</v>
      </c>
    </row>
    <row r="1561" spans="1:7">
      <c r="A1561" s="1">
        <v>44629</v>
      </c>
      <c r="B1561">
        <v>52724</v>
      </c>
      <c r="C1561">
        <f>_xlfn.XLOOKUP(A1561, USD!A:A, USD!B:B, "")</f>
        <v>76.382000000000005</v>
      </c>
      <c r="D1561">
        <f>_xlfn.XLOOKUP(A1561, Brent!A:A, Brent!B:B, "")</f>
        <v>116.58</v>
      </c>
      <c r="E1561">
        <f>_xlfn.XLOOKUP(
  A1561,
  Repo!A:A,
  Repo!B:B,
  "",
  -1
)</f>
        <v>4</v>
      </c>
      <c r="F1561" s="10">
        <f>_xlfn.XLOOKUP(
  A1561,
  CPI!D:D,
  CPI!C:C,
  "",
  -1
)</f>
        <v>6.95</v>
      </c>
      <c r="G1561">
        <v>54146</v>
      </c>
    </row>
    <row r="1562" spans="1:7">
      <c r="A1562" s="1">
        <v>44630</v>
      </c>
      <c r="B1562">
        <v>53183</v>
      </c>
      <c r="C1562">
        <f>_xlfn.XLOOKUP(A1562, USD!A:A, USD!B:B, "")</f>
        <v>76.31</v>
      </c>
      <c r="D1562">
        <f>_xlfn.XLOOKUP(A1562, Brent!A:A, Brent!B:B, "")</f>
        <v>114.54</v>
      </c>
      <c r="E1562">
        <f>_xlfn.XLOOKUP(
  A1562,
  Repo!A:A,
  Repo!B:B,
  "",
  -1
)</f>
        <v>4</v>
      </c>
      <c r="F1562" s="10">
        <f>_xlfn.XLOOKUP(
  A1562,
  CPI!D:D,
  CPI!C:C,
  "",
  -1
)</f>
        <v>6.95</v>
      </c>
      <c r="G1562">
        <v>52724</v>
      </c>
    </row>
    <row r="1563" spans="1:7">
      <c r="A1563" s="1">
        <v>44631</v>
      </c>
      <c r="B1563">
        <v>52828</v>
      </c>
      <c r="C1563">
        <f>_xlfn.XLOOKUP(A1563, USD!A:A, USD!B:B, "")</f>
        <v>76.510999999999996</v>
      </c>
      <c r="D1563">
        <f>_xlfn.XLOOKUP(A1563, Brent!A:A, Brent!B:B, "")</f>
        <v>118.11</v>
      </c>
      <c r="E1563">
        <f>_xlfn.XLOOKUP(
  A1563,
  Repo!A:A,
  Repo!B:B,
  "",
  -1
)</f>
        <v>4</v>
      </c>
      <c r="F1563" s="10">
        <f>_xlfn.XLOOKUP(
  A1563,
  CPI!D:D,
  CPI!C:C,
  "",
  -1
)</f>
        <v>6.95</v>
      </c>
      <c r="G1563">
        <v>53183</v>
      </c>
    </row>
    <row r="1564" spans="1:7">
      <c r="A1564" s="1">
        <v>44634</v>
      </c>
      <c r="B1564">
        <v>52238</v>
      </c>
      <c r="C1564">
        <f>_xlfn.XLOOKUP(A1564, USD!A:A, USD!B:B, "")</f>
        <v>76.45</v>
      </c>
      <c r="D1564">
        <f>_xlfn.XLOOKUP(A1564, Brent!A:A, Brent!B:B, "")</f>
        <v>110.39</v>
      </c>
      <c r="E1564">
        <f>_xlfn.XLOOKUP(
  A1564,
  Repo!A:A,
  Repo!B:B,
  "",
  -1
)</f>
        <v>4</v>
      </c>
      <c r="F1564" s="10">
        <f>_xlfn.XLOOKUP(
  A1564,
  CPI!D:D,
  CPI!C:C,
  "",
  -1
)</f>
        <v>6.95</v>
      </c>
      <c r="G1564">
        <v>52828</v>
      </c>
    </row>
    <row r="1565" spans="1:7">
      <c r="A1565" s="1">
        <v>44635</v>
      </c>
      <c r="B1565">
        <v>51522</v>
      </c>
      <c r="C1565">
        <f>_xlfn.XLOOKUP(A1565, USD!A:A, USD!B:B, "")</f>
        <v>76.42</v>
      </c>
      <c r="D1565">
        <f>_xlfn.XLOOKUP(A1565, Brent!A:A, Brent!B:B, "")</f>
        <v>105.14</v>
      </c>
      <c r="E1565">
        <f>_xlfn.XLOOKUP(
  A1565,
  Repo!A:A,
  Repo!B:B,
  "",
  -1
)</f>
        <v>4</v>
      </c>
      <c r="F1565" s="10">
        <f>_xlfn.XLOOKUP(
  A1565,
  CPI!D:D,
  CPI!C:C,
  "",
  -1
)</f>
        <v>6.95</v>
      </c>
      <c r="G1565">
        <v>52238</v>
      </c>
    </row>
    <row r="1566" spans="1:7">
      <c r="A1566" s="1">
        <v>44636</v>
      </c>
      <c r="B1566">
        <v>51105</v>
      </c>
      <c r="C1566">
        <f>_xlfn.XLOOKUP(A1566, USD!A:A, USD!B:B, "")</f>
        <v>76.2</v>
      </c>
      <c r="D1566">
        <f>_xlfn.XLOOKUP(A1566, Brent!A:A, Brent!B:B, "")</f>
        <v>104.61</v>
      </c>
      <c r="E1566">
        <f>_xlfn.XLOOKUP(
  A1566,
  Repo!A:A,
  Repo!B:B,
  "",
  -1
)</f>
        <v>4</v>
      </c>
      <c r="F1566" s="10">
        <f>_xlfn.XLOOKUP(
  A1566,
  CPI!D:D,
  CPI!C:C,
  "",
  -1
)</f>
        <v>6.95</v>
      </c>
      <c r="G1566">
        <v>51522</v>
      </c>
    </row>
    <row r="1567" spans="1:7">
      <c r="A1567" s="1">
        <v>44637</v>
      </c>
      <c r="B1567">
        <v>51597</v>
      </c>
      <c r="C1567">
        <f>_xlfn.XLOOKUP(A1567, USD!A:A, USD!B:B, "")</f>
        <v>75.936999999999998</v>
      </c>
      <c r="D1567">
        <f>_xlfn.XLOOKUP(A1567, Brent!A:A, Brent!B:B, "")</f>
        <v>113.5</v>
      </c>
      <c r="E1567">
        <f>_xlfn.XLOOKUP(
  A1567,
  Repo!A:A,
  Repo!B:B,
  "",
  -1
)</f>
        <v>4</v>
      </c>
      <c r="F1567" s="10">
        <f>_xlfn.XLOOKUP(
  A1567,
  CPI!D:D,
  CPI!C:C,
  "",
  -1
)</f>
        <v>6.95</v>
      </c>
      <c r="G1567">
        <v>51105</v>
      </c>
    </row>
    <row r="1568" spans="1:7">
      <c r="A1568" s="1">
        <v>44638</v>
      </c>
      <c r="B1568">
        <v>51383</v>
      </c>
      <c r="C1568">
        <f>_xlfn.XLOOKUP(A1568, USD!A:A, USD!B:B, "")</f>
        <v>76.064999999999998</v>
      </c>
      <c r="D1568">
        <f>_xlfn.XLOOKUP(A1568, Brent!A:A, Brent!B:B, "")</f>
        <v>114.32</v>
      </c>
      <c r="E1568">
        <f>_xlfn.XLOOKUP(
  A1568,
  Repo!A:A,
  Repo!B:B,
  "",
  -1
)</f>
        <v>4</v>
      </c>
      <c r="F1568" s="10">
        <f>_xlfn.XLOOKUP(
  A1568,
  CPI!D:D,
  CPI!C:C,
  "",
  -1
)</f>
        <v>6.95</v>
      </c>
      <c r="G1568">
        <v>51597</v>
      </c>
    </row>
    <row r="1569" spans="1:7">
      <c r="A1569" s="1">
        <v>44641</v>
      </c>
      <c r="B1569">
        <v>51546</v>
      </c>
      <c r="C1569">
        <f>_xlfn.XLOOKUP(A1569, USD!A:A, USD!B:B, "")</f>
        <v>76.284999999999997</v>
      </c>
      <c r="D1569">
        <f>_xlfn.XLOOKUP(A1569, Brent!A:A, Brent!B:B, "")</f>
        <v>122.29</v>
      </c>
      <c r="E1569">
        <f>_xlfn.XLOOKUP(
  A1569,
  Repo!A:A,
  Repo!B:B,
  "",
  -1
)</f>
        <v>4</v>
      </c>
      <c r="F1569" s="10">
        <f>_xlfn.XLOOKUP(
  A1569,
  CPI!D:D,
  CPI!C:C,
  "",
  -1
)</f>
        <v>6.95</v>
      </c>
      <c r="G1569">
        <v>51383</v>
      </c>
    </row>
    <row r="1570" spans="1:7">
      <c r="A1570" s="1">
        <v>44642</v>
      </c>
      <c r="B1570">
        <v>51219</v>
      </c>
      <c r="C1570">
        <f>_xlfn.XLOOKUP(A1570, USD!A:A, USD!B:B, "")</f>
        <v>76.159000000000006</v>
      </c>
      <c r="D1570">
        <f>_xlfn.XLOOKUP(A1570, Brent!A:A, Brent!B:B, "")</f>
        <v>121.53</v>
      </c>
      <c r="E1570">
        <f>_xlfn.XLOOKUP(
  A1570,
  Repo!A:A,
  Repo!B:B,
  "",
  -1
)</f>
        <v>4</v>
      </c>
      <c r="F1570" s="10">
        <f>_xlfn.XLOOKUP(
  A1570,
  CPI!D:D,
  CPI!C:C,
  "",
  -1
)</f>
        <v>6.95</v>
      </c>
      <c r="G1570">
        <v>51546</v>
      </c>
    </row>
    <row r="1571" spans="1:7">
      <c r="A1571" s="1">
        <v>44643</v>
      </c>
      <c r="B1571">
        <v>51580</v>
      </c>
      <c r="C1571">
        <f>_xlfn.XLOOKUP(A1571, USD!A:A, USD!B:B, "")</f>
        <v>76.53</v>
      </c>
      <c r="D1571">
        <f>_xlfn.XLOOKUP(A1571, Brent!A:A, Brent!B:B, "")</f>
        <v>127.52</v>
      </c>
      <c r="E1571">
        <f>_xlfn.XLOOKUP(
  A1571,
  Repo!A:A,
  Repo!B:B,
  "",
  -1
)</f>
        <v>4</v>
      </c>
      <c r="F1571" s="10">
        <f>_xlfn.XLOOKUP(
  A1571,
  CPI!D:D,
  CPI!C:C,
  "",
  -1
)</f>
        <v>6.95</v>
      </c>
      <c r="G1571">
        <v>51219</v>
      </c>
    </row>
    <row r="1572" spans="1:7">
      <c r="A1572" s="1">
        <v>44644</v>
      </c>
      <c r="B1572">
        <v>51841</v>
      </c>
      <c r="C1572">
        <f>_xlfn.XLOOKUP(A1572, USD!A:A, USD!B:B, "")</f>
        <v>76.305000000000007</v>
      </c>
      <c r="D1572">
        <f>_xlfn.XLOOKUP(A1572, Brent!A:A, Brent!B:B, "")</f>
        <v>123.98</v>
      </c>
      <c r="E1572">
        <f>_xlfn.XLOOKUP(
  A1572,
  Repo!A:A,
  Repo!B:B,
  "",
  -1
)</f>
        <v>4</v>
      </c>
      <c r="F1572" s="10">
        <f>_xlfn.XLOOKUP(
  A1572,
  CPI!D:D,
  CPI!C:C,
  "",
  -1
)</f>
        <v>6.95</v>
      </c>
      <c r="G1572">
        <v>51580</v>
      </c>
    </row>
    <row r="1573" spans="1:7">
      <c r="A1573" s="1">
        <v>44645</v>
      </c>
      <c r="B1573">
        <v>51687</v>
      </c>
      <c r="C1573">
        <f>_xlfn.XLOOKUP(A1573, USD!A:A, USD!B:B, "")</f>
        <v>76.284999999999997</v>
      </c>
      <c r="D1573">
        <f>_xlfn.XLOOKUP(A1573, Brent!A:A, Brent!B:B, "")</f>
        <v>122.67</v>
      </c>
      <c r="E1573">
        <f>_xlfn.XLOOKUP(
  A1573,
  Repo!A:A,
  Repo!B:B,
  "",
  -1
)</f>
        <v>4</v>
      </c>
      <c r="F1573" s="10">
        <f>_xlfn.XLOOKUP(
  A1573,
  CPI!D:D,
  CPI!C:C,
  "",
  -1
)</f>
        <v>6.95</v>
      </c>
      <c r="G1573">
        <v>51841</v>
      </c>
    </row>
    <row r="1574" spans="1:7">
      <c r="A1574" s="1">
        <v>44648</v>
      </c>
      <c r="B1574">
        <v>51442</v>
      </c>
      <c r="C1574">
        <f>_xlfn.XLOOKUP(A1574, USD!A:A, USD!B:B, "")</f>
        <v>76.09</v>
      </c>
      <c r="D1574">
        <f>_xlfn.XLOOKUP(A1574, Brent!A:A, Brent!B:B, "")</f>
        <v>114.5</v>
      </c>
      <c r="E1574">
        <f>_xlfn.XLOOKUP(
  A1574,
  Repo!A:A,
  Repo!B:B,
  "",
  -1
)</f>
        <v>4</v>
      </c>
      <c r="F1574" s="10">
        <f>_xlfn.XLOOKUP(
  A1574,
  CPI!D:D,
  CPI!C:C,
  "",
  -1
)</f>
        <v>6.95</v>
      </c>
      <c r="G1574">
        <v>51687</v>
      </c>
    </row>
    <row r="1575" spans="1:7">
      <c r="A1575" s="1">
        <v>44649</v>
      </c>
      <c r="B1575">
        <v>50730</v>
      </c>
      <c r="C1575">
        <f>_xlfn.XLOOKUP(A1575, USD!A:A, USD!B:B, "")</f>
        <v>75.665999999999997</v>
      </c>
      <c r="D1575">
        <f>_xlfn.XLOOKUP(A1575, Brent!A:A, Brent!B:B, "")</f>
        <v>112.79</v>
      </c>
      <c r="E1575">
        <f>_xlfn.XLOOKUP(
  A1575,
  Repo!A:A,
  Repo!B:B,
  "",
  -1
)</f>
        <v>4</v>
      </c>
      <c r="F1575" s="10">
        <f>_xlfn.XLOOKUP(
  A1575,
  CPI!D:D,
  CPI!C:C,
  "",
  -1
)</f>
        <v>6.95</v>
      </c>
      <c r="G1575">
        <v>51442</v>
      </c>
    </row>
    <row r="1576" spans="1:7">
      <c r="A1576" s="1">
        <v>44650</v>
      </c>
      <c r="B1576">
        <v>51042</v>
      </c>
      <c r="C1576">
        <f>_xlfn.XLOOKUP(A1576, USD!A:A, USD!B:B, "")</f>
        <v>75.822999999999993</v>
      </c>
      <c r="D1576">
        <f>_xlfn.XLOOKUP(A1576, Brent!A:A, Brent!B:B, "")</f>
        <v>115.59</v>
      </c>
      <c r="E1576">
        <f>_xlfn.XLOOKUP(
  A1576,
  Repo!A:A,
  Repo!B:B,
  "",
  -1
)</f>
        <v>4</v>
      </c>
      <c r="F1576" s="10">
        <f>_xlfn.XLOOKUP(
  A1576,
  CPI!D:D,
  CPI!C:C,
  "",
  -1
)</f>
        <v>6.95</v>
      </c>
      <c r="G1576">
        <v>50730</v>
      </c>
    </row>
    <row r="1577" spans="1:7">
      <c r="A1577" s="1">
        <v>44651</v>
      </c>
      <c r="B1577">
        <v>51633</v>
      </c>
      <c r="C1577">
        <f>_xlfn.XLOOKUP(A1577, USD!A:A, USD!B:B, "")</f>
        <v>75.927999999999997</v>
      </c>
      <c r="D1577">
        <f>_xlfn.XLOOKUP(A1577, Brent!A:A, Brent!B:B, "")</f>
        <v>107.29</v>
      </c>
      <c r="E1577">
        <f>_xlfn.XLOOKUP(
  A1577,
  Repo!A:A,
  Repo!B:B,
  "",
  -1
)</f>
        <v>4</v>
      </c>
      <c r="F1577" s="10">
        <f>_xlfn.XLOOKUP(
  A1577,
  CPI!D:D,
  CPI!C:C,
  "",
  -1
)</f>
        <v>6.95</v>
      </c>
      <c r="G1577">
        <v>51042</v>
      </c>
    </row>
    <row r="1578" spans="1:7">
      <c r="A1578" s="1">
        <v>44652</v>
      </c>
      <c r="B1578">
        <v>51264</v>
      </c>
      <c r="C1578">
        <f>_xlfn.XLOOKUP(A1578, USD!A:A, USD!B:B, "")</f>
        <v>75.995000000000005</v>
      </c>
      <c r="D1578">
        <f>_xlfn.XLOOKUP(A1578, Brent!A:A, Brent!B:B, "")</f>
        <v>106.13</v>
      </c>
      <c r="E1578">
        <f>_xlfn.XLOOKUP(
  A1578,
  Repo!A:A,
  Repo!B:B,
  "",
  -1
)</f>
        <v>4</v>
      </c>
      <c r="F1578" s="10">
        <f>_xlfn.XLOOKUP(
  A1578,
  CPI!D:D,
  CPI!C:C,
  "",
  -1
)</f>
        <v>7.79</v>
      </c>
      <c r="G1578">
        <v>51633</v>
      </c>
    </row>
    <row r="1579" spans="1:7">
      <c r="A1579" s="1">
        <v>44655</v>
      </c>
      <c r="B1579">
        <v>51229</v>
      </c>
      <c r="C1579">
        <f>_xlfn.XLOOKUP(A1579, USD!A:A, USD!B:B, "")</f>
        <v>75.450999999999993</v>
      </c>
      <c r="D1579">
        <f>_xlfn.XLOOKUP(A1579, Brent!A:A, Brent!B:B, "")</f>
        <v>108.15</v>
      </c>
      <c r="E1579">
        <f>_xlfn.XLOOKUP(
  A1579,
  Repo!A:A,
  Repo!B:B,
  "",
  -1
)</f>
        <v>4</v>
      </c>
      <c r="F1579" s="10">
        <f>_xlfn.XLOOKUP(
  A1579,
  CPI!D:D,
  CPI!C:C,
  "",
  -1
)</f>
        <v>7.79</v>
      </c>
      <c r="G1579">
        <v>51264</v>
      </c>
    </row>
    <row r="1580" spans="1:7">
      <c r="A1580" s="1">
        <v>44656</v>
      </c>
      <c r="B1580">
        <v>51619</v>
      </c>
      <c r="C1580">
        <f>_xlfn.XLOOKUP(A1580, USD!A:A, USD!B:B, "")</f>
        <v>75.465000000000003</v>
      </c>
      <c r="D1580">
        <f>_xlfn.XLOOKUP(A1580, Brent!A:A, Brent!B:B, "")</f>
        <v>106.6</v>
      </c>
      <c r="E1580">
        <f>_xlfn.XLOOKUP(
  A1580,
  Repo!A:A,
  Repo!B:B,
  "",
  -1
)</f>
        <v>4</v>
      </c>
      <c r="F1580" s="10">
        <f>_xlfn.XLOOKUP(
  A1580,
  CPI!D:D,
  CPI!C:C,
  "",
  -1
)</f>
        <v>7.79</v>
      </c>
      <c r="G1580">
        <v>51229</v>
      </c>
    </row>
    <row r="1581" spans="1:7">
      <c r="A1581" s="1">
        <v>44657</v>
      </c>
      <c r="B1581">
        <v>51433</v>
      </c>
      <c r="C1581">
        <f>_xlfn.XLOOKUP(A1581, USD!A:A, USD!B:B, "")</f>
        <v>75.947000000000003</v>
      </c>
      <c r="D1581">
        <f>_xlfn.XLOOKUP(A1581, Brent!A:A, Brent!B:B, "")</f>
        <v>100.81</v>
      </c>
      <c r="E1581">
        <f>_xlfn.XLOOKUP(
  A1581,
  Repo!A:A,
  Repo!B:B,
  "",
  -1
)</f>
        <v>4</v>
      </c>
      <c r="F1581" s="10">
        <f>_xlfn.XLOOKUP(
  A1581,
  CPI!D:D,
  CPI!C:C,
  "",
  -1
)</f>
        <v>7.79</v>
      </c>
      <c r="G1581">
        <v>51619</v>
      </c>
    </row>
    <row r="1582" spans="1:7">
      <c r="A1582" s="1">
        <v>44658</v>
      </c>
      <c r="B1582">
        <v>51681</v>
      </c>
      <c r="C1582">
        <f>_xlfn.XLOOKUP(A1582, USD!A:A, USD!B:B, "")</f>
        <v>75.912999999999997</v>
      </c>
      <c r="D1582">
        <f>_xlfn.XLOOKUP(A1582, Brent!A:A, Brent!B:B, "")</f>
        <v>99.83</v>
      </c>
      <c r="E1582">
        <f>_xlfn.XLOOKUP(
  A1582,
  Repo!A:A,
  Repo!B:B,
  "",
  -1
)</f>
        <v>4</v>
      </c>
      <c r="F1582" s="10">
        <f>_xlfn.XLOOKUP(
  A1582,
  CPI!D:D,
  CPI!C:C,
  "",
  -1
)</f>
        <v>7.79</v>
      </c>
      <c r="G1582">
        <v>51433</v>
      </c>
    </row>
    <row r="1583" spans="1:7">
      <c r="A1583" s="1">
        <v>44659</v>
      </c>
      <c r="B1583">
        <v>51854</v>
      </c>
      <c r="C1583">
        <f>_xlfn.XLOOKUP(A1583, USD!A:A, USD!B:B, "")</f>
        <v>75.959999999999994</v>
      </c>
      <c r="D1583">
        <f>_xlfn.XLOOKUP(A1583, Brent!A:A, Brent!B:B, "")</f>
        <v>101.26</v>
      </c>
      <c r="E1583">
        <f>_xlfn.XLOOKUP(
  A1583,
  Repo!A:A,
  Repo!B:B,
  "",
  -1
)</f>
        <v>4</v>
      </c>
      <c r="F1583" s="10">
        <f>_xlfn.XLOOKUP(
  A1583,
  CPI!D:D,
  CPI!C:C,
  "",
  -1
)</f>
        <v>7.79</v>
      </c>
      <c r="G1583">
        <v>51681</v>
      </c>
    </row>
    <row r="1584" spans="1:7">
      <c r="A1584" s="1">
        <v>44662</v>
      </c>
      <c r="B1584">
        <v>51985</v>
      </c>
      <c r="C1584">
        <f>_xlfn.XLOOKUP(A1584, USD!A:A, USD!B:B, "")</f>
        <v>75.835999999999999</v>
      </c>
      <c r="D1584">
        <f>_xlfn.XLOOKUP(A1584, Brent!A:A, Brent!B:B, "")</f>
        <v>97.92</v>
      </c>
      <c r="E1584">
        <f>_xlfn.XLOOKUP(
  A1584,
  Repo!A:A,
  Repo!B:B,
  "",
  -1
)</f>
        <v>4</v>
      </c>
      <c r="F1584" s="10">
        <f>_xlfn.XLOOKUP(
  A1584,
  CPI!D:D,
  CPI!C:C,
  "",
  -1
)</f>
        <v>7.79</v>
      </c>
      <c r="G1584">
        <v>51854</v>
      </c>
    </row>
    <row r="1585" spans="1:7">
      <c r="A1585" s="1">
        <v>44663</v>
      </c>
      <c r="B1585">
        <v>52656</v>
      </c>
      <c r="C1585">
        <f>_xlfn.XLOOKUP(A1585, USD!A:A, USD!B:B, "")</f>
        <v>76.081999999999994</v>
      </c>
      <c r="D1585">
        <f>_xlfn.XLOOKUP(A1585, Brent!A:A, Brent!B:B, "")</f>
        <v>104.42</v>
      </c>
      <c r="E1585">
        <f>_xlfn.XLOOKUP(
  A1585,
  Repo!A:A,
  Repo!B:B,
  "",
  -1
)</f>
        <v>4</v>
      </c>
      <c r="F1585" s="10">
        <f>_xlfn.XLOOKUP(
  A1585,
  CPI!D:D,
  CPI!C:C,
  "",
  -1
)</f>
        <v>7.79</v>
      </c>
      <c r="G1585">
        <v>51985</v>
      </c>
    </row>
    <row r="1586" spans="1:7">
      <c r="A1586" s="1">
        <v>44664</v>
      </c>
      <c r="B1586">
        <v>52871</v>
      </c>
      <c r="C1586">
        <f>_xlfn.XLOOKUP(A1586, USD!A:A, USD!B:B, "")</f>
        <v>76.122</v>
      </c>
      <c r="D1586">
        <f>_xlfn.XLOOKUP(A1586, Brent!A:A, Brent!B:B, "")</f>
        <v>108.49</v>
      </c>
      <c r="E1586">
        <f>_xlfn.XLOOKUP(
  A1586,
  Repo!A:A,
  Repo!B:B,
  "",
  -1
)</f>
        <v>4</v>
      </c>
      <c r="F1586" s="10">
        <f>_xlfn.XLOOKUP(
  A1586,
  CPI!D:D,
  CPI!C:C,
  "",
  -1
)</f>
        <v>7.79</v>
      </c>
      <c r="G1586">
        <v>52656</v>
      </c>
    </row>
    <row r="1587" spans="1:7">
      <c r="A1587" s="1">
        <v>44665</v>
      </c>
      <c r="B1587">
        <v>52793</v>
      </c>
      <c r="C1587">
        <f>_xlfn.XLOOKUP(A1587, USD!A:A, USD!B:B, "")</f>
        <v>76.292000000000002</v>
      </c>
      <c r="D1587">
        <f>_xlfn.XLOOKUP(A1587, Brent!A:A, Brent!B:B, "")</f>
        <v>110.83</v>
      </c>
      <c r="E1587">
        <f>_xlfn.XLOOKUP(
  A1587,
  Repo!A:A,
  Repo!B:B,
  "",
  -1
)</f>
        <v>4</v>
      </c>
      <c r="F1587" s="10">
        <f>_xlfn.XLOOKUP(
  A1587,
  CPI!D:D,
  CPI!C:C,
  "",
  -1
)</f>
        <v>7.79</v>
      </c>
      <c r="G1587">
        <v>52871</v>
      </c>
    </row>
    <row r="1588" spans="1:7">
      <c r="A1588" s="1">
        <v>44670</v>
      </c>
      <c r="B1588">
        <v>52603</v>
      </c>
      <c r="C1588">
        <f>_xlfn.XLOOKUP(A1588, USD!A:A, USD!B:B, "")</f>
        <v>76.444999999999993</v>
      </c>
      <c r="D1588">
        <f>_xlfn.XLOOKUP(A1588, Brent!A:A, Brent!B:B, "")</f>
        <v>105.49</v>
      </c>
      <c r="E1588">
        <f>_xlfn.XLOOKUP(
  A1588,
  Repo!A:A,
  Repo!B:B,
  "",
  -1
)</f>
        <v>4</v>
      </c>
      <c r="F1588" s="10">
        <f>_xlfn.XLOOKUP(
  A1588,
  CPI!D:D,
  CPI!C:C,
  "",
  -1
)</f>
        <v>7.79</v>
      </c>
      <c r="G1588">
        <v>52793</v>
      </c>
    </row>
    <row r="1589" spans="1:7">
      <c r="A1589" s="1">
        <v>44671</v>
      </c>
      <c r="B1589">
        <v>52499</v>
      </c>
      <c r="C1589">
        <f>_xlfn.XLOOKUP(A1589, USD!A:A, USD!B:B, "")</f>
        <v>76.269000000000005</v>
      </c>
      <c r="D1589">
        <f>_xlfn.XLOOKUP(A1589, Brent!A:A, Brent!B:B, "")</f>
        <v>105.05</v>
      </c>
      <c r="E1589">
        <f>_xlfn.XLOOKUP(
  A1589,
  Repo!A:A,
  Repo!B:B,
  "",
  -1
)</f>
        <v>4</v>
      </c>
      <c r="F1589" s="10">
        <f>_xlfn.XLOOKUP(
  A1589,
  CPI!D:D,
  CPI!C:C,
  "",
  -1
)</f>
        <v>7.79</v>
      </c>
      <c r="G1589">
        <v>52603</v>
      </c>
    </row>
    <row r="1590" spans="1:7">
      <c r="A1590" s="1">
        <v>44672</v>
      </c>
      <c r="B1590">
        <v>52356</v>
      </c>
      <c r="C1590">
        <f>_xlfn.XLOOKUP(A1590, USD!A:A, USD!B:B, "")</f>
        <v>76.262</v>
      </c>
      <c r="D1590">
        <f>_xlfn.XLOOKUP(A1590, Brent!A:A, Brent!B:B, "")</f>
        <v>107.2</v>
      </c>
      <c r="E1590">
        <f>_xlfn.XLOOKUP(
  A1590,
  Repo!A:A,
  Repo!B:B,
  "",
  -1
)</f>
        <v>4</v>
      </c>
      <c r="F1590" s="10">
        <f>_xlfn.XLOOKUP(
  A1590,
  CPI!D:D,
  CPI!C:C,
  "",
  -1
)</f>
        <v>7.79</v>
      </c>
      <c r="G1590">
        <v>52499</v>
      </c>
    </row>
    <row r="1591" spans="1:7">
      <c r="A1591" s="1">
        <v>44673</v>
      </c>
      <c r="B1591">
        <v>52250</v>
      </c>
      <c r="C1591">
        <f>_xlfn.XLOOKUP(A1591, USD!A:A, USD!B:B, "")</f>
        <v>76.474999999999994</v>
      </c>
      <c r="D1591">
        <f>_xlfn.XLOOKUP(A1591, Brent!A:A, Brent!B:B, "")</f>
        <v>105.15</v>
      </c>
      <c r="E1591">
        <f>_xlfn.XLOOKUP(
  A1591,
  Repo!A:A,
  Repo!B:B,
  "",
  -1
)</f>
        <v>4</v>
      </c>
      <c r="F1591" s="10">
        <f>_xlfn.XLOOKUP(
  A1591,
  CPI!D:D,
  CPI!C:C,
  "",
  -1
)</f>
        <v>7.79</v>
      </c>
      <c r="G1591">
        <v>52356</v>
      </c>
    </row>
    <row r="1592" spans="1:7">
      <c r="A1592" s="1">
        <v>44676</v>
      </c>
      <c r="B1592">
        <v>51462</v>
      </c>
      <c r="C1592">
        <f>_xlfn.XLOOKUP(A1592, USD!A:A, USD!B:B, "")</f>
        <v>76.748000000000005</v>
      </c>
      <c r="D1592">
        <f>_xlfn.XLOOKUP(A1592, Brent!A:A, Brent!B:B, "")</f>
        <v>99.27</v>
      </c>
      <c r="E1592">
        <f>_xlfn.XLOOKUP(
  A1592,
  Repo!A:A,
  Repo!B:B,
  "",
  -1
)</f>
        <v>4</v>
      </c>
      <c r="F1592" s="10">
        <f>_xlfn.XLOOKUP(
  A1592,
  CPI!D:D,
  CPI!C:C,
  "",
  -1
)</f>
        <v>7.79</v>
      </c>
      <c r="G1592">
        <v>52250</v>
      </c>
    </row>
    <row r="1593" spans="1:7">
      <c r="A1593" s="1">
        <v>44677</v>
      </c>
      <c r="B1593">
        <v>51655</v>
      </c>
      <c r="C1593">
        <f>_xlfn.XLOOKUP(A1593, USD!A:A, USD!B:B, "")</f>
        <v>76.680000000000007</v>
      </c>
      <c r="D1593">
        <f>_xlfn.XLOOKUP(A1593, Brent!A:A, Brent!B:B, "")</f>
        <v>102.89</v>
      </c>
      <c r="E1593">
        <f>_xlfn.XLOOKUP(
  A1593,
  Repo!A:A,
  Repo!B:B,
  "",
  -1
)</f>
        <v>4</v>
      </c>
      <c r="F1593" s="10">
        <f>_xlfn.XLOOKUP(
  A1593,
  CPI!D:D,
  CPI!C:C,
  "",
  -1
)</f>
        <v>7.79</v>
      </c>
      <c r="G1593">
        <v>51462</v>
      </c>
    </row>
    <row r="1594" spans="1:7">
      <c r="A1594" s="1">
        <v>44678</v>
      </c>
      <c r="B1594">
        <v>51357</v>
      </c>
      <c r="C1594">
        <f>_xlfn.XLOOKUP(A1594, USD!A:A, USD!B:B, "")</f>
        <v>76.632000000000005</v>
      </c>
      <c r="D1594">
        <f>_xlfn.XLOOKUP(A1594, Brent!A:A, Brent!B:B, "")</f>
        <v>103.3</v>
      </c>
      <c r="E1594">
        <f>_xlfn.XLOOKUP(
  A1594,
  Repo!A:A,
  Repo!B:B,
  "",
  -1
)</f>
        <v>4</v>
      </c>
      <c r="F1594" s="10">
        <f>_xlfn.XLOOKUP(
  A1594,
  CPI!D:D,
  CPI!C:C,
  "",
  -1
)</f>
        <v>7.79</v>
      </c>
      <c r="G1594">
        <v>51655</v>
      </c>
    </row>
    <row r="1595" spans="1:7">
      <c r="A1595" s="1">
        <v>44679</v>
      </c>
      <c r="B1595">
        <v>51391</v>
      </c>
      <c r="C1595">
        <f>_xlfn.XLOOKUP(A1595, USD!A:A, USD!B:B, "")</f>
        <v>76.67</v>
      </c>
      <c r="D1595">
        <f>_xlfn.XLOOKUP(A1595, Brent!A:A, Brent!B:B, "")</f>
        <v>105.78</v>
      </c>
      <c r="E1595">
        <f>_xlfn.XLOOKUP(
  A1595,
  Repo!A:A,
  Repo!B:B,
  "",
  -1
)</f>
        <v>4</v>
      </c>
      <c r="F1595" s="10">
        <f>_xlfn.XLOOKUP(
  A1595,
  CPI!D:D,
  CPI!C:C,
  "",
  -1
)</f>
        <v>7.79</v>
      </c>
      <c r="G1595">
        <v>51357</v>
      </c>
    </row>
    <row r="1596" spans="1:7">
      <c r="A1596" s="1">
        <v>44680</v>
      </c>
      <c r="B1596">
        <v>51809</v>
      </c>
      <c r="C1596">
        <f>_xlfn.XLOOKUP(A1596, USD!A:A, USD!B:B, "")</f>
        <v>76.534999999999997</v>
      </c>
      <c r="D1596">
        <f>_xlfn.XLOOKUP(A1596, Brent!A:A, Brent!B:B, "")</f>
        <v>108.36</v>
      </c>
      <c r="E1596">
        <f>_xlfn.XLOOKUP(
  A1596,
  Repo!A:A,
  Repo!B:B,
  "",
  -1
)</f>
        <v>4</v>
      </c>
      <c r="F1596" s="10">
        <f>_xlfn.XLOOKUP(
  A1596,
  CPI!D:D,
  CPI!C:C,
  "",
  -1
)</f>
        <v>7.79</v>
      </c>
      <c r="G1596">
        <v>51391</v>
      </c>
    </row>
    <row r="1597" spans="1:7">
      <c r="A1597" s="1">
        <v>44684</v>
      </c>
      <c r="B1597">
        <v>51022</v>
      </c>
      <c r="C1597">
        <f>_xlfn.XLOOKUP(A1597, USD!A:A, USD!B:B, "")</f>
        <v>76.47</v>
      </c>
      <c r="D1597">
        <f>_xlfn.XLOOKUP(A1597, Brent!A:A, Brent!B:B, "")</f>
        <v>104.94</v>
      </c>
      <c r="E1597">
        <f>_xlfn.XLOOKUP(
  A1597,
  Repo!A:A,
  Repo!B:B,
  "",
  -1
)</f>
        <v>4</v>
      </c>
      <c r="F1597" s="10">
        <f>_xlfn.XLOOKUP(
  A1597,
  CPI!D:D,
  CPI!C:C,
  "",
  -1
)</f>
        <v>7.04</v>
      </c>
      <c r="G1597">
        <v>51809</v>
      </c>
    </row>
    <row r="1598" spans="1:7">
      <c r="A1598" s="1">
        <v>44685</v>
      </c>
      <c r="B1598">
        <v>50836</v>
      </c>
      <c r="C1598">
        <f>_xlfn.XLOOKUP(A1598, USD!A:A, USD!B:B, "")</f>
        <v>76.281999999999996</v>
      </c>
      <c r="D1598">
        <f>_xlfn.XLOOKUP(A1598, Brent!A:A, Brent!B:B, "")</f>
        <v>110.53</v>
      </c>
      <c r="E1598">
        <f>_xlfn.XLOOKUP(
  A1598,
  Repo!A:A,
  Repo!B:B,
  "",
  -1
)</f>
        <v>4</v>
      </c>
      <c r="F1598" s="10">
        <f>_xlfn.XLOOKUP(
  A1598,
  CPI!D:D,
  CPI!C:C,
  "",
  -1
)</f>
        <v>7.04</v>
      </c>
      <c r="G1598">
        <v>51022</v>
      </c>
    </row>
    <row r="1599" spans="1:7">
      <c r="A1599" s="1">
        <v>44686</v>
      </c>
      <c r="B1599">
        <v>51653</v>
      </c>
      <c r="C1599">
        <f>_xlfn.XLOOKUP(A1599, USD!A:A, USD!B:B, "")</f>
        <v>76.513999999999996</v>
      </c>
      <c r="D1599">
        <f>_xlfn.XLOOKUP(A1599, Brent!A:A, Brent!B:B, "")</f>
        <v>112.11</v>
      </c>
      <c r="E1599">
        <f>_xlfn.XLOOKUP(
  A1599,
  Repo!A:A,
  Repo!B:B,
  "",
  -1
)</f>
        <v>4</v>
      </c>
      <c r="F1599" s="10">
        <f>_xlfn.XLOOKUP(
  A1599,
  CPI!D:D,
  CPI!C:C,
  "",
  -1
)</f>
        <v>7.04</v>
      </c>
      <c r="G1599">
        <v>50836</v>
      </c>
    </row>
    <row r="1600" spans="1:7">
      <c r="A1600" s="1">
        <v>44687</v>
      </c>
      <c r="B1600">
        <v>51381</v>
      </c>
      <c r="C1600">
        <f>_xlfn.XLOOKUP(A1600, USD!A:A, USD!B:B, "")</f>
        <v>76.978999999999999</v>
      </c>
      <c r="D1600">
        <f>_xlfn.XLOOKUP(A1600, Brent!A:A, Brent!B:B, "")</f>
        <v>113.86</v>
      </c>
      <c r="E1600">
        <f>_xlfn.XLOOKUP(
  A1600,
  Repo!A:A,
  Repo!B:B,
  "",
  -1
)</f>
        <v>4</v>
      </c>
      <c r="F1600" s="10">
        <f>_xlfn.XLOOKUP(
  A1600,
  CPI!D:D,
  CPI!C:C,
  "",
  -1
)</f>
        <v>7.04</v>
      </c>
      <c r="G1600">
        <v>51653</v>
      </c>
    </row>
    <row r="1601" spans="1:7">
      <c r="A1601" s="1">
        <v>44690</v>
      </c>
      <c r="B1601">
        <v>51026</v>
      </c>
      <c r="C1601">
        <f>_xlfn.XLOOKUP(A1601, USD!A:A, USD!B:B, "")</f>
        <v>77.364999999999995</v>
      </c>
      <c r="D1601">
        <f>_xlfn.XLOOKUP(A1601, Brent!A:A, Brent!B:B, "")</f>
        <v>106.67</v>
      </c>
      <c r="E1601">
        <f>_xlfn.XLOOKUP(
  A1601,
  Repo!A:A,
  Repo!B:B,
  "",
  -1
)</f>
        <v>4</v>
      </c>
      <c r="F1601" s="10">
        <f>_xlfn.XLOOKUP(
  A1601,
  CPI!D:D,
  CPI!C:C,
  "",
  -1
)</f>
        <v>7.04</v>
      </c>
      <c r="G1601">
        <v>51381</v>
      </c>
    </row>
    <row r="1602" spans="1:7">
      <c r="A1602" s="1">
        <v>44691</v>
      </c>
      <c r="B1602">
        <v>50662</v>
      </c>
      <c r="C1602">
        <f>_xlfn.XLOOKUP(A1602, USD!A:A, USD!B:B, "")</f>
        <v>77.224999999999994</v>
      </c>
      <c r="D1602">
        <f>_xlfn.XLOOKUP(A1602, Brent!A:A, Brent!B:B, "")</f>
        <v>102.61</v>
      </c>
      <c r="E1602">
        <f>_xlfn.XLOOKUP(
  A1602,
  Repo!A:A,
  Repo!B:B,
  "",
  -1
)</f>
        <v>4</v>
      </c>
      <c r="F1602" s="10">
        <f>_xlfn.XLOOKUP(
  A1602,
  CPI!D:D,
  CPI!C:C,
  "",
  -1
)</f>
        <v>7.04</v>
      </c>
      <c r="G1602">
        <v>51026</v>
      </c>
    </row>
    <row r="1603" spans="1:7">
      <c r="A1603" s="1">
        <v>44692</v>
      </c>
      <c r="B1603">
        <v>50862</v>
      </c>
      <c r="C1603">
        <f>_xlfn.XLOOKUP(A1603, USD!A:A, USD!B:B, "")</f>
        <v>77.424999999999997</v>
      </c>
      <c r="D1603">
        <f>_xlfn.XLOOKUP(A1603, Brent!A:A, Brent!B:B, "")</f>
        <v>107.7</v>
      </c>
      <c r="E1603">
        <f>_xlfn.XLOOKUP(
  A1603,
  Repo!A:A,
  Repo!B:B,
  "",
  -1
)</f>
        <v>4</v>
      </c>
      <c r="F1603" s="10">
        <f>_xlfn.XLOOKUP(
  A1603,
  CPI!D:D,
  CPI!C:C,
  "",
  -1
)</f>
        <v>7.04</v>
      </c>
      <c r="G1603">
        <v>50662</v>
      </c>
    </row>
    <row r="1604" spans="1:7">
      <c r="A1604" s="1">
        <v>44693</v>
      </c>
      <c r="B1604">
        <v>50249</v>
      </c>
      <c r="C1604">
        <f>_xlfn.XLOOKUP(A1604, USD!A:A, USD!B:B, "")</f>
        <v>77.435000000000002</v>
      </c>
      <c r="D1604">
        <f>_xlfn.XLOOKUP(A1604, Brent!A:A, Brent!B:B, "")</f>
        <v>108.06</v>
      </c>
      <c r="E1604">
        <f>_xlfn.XLOOKUP(
  A1604,
  Repo!A:A,
  Repo!B:B,
  "",
  -1
)</f>
        <v>4</v>
      </c>
      <c r="F1604" s="10">
        <f>_xlfn.XLOOKUP(
  A1604,
  CPI!D:D,
  CPI!C:C,
  "",
  -1
)</f>
        <v>7.04</v>
      </c>
      <c r="G1604">
        <v>50862</v>
      </c>
    </row>
    <row r="1605" spans="1:7">
      <c r="A1605" s="1">
        <v>44694</v>
      </c>
      <c r="B1605">
        <v>49944</v>
      </c>
      <c r="C1605">
        <f>_xlfn.XLOOKUP(A1605, USD!A:A, USD!B:B, "")</f>
        <v>77.48</v>
      </c>
      <c r="D1605">
        <f>_xlfn.XLOOKUP(A1605, Brent!A:A, Brent!B:B, "")</f>
        <v>112.12</v>
      </c>
      <c r="E1605">
        <f>_xlfn.XLOOKUP(
  A1605,
  Repo!A:A,
  Repo!B:B,
  "",
  -1
)</f>
        <v>4</v>
      </c>
      <c r="F1605" s="10">
        <f>_xlfn.XLOOKUP(
  A1605,
  CPI!D:D,
  CPI!C:C,
  "",
  -1
)</f>
        <v>7.04</v>
      </c>
      <c r="G1605">
        <v>50249</v>
      </c>
    </row>
    <row r="1606" spans="1:7">
      <c r="A1606" s="1">
        <v>44697</v>
      </c>
      <c r="B1606">
        <v>50291</v>
      </c>
      <c r="C1606">
        <f>_xlfn.XLOOKUP(A1606, USD!A:A, USD!B:B, "")</f>
        <v>77.832999999999998</v>
      </c>
      <c r="D1606">
        <f>_xlfn.XLOOKUP(A1606, Brent!A:A, Brent!B:B, "")</f>
        <v>114.86</v>
      </c>
      <c r="E1606">
        <f>_xlfn.XLOOKUP(
  A1606,
  Repo!A:A,
  Repo!B:B,
  "",
  -1
)</f>
        <v>4</v>
      </c>
      <c r="F1606" s="10">
        <f>_xlfn.XLOOKUP(
  A1606,
  CPI!D:D,
  CPI!C:C,
  "",
  -1
)</f>
        <v>7.04</v>
      </c>
      <c r="G1606">
        <v>49944</v>
      </c>
    </row>
    <row r="1607" spans="1:7">
      <c r="A1607" s="1">
        <v>44698</v>
      </c>
      <c r="B1607">
        <v>50237</v>
      </c>
      <c r="C1607">
        <f>_xlfn.XLOOKUP(A1607, USD!A:A, USD!B:B, "")</f>
        <v>77.475999999999999</v>
      </c>
      <c r="D1607">
        <f>_xlfn.XLOOKUP(A1607, Brent!A:A, Brent!B:B, "")</f>
        <v>112.89</v>
      </c>
      <c r="E1607">
        <f>_xlfn.XLOOKUP(
  A1607,
  Repo!A:A,
  Repo!B:B,
  "",
  -1
)</f>
        <v>4</v>
      </c>
      <c r="F1607" s="10">
        <f>_xlfn.XLOOKUP(
  A1607,
  CPI!D:D,
  CPI!C:C,
  "",
  -1
)</f>
        <v>7.04</v>
      </c>
      <c r="G1607">
        <v>50291</v>
      </c>
    </row>
    <row r="1608" spans="1:7">
      <c r="A1608" s="1">
        <v>44699</v>
      </c>
      <c r="B1608">
        <v>50235</v>
      </c>
      <c r="C1608">
        <f>_xlfn.XLOOKUP(A1608, USD!A:A, USD!B:B, "")</f>
        <v>77.81</v>
      </c>
      <c r="D1608">
        <f>_xlfn.XLOOKUP(A1608, Brent!A:A, Brent!B:B, "")</f>
        <v>110.04</v>
      </c>
      <c r="E1608">
        <f>_xlfn.XLOOKUP(
  A1608,
  Repo!A:A,
  Repo!B:B,
  "",
  -1
)</f>
        <v>4</v>
      </c>
      <c r="F1608" s="10">
        <f>_xlfn.XLOOKUP(
  A1608,
  CPI!D:D,
  CPI!C:C,
  "",
  -1
)</f>
        <v>7.04</v>
      </c>
      <c r="G1608">
        <v>50237</v>
      </c>
    </row>
    <row r="1609" spans="1:7">
      <c r="A1609" s="1">
        <v>44700</v>
      </c>
      <c r="B1609">
        <v>50579</v>
      </c>
      <c r="C1609">
        <f>_xlfn.XLOOKUP(A1609, USD!A:A, USD!B:B, "")</f>
        <v>77.415000000000006</v>
      </c>
      <c r="D1609">
        <f>_xlfn.XLOOKUP(A1609, Brent!A:A, Brent!B:B, "")</f>
        <v>113.22</v>
      </c>
      <c r="E1609">
        <f>_xlfn.XLOOKUP(
  A1609,
  Repo!A:A,
  Repo!B:B,
  "",
  -1
)</f>
        <v>4</v>
      </c>
      <c r="F1609" s="10">
        <f>_xlfn.XLOOKUP(
  A1609,
  CPI!D:D,
  CPI!C:C,
  "",
  -1
)</f>
        <v>7.04</v>
      </c>
      <c r="G1609">
        <v>50235</v>
      </c>
    </row>
    <row r="1610" spans="1:7">
      <c r="A1610" s="1">
        <v>44701</v>
      </c>
      <c r="B1610">
        <v>50842</v>
      </c>
      <c r="C1610">
        <f>_xlfn.XLOOKUP(A1610, USD!A:A, USD!B:B, "")</f>
        <v>77.864999999999995</v>
      </c>
      <c r="D1610">
        <f>_xlfn.XLOOKUP(A1610, Brent!A:A, Brent!B:B, "")</f>
        <v>113.63</v>
      </c>
      <c r="E1610">
        <f>_xlfn.XLOOKUP(
  A1610,
  Repo!A:A,
  Repo!B:B,
  "",
  -1
)</f>
        <v>4</v>
      </c>
      <c r="F1610" s="10">
        <f>_xlfn.XLOOKUP(
  A1610,
  CPI!D:D,
  CPI!C:C,
  "",
  -1
)</f>
        <v>7.04</v>
      </c>
      <c r="G1610">
        <v>50579</v>
      </c>
    </row>
    <row r="1611" spans="1:7">
      <c r="A1611" s="1">
        <v>44704</v>
      </c>
      <c r="B1611">
        <v>50934</v>
      </c>
      <c r="C1611">
        <f>_xlfn.XLOOKUP(A1611, USD!A:A, USD!B:B, "")</f>
        <v>77.545000000000002</v>
      </c>
      <c r="D1611">
        <f>_xlfn.XLOOKUP(A1611, Brent!A:A, Brent!B:B, "")</f>
        <v>115.13</v>
      </c>
      <c r="E1611">
        <f>_xlfn.XLOOKUP(
  A1611,
  Repo!A:A,
  Repo!B:B,
  "",
  -1
)</f>
        <v>4</v>
      </c>
      <c r="F1611" s="10">
        <f>_xlfn.XLOOKUP(
  A1611,
  CPI!D:D,
  CPI!C:C,
  "",
  -1
)</f>
        <v>7.04</v>
      </c>
      <c r="G1611">
        <v>50842</v>
      </c>
    </row>
    <row r="1612" spans="1:7">
      <c r="A1612" s="1">
        <v>44705</v>
      </c>
      <c r="B1612">
        <v>51146</v>
      </c>
      <c r="C1612">
        <f>_xlfn.XLOOKUP(A1612, USD!A:A, USD!B:B, "")</f>
        <v>77.474999999999994</v>
      </c>
      <c r="D1612">
        <f>_xlfn.XLOOKUP(A1612, Brent!A:A, Brent!B:B, "")</f>
        <v>115.77</v>
      </c>
      <c r="E1612">
        <f>_xlfn.XLOOKUP(
  A1612,
  Repo!A:A,
  Repo!B:B,
  "",
  -1
)</f>
        <v>4</v>
      </c>
      <c r="F1612" s="10">
        <f>_xlfn.XLOOKUP(
  A1612,
  CPI!D:D,
  CPI!C:C,
  "",
  -1
)</f>
        <v>7.04</v>
      </c>
      <c r="G1612">
        <v>50934</v>
      </c>
    </row>
    <row r="1613" spans="1:7">
      <c r="A1613" s="1">
        <v>44706</v>
      </c>
      <c r="B1613">
        <v>50815</v>
      </c>
      <c r="C1613">
        <f>_xlfn.XLOOKUP(A1613, USD!A:A, USD!B:B, "")</f>
        <v>77.531000000000006</v>
      </c>
      <c r="D1613">
        <f>_xlfn.XLOOKUP(A1613, Brent!A:A, Brent!B:B, "")</f>
        <v>116.41</v>
      </c>
      <c r="E1613">
        <f>_xlfn.XLOOKUP(
  A1613,
  Repo!A:A,
  Repo!B:B,
  "",
  -1
)</f>
        <v>4</v>
      </c>
      <c r="F1613" s="10">
        <f>_xlfn.XLOOKUP(
  A1613,
  CPI!D:D,
  CPI!C:C,
  "",
  -1
)</f>
        <v>7.04</v>
      </c>
      <c r="G1613">
        <v>51146</v>
      </c>
    </row>
    <row r="1614" spans="1:7">
      <c r="A1614" s="1">
        <v>44707</v>
      </c>
      <c r="B1614">
        <v>50858</v>
      </c>
      <c r="C1614">
        <f>_xlfn.XLOOKUP(A1614, USD!A:A, USD!B:B, "")</f>
        <v>77.635999999999996</v>
      </c>
      <c r="D1614">
        <f>_xlfn.XLOOKUP(A1614, Brent!A:A, Brent!B:B, "")</f>
        <v>119.81</v>
      </c>
      <c r="E1614">
        <f>_xlfn.XLOOKUP(
  A1614,
  Repo!A:A,
  Repo!B:B,
  "",
  -1
)</f>
        <v>4</v>
      </c>
      <c r="F1614" s="10">
        <f>_xlfn.XLOOKUP(
  A1614,
  CPI!D:D,
  CPI!C:C,
  "",
  -1
)</f>
        <v>7.04</v>
      </c>
      <c r="G1614">
        <v>50815</v>
      </c>
    </row>
    <row r="1615" spans="1:7">
      <c r="A1615" s="1">
        <v>44708</v>
      </c>
      <c r="B1615">
        <v>50961</v>
      </c>
      <c r="C1615">
        <f>_xlfn.XLOOKUP(A1615, USD!A:A, USD!B:B, "")</f>
        <v>77.623999999999995</v>
      </c>
      <c r="D1615">
        <f>_xlfn.XLOOKUP(A1615, Brent!A:A, Brent!B:B, "")</f>
        <v>121.19</v>
      </c>
      <c r="E1615">
        <f>_xlfn.XLOOKUP(
  A1615,
  Repo!A:A,
  Repo!B:B,
  "",
  -1
)</f>
        <v>4</v>
      </c>
      <c r="F1615" s="10">
        <f>_xlfn.XLOOKUP(
  A1615,
  CPI!D:D,
  CPI!C:C,
  "",
  -1
)</f>
        <v>7.04</v>
      </c>
      <c r="G1615">
        <v>50858</v>
      </c>
    </row>
    <row r="1616" spans="1:7">
      <c r="A1616" s="1">
        <v>44711</v>
      </c>
      <c r="B1616">
        <v>50908</v>
      </c>
      <c r="C1616">
        <f>_xlfn.XLOOKUP(A1616, USD!A:A, USD!B:B, "")</f>
        <v>77.554000000000002</v>
      </c>
      <c r="D1616">
        <f>_xlfn.XLOOKUP(A1616, Brent!A:A, Brent!B:B, "")</f>
        <v>123.01</v>
      </c>
      <c r="E1616">
        <f>_xlfn.XLOOKUP(
  A1616,
  Repo!A:A,
  Repo!B:B,
  "",
  -1
)</f>
        <v>4</v>
      </c>
      <c r="F1616" s="10">
        <f>_xlfn.XLOOKUP(
  A1616,
  CPI!D:D,
  CPI!C:C,
  "",
  -1
)</f>
        <v>7.04</v>
      </c>
      <c r="G1616">
        <v>50961</v>
      </c>
    </row>
    <row r="1617" spans="1:7">
      <c r="A1617" s="1">
        <v>44712</v>
      </c>
      <c r="B1617">
        <v>50924</v>
      </c>
      <c r="C1617">
        <f>_xlfn.XLOOKUP(A1617, USD!A:A, USD!B:B, "")</f>
        <v>77.597999999999999</v>
      </c>
      <c r="D1617">
        <f>_xlfn.XLOOKUP(A1617, Brent!A:A, Brent!B:B, "")</f>
        <v>125.53</v>
      </c>
      <c r="E1617">
        <f>_xlfn.XLOOKUP(
  A1617,
  Repo!A:A,
  Repo!B:B,
  "",
  -1
)</f>
        <v>4.4000000000000004</v>
      </c>
      <c r="F1617" s="10">
        <f>_xlfn.XLOOKUP(
  A1617,
  CPI!D:D,
  CPI!C:C,
  "",
  -1
)</f>
        <v>7.04</v>
      </c>
      <c r="G1617">
        <v>50908</v>
      </c>
    </row>
    <row r="1618" spans="1:7">
      <c r="A1618" s="1">
        <v>44713</v>
      </c>
      <c r="B1618">
        <v>50504</v>
      </c>
      <c r="C1618">
        <f>_xlfn.XLOOKUP(A1618, USD!A:A, USD!B:B, "")</f>
        <v>77.56</v>
      </c>
      <c r="D1618">
        <f>_xlfn.XLOOKUP(A1618, Brent!A:A, Brent!B:B, "")</f>
        <v>122.2</v>
      </c>
      <c r="E1618">
        <f>_xlfn.XLOOKUP(
  A1618,
  Repo!A:A,
  Repo!B:B,
  "",
  -1
)</f>
        <v>4.4000000000000004</v>
      </c>
      <c r="F1618" s="10">
        <f>_xlfn.XLOOKUP(
  A1618,
  CPI!D:D,
  CPI!C:C,
  "",
  -1
)</f>
        <v>7.01</v>
      </c>
      <c r="G1618">
        <v>50924</v>
      </c>
    </row>
    <row r="1619" spans="1:7">
      <c r="A1619" s="1">
        <v>44715</v>
      </c>
      <c r="B1619">
        <v>51287</v>
      </c>
      <c r="C1619">
        <f>_xlfn.XLOOKUP(A1619, USD!A:A, USD!B:B, "")</f>
        <v>77.614999999999995</v>
      </c>
      <c r="D1619">
        <f>_xlfn.XLOOKUP(A1619, Brent!A:A, Brent!B:B, "")</f>
        <v>125.68</v>
      </c>
      <c r="E1619">
        <f>_xlfn.XLOOKUP(
  A1619,
  Repo!A:A,
  Repo!B:B,
  "",
  -1
)</f>
        <v>4.4000000000000004</v>
      </c>
      <c r="F1619" s="10">
        <f>_xlfn.XLOOKUP(
  A1619,
  CPI!D:D,
  CPI!C:C,
  "",
  -1
)</f>
        <v>7.01</v>
      </c>
      <c r="G1619">
        <v>50504</v>
      </c>
    </row>
    <row r="1620" spans="1:7">
      <c r="A1620" s="1">
        <v>44718</v>
      </c>
      <c r="B1620">
        <v>50871</v>
      </c>
      <c r="C1620">
        <f>_xlfn.XLOOKUP(A1620, USD!A:A, USD!B:B, "")</f>
        <v>77.813999999999993</v>
      </c>
      <c r="D1620">
        <f>_xlfn.XLOOKUP(A1620, Brent!A:A, Brent!B:B, "")</f>
        <v>124.99</v>
      </c>
      <c r="E1620">
        <f>_xlfn.XLOOKUP(
  A1620,
  Repo!A:A,
  Repo!B:B,
  "",
  -1
)</f>
        <v>4.4000000000000004</v>
      </c>
      <c r="F1620" s="10">
        <f>_xlfn.XLOOKUP(
  A1620,
  CPI!D:D,
  CPI!C:C,
  "",
  -1
)</f>
        <v>7.01</v>
      </c>
      <c r="G1620">
        <v>51287</v>
      </c>
    </row>
    <row r="1621" spans="1:7">
      <c r="A1621" s="1">
        <v>44719</v>
      </c>
      <c r="B1621">
        <v>50929</v>
      </c>
      <c r="C1621">
        <f>_xlfn.XLOOKUP(A1621, USD!A:A, USD!B:B, "")</f>
        <v>77.664000000000001</v>
      </c>
      <c r="D1621">
        <f>_xlfn.XLOOKUP(A1621, Brent!A:A, Brent!B:B, "")</f>
        <v>126.89</v>
      </c>
      <c r="E1621">
        <f>_xlfn.XLOOKUP(
  A1621,
  Repo!A:A,
  Repo!B:B,
  "",
  -1
)</f>
        <v>4.4000000000000004</v>
      </c>
      <c r="F1621" s="10">
        <f>_xlfn.XLOOKUP(
  A1621,
  CPI!D:D,
  CPI!C:C,
  "",
  -1
)</f>
        <v>7.01</v>
      </c>
      <c r="G1621">
        <v>50871</v>
      </c>
    </row>
    <row r="1622" spans="1:7">
      <c r="A1622" s="1">
        <v>44720</v>
      </c>
      <c r="B1622">
        <v>51036</v>
      </c>
      <c r="C1622">
        <f>_xlfn.XLOOKUP(A1622, USD!A:A, USD!B:B, "")</f>
        <v>77.709000000000003</v>
      </c>
      <c r="D1622">
        <f>_xlfn.XLOOKUP(A1622, Brent!A:A, Brent!B:B, "")</f>
        <v>129.19999999999999</v>
      </c>
      <c r="E1622">
        <f>_xlfn.XLOOKUP(
  A1622,
  Repo!A:A,
  Repo!B:B,
  "",
  -1
)</f>
        <v>4.4000000000000004</v>
      </c>
      <c r="F1622" s="10">
        <f>_xlfn.XLOOKUP(
  A1622,
  CPI!D:D,
  CPI!C:C,
  "",
  -1
)</f>
        <v>7.01</v>
      </c>
      <c r="G1622">
        <v>50929</v>
      </c>
    </row>
    <row r="1623" spans="1:7">
      <c r="A1623" s="1">
        <v>44721</v>
      </c>
      <c r="B1623">
        <v>50971</v>
      </c>
      <c r="C1623">
        <f>_xlfn.XLOOKUP(A1623, USD!A:A, USD!B:B, "")</f>
        <v>77.814999999999998</v>
      </c>
      <c r="D1623">
        <f>_xlfn.XLOOKUP(A1623, Brent!A:A, Brent!B:B, "")</f>
        <v>128.47</v>
      </c>
      <c r="E1623">
        <f>_xlfn.XLOOKUP(
  A1623,
  Repo!A:A,
  Repo!B:B,
  "",
  -1
)</f>
        <v>4.4000000000000004</v>
      </c>
      <c r="F1623" s="10">
        <f>_xlfn.XLOOKUP(
  A1623,
  CPI!D:D,
  CPI!C:C,
  "",
  -1
)</f>
        <v>7.01</v>
      </c>
      <c r="G1623">
        <v>51036</v>
      </c>
    </row>
    <row r="1624" spans="1:7">
      <c r="A1624" s="1">
        <v>44722</v>
      </c>
      <c r="B1624">
        <v>51645</v>
      </c>
      <c r="C1624">
        <f>_xlfn.XLOOKUP(A1624, USD!A:A, USD!B:B, "")</f>
        <v>78.144000000000005</v>
      </c>
      <c r="D1624">
        <f>_xlfn.XLOOKUP(A1624, Brent!A:A, Brent!B:B, "")</f>
        <v>127.44</v>
      </c>
      <c r="E1624">
        <f>_xlfn.XLOOKUP(
  A1624,
  Repo!A:A,
  Repo!B:B,
  "",
  -1
)</f>
        <v>4.4000000000000004</v>
      </c>
      <c r="F1624" s="10">
        <f>_xlfn.XLOOKUP(
  A1624,
  CPI!D:D,
  CPI!C:C,
  "",
  -1
)</f>
        <v>7.01</v>
      </c>
      <c r="G1624">
        <v>50971</v>
      </c>
    </row>
    <row r="1625" spans="1:7">
      <c r="A1625" s="1">
        <v>44725</v>
      </c>
      <c r="B1625">
        <v>50682</v>
      </c>
      <c r="C1625">
        <f>_xlfn.XLOOKUP(A1625, USD!A:A, USD!B:B, "")</f>
        <v>78.103999999999999</v>
      </c>
      <c r="D1625">
        <f>_xlfn.XLOOKUP(A1625, Brent!A:A, Brent!B:B, "")</f>
        <v>128.44</v>
      </c>
      <c r="E1625">
        <f>_xlfn.XLOOKUP(
  A1625,
  Repo!A:A,
  Repo!B:B,
  "",
  -1
)</f>
        <v>4.4000000000000004</v>
      </c>
      <c r="F1625" s="10">
        <f>_xlfn.XLOOKUP(
  A1625,
  CPI!D:D,
  CPI!C:C,
  "",
  -1
)</f>
        <v>7.01</v>
      </c>
      <c r="G1625">
        <v>51645</v>
      </c>
    </row>
    <row r="1626" spans="1:7">
      <c r="A1626" s="1">
        <v>44726</v>
      </c>
      <c r="B1626">
        <v>50251</v>
      </c>
      <c r="C1626">
        <f>_xlfn.XLOOKUP(A1626, USD!A:A, USD!B:B, "")</f>
        <v>78.022000000000006</v>
      </c>
      <c r="D1626">
        <f>_xlfn.XLOOKUP(A1626, Brent!A:A, Brent!B:B, "")</f>
        <v>127.02</v>
      </c>
      <c r="E1626">
        <f>_xlfn.XLOOKUP(
  A1626,
  Repo!A:A,
  Repo!B:B,
  "",
  -1
)</f>
        <v>4.4000000000000004</v>
      </c>
      <c r="F1626" s="10">
        <f>_xlfn.XLOOKUP(
  A1626,
  CPI!D:D,
  CPI!C:C,
  "",
  -1
)</f>
        <v>7.01</v>
      </c>
      <c r="G1626">
        <v>50682</v>
      </c>
    </row>
    <row r="1627" spans="1:7">
      <c r="A1627" s="1">
        <v>44727</v>
      </c>
      <c r="B1627">
        <v>50433</v>
      </c>
      <c r="C1627">
        <f>_xlfn.XLOOKUP(A1627, USD!A:A, USD!B:B, "")</f>
        <v>78.171000000000006</v>
      </c>
      <c r="D1627">
        <f>_xlfn.XLOOKUP(A1627, Brent!A:A, Brent!B:B, "")</f>
        <v>124.96</v>
      </c>
      <c r="E1627">
        <f>_xlfn.XLOOKUP(
  A1627,
  Repo!A:A,
  Repo!B:B,
  "",
  -1
)</f>
        <v>4.4000000000000004</v>
      </c>
      <c r="F1627" s="10">
        <f>_xlfn.XLOOKUP(
  A1627,
  CPI!D:D,
  CPI!C:C,
  "",
  -1
)</f>
        <v>7.01</v>
      </c>
      <c r="G1627">
        <v>50251</v>
      </c>
    </row>
    <row r="1628" spans="1:7">
      <c r="A1628" s="1">
        <v>44728</v>
      </c>
      <c r="B1628">
        <v>50945</v>
      </c>
      <c r="C1628">
        <f>_xlfn.XLOOKUP(A1628, USD!A:A, USD!B:B, "")</f>
        <v>77.977000000000004</v>
      </c>
      <c r="D1628">
        <f>_xlfn.XLOOKUP(A1628, Brent!A:A, Brent!B:B, "")</f>
        <v>125.78</v>
      </c>
      <c r="E1628">
        <f>_xlfn.XLOOKUP(
  A1628,
  Repo!A:A,
  Repo!B:B,
  "",
  -1
)</f>
        <v>4.4000000000000004</v>
      </c>
      <c r="F1628" s="10">
        <f>_xlfn.XLOOKUP(
  A1628,
  CPI!D:D,
  CPI!C:C,
  "",
  -1
)</f>
        <v>7.01</v>
      </c>
      <c r="G1628">
        <v>50433</v>
      </c>
    </row>
    <row r="1629" spans="1:7">
      <c r="A1629" s="1">
        <v>44729</v>
      </c>
      <c r="B1629">
        <v>50824</v>
      </c>
      <c r="C1629">
        <f>_xlfn.XLOOKUP(A1629, USD!A:A, USD!B:B, "")</f>
        <v>77.951999999999998</v>
      </c>
      <c r="D1629">
        <f>_xlfn.XLOOKUP(A1629, Brent!A:A, Brent!B:B, "")</f>
        <v>119.22</v>
      </c>
      <c r="E1629">
        <f>_xlfn.XLOOKUP(
  A1629,
  Repo!A:A,
  Repo!B:B,
  "",
  -1
)</f>
        <v>4.4000000000000004</v>
      </c>
      <c r="F1629" s="10">
        <f>_xlfn.XLOOKUP(
  A1629,
  CPI!D:D,
  CPI!C:C,
  "",
  -1
)</f>
        <v>7.01</v>
      </c>
      <c r="G1629">
        <v>50945</v>
      </c>
    </row>
    <row r="1630" spans="1:7">
      <c r="A1630" s="1">
        <v>44732</v>
      </c>
      <c r="B1630">
        <v>50748</v>
      </c>
      <c r="C1630">
        <f>_xlfn.XLOOKUP(A1630, USD!A:A, USD!B:B, "")</f>
        <v>77.927000000000007</v>
      </c>
      <c r="D1630">
        <f>_xlfn.XLOOKUP(A1630, Brent!A:A, Brent!B:B, "")</f>
        <v>118.25</v>
      </c>
      <c r="E1630">
        <f>_xlfn.XLOOKUP(
  A1630,
  Repo!A:A,
  Repo!B:B,
  "",
  -1
)</f>
        <v>4.4000000000000004</v>
      </c>
      <c r="F1630" s="10">
        <f>_xlfn.XLOOKUP(
  A1630,
  CPI!D:D,
  CPI!C:C,
  "",
  -1
)</f>
        <v>7.01</v>
      </c>
      <c r="G1630">
        <v>50824</v>
      </c>
    </row>
    <row r="1631" spans="1:7">
      <c r="A1631" s="1">
        <v>44733</v>
      </c>
      <c r="B1631">
        <v>50775</v>
      </c>
      <c r="C1631">
        <f>_xlfn.XLOOKUP(A1631, USD!A:A, USD!B:B, "")</f>
        <v>78.132999999999996</v>
      </c>
      <c r="D1631">
        <f>_xlfn.XLOOKUP(A1631, Brent!A:A, Brent!B:B, "")</f>
        <v>118.51</v>
      </c>
      <c r="E1631">
        <f>_xlfn.XLOOKUP(
  A1631,
  Repo!A:A,
  Repo!B:B,
  "",
  -1
)</f>
        <v>4.4000000000000004</v>
      </c>
      <c r="F1631" s="10">
        <f>_xlfn.XLOOKUP(
  A1631,
  CPI!D:D,
  CPI!C:C,
  "",
  -1
)</f>
        <v>7.01</v>
      </c>
      <c r="G1631">
        <v>50748</v>
      </c>
    </row>
    <row r="1632" spans="1:7">
      <c r="A1632" s="1">
        <v>44734</v>
      </c>
      <c r="B1632">
        <v>50898</v>
      </c>
      <c r="C1632">
        <f>_xlfn.XLOOKUP(A1632, USD!A:A, USD!B:B, "")</f>
        <v>78.180000000000007</v>
      </c>
      <c r="D1632">
        <f>_xlfn.XLOOKUP(A1632, Brent!A:A, Brent!B:B, "")</f>
        <v>115.54</v>
      </c>
      <c r="E1632">
        <f>_xlfn.XLOOKUP(
  A1632,
  Repo!A:A,
  Repo!B:B,
  "",
  -1
)</f>
        <v>4.4000000000000004</v>
      </c>
      <c r="F1632" s="10">
        <f>_xlfn.XLOOKUP(
  A1632,
  CPI!D:D,
  CPI!C:C,
  "",
  -1
)</f>
        <v>7.01</v>
      </c>
      <c r="G1632">
        <v>50775</v>
      </c>
    </row>
    <row r="1633" spans="1:7">
      <c r="A1633" s="1">
        <v>44735</v>
      </c>
      <c r="B1633">
        <v>50608</v>
      </c>
      <c r="C1633">
        <f>_xlfn.XLOOKUP(A1633, USD!A:A, USD!B:B, "")</f>
        <v>78.144999999999996</v>
      </c>
      <c r="D1633">
        <f>_xlfn.XLOOKUP(A1633, Brent!A:A, Brent!B:B, "")</f>
        <v>114.5</v>
      </c>
      <c r="E1633">
        <f>_xlfn.XLOOKUP(
  A1633,
  Repo!A:A,
  Repo!B:B,
  "",
  -1
)</f>
        <v>4.4000000000000004</v>
      </c>
      <c r="F1633" s="10">
        <f>_xlfn.XLOOKUP(
  A1633,
  CPI!D:D,
  CPI!C:C,
  "",
  -1
)</f>
        <v>7.01</v>
      </c>
      <c r="G1633">
        <v>50898</v>
      </c>
    </row>
    <row r="1634" spans="1:7">
      <c r="A1634" s="1">
        <v>44736</v>
      </c>
      <c r="B1634">
        <v>50614</v>
      </c>
      <c r="C1634">
        <f>_xlfn.XLOOKUP(A1634, USD!A:A, USD!B:B, "")</f>
        <v>78.254999999999995</v>
      </c>
      <c r="D1634">
        <f>_xlfn.XLOOKUP(A1634, Brent!A:A, Brent!B:B, "")</f>
        <v>117.36</v>
      </c>
      <c r="E1634">
        <f>_xlfn.XLOOKUP(
  A1634,
  Repo!A:A,
  Repo!B:B,
  "",
  -1
)</f>
        <v>4.4000000000000004</v>
      </c>
      <c r="F1634" s="10">
        <f>_xlfn.XLOOKUP(
  A1634,
  CPI!D:D,
  CPI!C:C,
  "",
  -1
)</f>
        <v>7.01</v>
      </c>
      <c r="G1634">
        <v>50608</v>
      </c>
    </row>
    <row r="1635" spans="1:7">
      <c r="A1635" s="1">
        <v>44739</v>
      </c>
      <c r="B1635">
        <v>50681</v>
      </c>
      <c r="C1635">
        <f>_xlfn.XLOOKUP(A1635, USD!A:A, USD!B:B, "")</f>
        <v>78.44</v>
      </c>
      <c r="D1635">
        <f>_xlfn.XLOOKUP(A1635, Brent!A:A, Brent!B:B, "")</f>
        <v>119.69</v>
      </c>
      <c r="E1635">
        <f>_xlfn.XLOOKUP(
  A1635,
  Repo!A:A,
  Repo!B:B,
  "",
  -1
)</f>
        <v>4.4000000000000004</v>
      </c>
      <c r="F1635" s="10">
        <f>_xlfn.XLOOKUP(
  A1635,
  CPI!D:D,
  CPI!C:C,
  "",
  -1
)</f>
        <v>7.01</v>
      </c>
      <c r="G1635">
        <v>50614</v>
      </c>
    </row>
    <row r="1636" spans="1:7">
      <c r="A1636" s="1">
        <v>44740</v>
      </c>
      <c r="B1636">
        <v>50824</v>
      </c>
      <c r="C1636">
        <f>_xlfn.XLOOKUP(A1636, USD!A:A, USD!B:B, "")</f>
        <v>78.995000000000005</v>
      </c>
      <c r="D1636">
        <f>_xlfn.XLOOKUP(A1636, Brent!A:A, Brent!B:B, "")</f>
        <v>122.21</v>
      </c>
      <c r="E1636">
        <f>_xlfn.XLOOKUP(
  A1636,
  Repo!A:A,
  Repo!B:B,
  "",
  -1
)</f>
        <v>4.4000000000000004</v>
      </c>
      <c r="F1636" s="10">
        <f>_xlfn.XLOOKUP(
  A1636,
  CPI!D:D,
  CPI!C:C,
  "",
  -1
)</f>
        <v>7.01</v>
      </c>
      <c r="G1636">
        <v>50681</v>
      </c>
    </row>
    <row r="1637" spans="1:7">
      <c r="A1637" s="1">
        <v>44741</v>
      </c>
      <c r="B1637">
        <v>50836</v>
      </c>
      <c r="C1637">
        <f>_xlfn.XLOOKUP(A1637, USD!A:A, USD!B:B, "")</f>
        <v>78.944999999999993</v>
      </c>
      <c r="D1637">
        <f>_xlfn.XLOOKUP(A1637, Brent!A:A, Brent!B:B, "")</f>
        <v>120.8</v>
      </c>
      <c r="E1637">
        <f>_xlfn.XLOOKUP(
  A1637,
  Repo!A:A,
  Repo!B:B,
  "",
  -1
)</f>
        <v>4.4000000000000004</v>
      </c>
      <c r="F1637" s="10">
        <f>_xlfn.XLOOKUP(
  A1637,
  CPI!D:D,
  CPI!C:C,
  "",
  -1
)</f>
        <v>7.01</v>
      </c>
      <c r="G1637">
        <v>50824</v>
      </c>
    </row>
    <row r="1638" spans="1:7">
      <c r="A1638" s="1">
        <v>44742</v>
      </c>
      <c r="B1638">
        <v>50719</v>
      </c>
      <c r="C1638">
        <f>_xlfn.XLOOKUP(A1638, USD!A:A, USD!B:B, "")</f>
        <v>78.965000000000003</v>
      </c>
      <c r="D1638">
        <f>_xlfn.XLOOKUP(A1638, Brent!A:A, Brent!B:B, "")</f>
        <v>119.78</v>
      </c>
      <c r="E1638">
        <f>_xlfn.XLOOKUP(
  A1638,
  Repo!A:A,
  Repo!B:B,
  "",
  -1
)</f>
        <v>4.9000000000000004</v>
      </c>
      <c r="F1638" s="10">
        <f>_xlfn.XLOOKUP(
  A1638,
  CPI!D:D,
  CPI!C:C,
  "",
  -1
)</f>
        <v>7.01</v>
      </c>
      <c r="G1638">
        <v>50836</v>
      </c>
    </row>
    <row r="1639" spans="1:7">
      <c r="A1639" s="1">
        <v>44743</v>
      </c>
      <c r="B1639">
        <v>52227</v>
      </c>
      <c r="C1639">
        <f>_xlfn.XLOOKUP(A1639, USD!A:A, USD!B:B, "")</f>
        <v>78.956000000000003</v>
      </c>
      <c r="D1639">
        <f>_xlfn.XLOOKUP(A1639, Brent!A:A, Brent!B:B, "")</f>
        <v>119.21</v>
      </c>
      <c r="E1639">
        <f>_xlfn.XLOOKUP(
  A1639,
  Repo!A:A,
  Repo!B:B,
  "",
  -1
)</f>
        <v>4.9000000000000004</v>
      </c>
      <c r="F1639" s="10">
        <f>_xlfn.XLOOKUP(
  A1639,
  CPI!D:D,
  CPI!C:C,
  "",
  -1
)</f>
        <v>6.71</v>
      </c>
      <c r="G1639">
        <v>50719</v>
      </c>
    </row>
    <row r="1640" spans="1:7">
      <c r="A1640" s="1">
        <v>44746</v>
      </c>
      <c r="B1640">
        <v>51808</v>
      </c>
      <c r="C1640">
        <f>_xlfn.XLOOKUP(A1640, USD!A:A, USD!B:B, "")</f>
        <v>78.938999999999993</v>
      </c>
      <c r="D1640">
        <f>_xlfn.XLOOKUP(A1640, Brent!A:A, Brent!B:B, "")</f>
        <v>121.8</v>
      </c>
      <c r="E1640">
        <f>_xlfn.XLOOKUP(
  A1640,
  Repo!A:A,
  Repo!B:B,
  "",
  -1
)</f>
        <v>4.9000000000000004</v>
      </c>
      <c r="F1640" s="10">
        <f>_xlfn.XLOOKUP(
  A1640,
  CPI!D:D,
  CPI!C:C,
  "",
  -1
)</f>
        <v>6.71</v>
      </c>
      <c r="G1640">
        <v>52227</v>
      </c>
    </row>
    <row r="1641" spans="1:7">
      <c r="A1641" s="1">
        <v>44747</v>
      </c>
      <c r="B1641">
        <v>52238</v>
      </c>
      <c r="C1641">
        <f>_xlfn.XLOOKUP(A1641, USD!A:A, USD!B:B, "")</f>
        <v>79.298000000000002</v>
      </c>
      <c r="D1641">
        <f>_xlfn.XLOOKUP(A1641, Brent!A:A, Brent!B:B, "")</f>
        <v>110.49</v>
      </c>
      <c r="E1641">
        <f>_xlfn.XLOOKUP(
  A1641,
  Repo!A:A,
  Repo!B:B,
  "",
  -1
)</f>
        <v>4.9000000000000004</v>
      </c>
      <c r="F1641" s="10">
        <f>_xlfn.XLOOKUP(
  A1641,
  CPI!D:D,
  CPI!C:C,
  "",
  -1
)</f>
        <v>6.71</v>
      </c>
      <c r="G1641">
        <v>51808</v>
      </c>
    </row>
    <row r="1642" spans="1:7">
      <c r="A1642" s="1">
        <v>44748</v>
      </c>
      <c r="B1642">
        <v>50581</v>
      </c>
      <c r="C1642">
        <f>_xlfn.XLOOKUP(A1642, USD!A:A, USD!B:B, "")</f>
        <v>79.046999999999997</v>
      </c>
      <c r="D1642">
        <f>_xlfn.XLOOKUP(A1642, Brent!A:A, Brent!B:B, "")</f>
        <v>108.54</v>
      </c>
      <c r="E1642">
        <f>_xlfn.XLOOKUP(
  A1642,
  Repo!A:A,
  Repo!B:B,
  "",
  -1
)</f>
        <v>4.9000000000000004</v>
      </c>
      <c r="F1642" s="10">
        <f>_xlfn.XLOOKUP(
  A1642,
  CPI!D:D,
  CPI!C:C,
  "",
  -1
)</f>
        <v>6.71</v>
      </c>
      <c r="G1642">
        <v>52238</v>
      </c>
    </row>
    <row r="1643" spans="1:7">
      <c r="A1643" s="1">
        <v>44749</v>
      </c>
      <c r="B1643">
        <v>50691</v>
      </c>
      <c r="C1643">
        <f>_xlfn.XLOOKUP(A1643, USD!A:A, USD!B:B, "")</f>
        <v>79.174999999999997</v>
      </c>
      <c r="D1643">
        <f>_xlfn.XLOOKUP(A1643, Brent!A:A, Brent!B:B, "")</f>
        <v>113.4</v>
      </c>
      <c r="E1643">
        <f>_xlfn.XLOOKUP(
  A1643,
  Repo!A:A,
  Repo!B:B,
  "",
  -1
)</f>
        <v>4.9000000000000004</v>
      </c>
      <c r="F1643" s="10">
        <f>_xlfn.XLOOKUP(
  A1643,
  CPI!D:D,
  CPI!C:C,
  "",
  -1
)</f>
        <v>6.71</v>
      </c>
      <c r="G1643">
        <v>50581</v>
      </c>
    </row>
    <row r="1644" spans="1:7">
      <c r="A1644" s="1">
        <v>44750</v>
      </c>
      <c r="B1644">
        <v>50832</v>
      </c>
      <c r="C1644">
        <f>_xlfn.XLOOKUP(A1644, USD!A:A, USD!B:B, "")</f>
        <v>79.260000000000005</v>
      </c>
      <c r="D1644">
        <f>_xlfn.XLOOKUP(A1644, Brent!A:A, Brent!B:B, "")</f>
        <v>113.95</v>
      </c>
      <c r="E1644">
        <f>_xlfn.XLOOKUP(
  A1644,
  Repo!A:A,
  Repo!B:B,
  "",
  -1
)</f>
        <v>4.9000000000000004</v>
      </c>
      <c r="F1644" s="10">
        <f>_xlfn.XLOOKUP(
  A1644,
  CPI!D:D,
  CPI!C:C,
  "",
  -1
)</f>
        <v>6.71</v>
      </c>
      <c r="G1644">
        <v>50691</v>
      </c>
    </row>
    <row r="1645" spans="1:7">
      <c r="A1645" s="1">
        <v>44753</v>
      </c>
      <c r="B1645">
        <v>50709</v>
      </c>
      <c r="C1645">
        <f>_xlfn.XLOOKUP(A1645, USD!A:A, USD!B:B, "")</f>
        <v>79.41</v>
      </c>
      <c r="D1645">
        <f>_xlfn.XLOOKUP(A1645, Brent!A:A, Brent!B:B, "")</f>
        <v>114.85</v>
      </c>
      <c r="E1645">
        <f>_xlfn.XLOOKUP(
  A1645,
  Repo!A:A,
  Repo!B:B,
  "",
  -1
)</f>
        <v>4.9000000000000004</v>
      </c>
      <c r="F1645" s="10">
        <f>_xlfn.XLOOKUP(
  A1645,
  CPI!D:D,
  CPI!C:C,
  "",
  -1
)</f>
        <v>6.71</v>
      </c>
      <c r="G1645">
        <v>50832</v>
      </c>
    </row>
    <row r="1646" spans="1:7">
      <c r="A1646" s="1">
        <v>44754</v>
      </c>
      <c r="B1646">
        <v>50532</v>
      </c>
      <c r="C1646">
        <f>_xlfn.XLOOKUP(A1646, USD!A:A, USD!B:B, "")</f>
        <v>79.45</v>
      </c>
      <c r="D1646">
        <f>_xlfn.XLOOKUP(A1646, Brent!A:A, Brent!B:B, "")</f>
        <v>106.98</v>
      </c>
      <c r="E1646">
        <f>_xlfn.XLOOKUP(
  A1646,
  Repo!A:A,
  Repo!B:B,
  "",
  -1
)</f>
        <v>4.9000000000000004</v>
      </c>
      <c r="F1646" s="10">
        <f>_xlfn.XLOOKUP(
  A1646,
  CPI!D:D,
  CPI!C:C,
  "",
  -1
)</f>
        <v>6.71</v>
      </c>
      <c r="G1646">
        <v>50709</v>
      </c>
    </row>
    <row r="1647" spans="1:7">
      <c r="A1647" s="1">
        <v>44755</v>
      </c>
      <c r="B1647">
        <v>50849</v>
      </c>
      <c r="C1647">
        <f>_xlfn.XLOOKUP(A1647, USD!A:A, USD!B:B, "")</f>
        <v>79.650000000000006</v>
      </c>
      <c r="D1647">
        <f>_xlfn.XLOOKUP(A1647, Brent!A:A, Brent!B:B, "")</f>
        <v>107.17</v>
      </c>
      <c r="E1647">
        <f>_xlfn.XLOOKUP(
  A1647,
  Repo!A:A,
  Repo!B:B,
  "",
  -1
)</f>
        <v>4.9000000000000004</v>
      </c>
      <c r="F1647" s="10">
        <f>_xlfn.XLOOKUP(
  A1647,
  CPI!D:D,
  CPI!C:C,
  "",
  -1
)</f>
        <v>6.71</v>
      </c>
      <c r="G1647">
        <v>50532</v>
      </c>
    </row>
    <row r="1648" spans="1:7">
      <c r="A1648" s="1">
        <v>44756</v>
      </c>
      <c r="B1648">
        <v>50323</v>
      </c>
      <c r="C1648">
        <f>_xlfn.XLOOKUP(A1648, USD!A:A, USD!B:B, "")</f>
        <v>79.89</v>
      </c>
      <c r="D1648">
        <f>_xlfn.XLOOKUP(A1648, Brent!A:A, Brent!B:B, "")</f>
        <v>107.74</v>
      </c>
      <c r="E1648">
        <f>_xlfn.XLOOKUP(
  A1648,
  Repo!A:A,
  Repo!B:B,
  "",
  -1
)</f>
        <v>4.9000000000000004</v>
      </c>
      <c r="F1648" s="10">
        <f>_xlfn.XLOOKUP(
  A1648,
  CPI!D:D,
  CPI!C:C,
  "",
  -1
)</f>
        <v>6.71</v>
      </c>
      <c r="G1648">
        <v>50849</v>
      </c>
    </row>
    <row r="1649" spans="1:7">
      <c r="A1649" s="1">
        <v>44757</v>
      </c>
      <c r="B1649">
        <v>50212</v>
      </c>
      <c r="C1649">
        <f>_xlfn.XLOOKUP(A1649, USD!A:A, USD!B:B, "")</f>
        <v>79.760000000000005</v>
      </c>
      <c r="D1649">
        <f>_xlfn.XLOOKUP(A1649, Brent!A:A, Brent!B:B, "")</f>
        <v>112.26</v>
      </c>
      <c r="E1649">
        <f>_xlfn.XLOOKUP(
  A1649,
  Repo!A:A,
  Repo!B:B,
  "",
  -1
)</f>
        <v>4.9000000000000004</v>
      </c>
      <c r="F1649" s="10">
        <f>_xlfn.XLOOKUP(
  A1649,
  CPI!D:D,
  CPI!C:C,
  "",
  -1
)</f>
        <v>6.71</v>
      </c>
      <c r="G1649">
        <v>50323</v>
      </c>
    </row>
    <row r="1650" spans="1:7">
      <c r="A1650" s="1">
        <v>44760</v>
      </c>
      <c r="B1650">
        <v>50457</v>
      </c>
      <c r="C1650">
        <f>_xlfn.XLOOKUP(A1650, USD!A:A, USD!B:B, "")</f>
        <v>79.989999999999995</v>
      </c>
      <c r="D1650">
        <f>_xlfn.XLOOKUP(A1650, Brent!A:A, Brent!B:B, "")</f>
        <v>117.27</v>
      </c>
      <c r="E1650">
        <f>_xlfn.XLOOKUP(
  A1650,
  Repo!A:A,
  Repo!B:B,
  "",
  -1
)</f>
        <v>4.9000000000000004</v>
      </c>
      <c r="F1650" s="10">
        <f>_xlfn.XLOOKUP(
  A1650,
  CPI!D:D,
  CPI!C:C,
  "",
  -1
)</f>
        <v>6.71</v>
      </c>
      <c r="G1650">
        <v>50212</v>
      </c>
    </row>
    <row r="1651" spans="1:7">
      <c r="A1651" s="1">
        <v>44761</v>
      </c>
      <c r="B1651">
        <v>50395</v>
      </c>
      <c r="C1651">
        <f>_xlfn.XLOOKUP(A1651, USD!A:A, USD!B:B, "")</f>
        <v>79.849999999999994</v>
      </c>
      <c r="D1651">
        <f>_xlfn.XLOOKUP(A1651, Brent!A:A, Brent!B:B, "")</f>
        <v>114.96</v>
      </c>
      <c r="E1651">
        <f>_xlfn.XLOOKUP(
  A1651,
  Repo!A:A,
  Repo!B:B,
  "",
  -1
)</f>
        <v>4.9000000000000004</v>
      </c>
      <c r="F1651" s="10">
        <f>_xlfn.XLOOKUP(
  A1651,
  CPI!D:D,
  CPI!C:C,
  "",
  -1
)</f>
        <v>6.71</v>
      </c>
      <c r="G1651">
        <v>50457</v>
      </c>
    </row>
    <row r="1652" spans="1:7">
      <c r="A1652" s="1">
        <v>44762</v>
      </c>
      <c r="B1652">
        <v>50309</v>
      </c>
      <c r="C1652">
        <f>_xlfn.XLOOKUP(A1652, USD!A:A, USD!B:B, "")</f>
        <v>79.98</v>
      </c>
      <c r="D1652">
        <f>_xlfn.XLOOKUP(A1652, Brent!A:A, Brent!B:B, "")</f>
        <v>115.86</v>
      </c>
      <c r="E1652">
        <f>_xlfn.XLOOKUP(
  A1652,
  Repo!A:A,
  Repo!B:B,
  "",
  -1
)</f>
        <v>4.9000000000000004</v>
      </c>
      <c r="F1652" s="10">
        <f>_xlfn.XLOOKUP(
  A1652,
  CPI!D:D,
  CPI!C:C,
  "",
  -1
)</f>
        <v>6.71</v>
      </c>
      <c r="G1652">
        <v>50395</v>
      </c>
    </row>
    <row r="1653" spans="1:7">
      <c r="A1653" s="1">
        <v>44763</v>
      </c>
      <c r="B1653">
        <v>50427</v>
      </c>
      <c r="C1653">
        <f>_xlfn.XLOOKUP(A1653, USD!A:A, USD!B:B, "")</f>
        <v>79.849999999999994</v>
      </c>
      <c r="D1653">
        <f>_xlfn.XLOOKUP(A1653, Brent!A:A, Brent!B:B, "")</f>
        <v>112.81</v>
      </c>
      <c r="E1653">
        <f>_xlfn.XLOOKUP(
  A1653,
  Repo!A:A,
  Repo!B:B,
  "",
  -1
)</f>
        <v>4.9000000000000004</v>
      </c>
      <c r="F1653" s="10">
        <f>_xlfn.XLOOKUP(
  A1653,
  CPI!D:D,
  CPI!C:C,
  "",
  -1
)</f>
        <v>6.71</v>
      </c>
      <c r="G1653">
        <v>50309</v>
      </c>
    </row>
    <row r="1654" spans="1:7">
      <c r="A1654" s="1">
        <v>44764</v>
      </c>
      <c r="B1654">
        <v>50720</v>
      </c>
      <c r="C1654">
        <f>_xlfn.XLOOKUP(A1654, USD!A:A, USD!B:B, "")</f>
        <v>79.83</v>
      </c>
      <c r="D1654">
        <f>_xlfn.XLOOKUP(A1654, Brent!A:A, Brent!B:B, "")</f>
        <v>106.77</v>
      </c>
      <c r="E1654">
        <f>_xlfn.XLOOKUP(
  A1654,
  Repo!A:A,
  Repo!B:B,
  "",
  -1
)</f>
        <v>4.9000000000000004</v>
      </c>
      <c r="F1654" s="10">
        <f>_xlfn.XLOOKUP(
  A1654,
  CPI!D:D,
  CPI!C:C,
  "",
  -1
)</f>
        <v>6.71</v>
      </c>
      <c r="G1654">
        <v>50427</v>
      </c>
    </row>
    <row r="1655" spans="1:7">
      <c r="A1655" s="1">
        <v>44767</v>
      </c>
      <c r="B1655">
        <v>50567</v>
      </c>
      <c r="C1655">
        <f>_xlfn.XLOOKUP(A1655, USD!A:A, USD!B:B, "")</f>
        <v>79.691000000000003</v>
      </c>
      <c r="D1655">
        <f>_xlfn.XLOOKUP(A1655, Brent!A:A, Brent!B:B, "")</f>
        <v>108.23</v>
      </c>
      <c r="E1655">
        <f>_xlfn.XLOOKUP(
  A1655,
  Repo!A:A,
  Repo!B:B,
  "",
  -1
)</f>
        <v>4.9000000000000004</v>
      </c>
      <c r="F1655" s="10">
        <f>_xlfn.XLOOKUP(
  A1655,
  CPI!D:D,
  CPI!C:C,
  "",
  -1
)</f>
        <v>6.71</v>
      </c>
      <c r="G1655">
        <v>50720</v>
      </c>
    </row>
    <row r="1656" spans="1:7">
      <c r="A1656" s="1">
        <v>44768</v>
      </c>
      <c r="B1656">
        <v>50612</v>
      </c>
      <c r="C1656">
        <f>_xlfn.XLOOKUP(A1656, USD!A:A, USD!B:B, "")</f>
        <v>79.843000000000004</v>
      </c>
      <c r="D1656">
        <f>_xlfn.XLOOKUP(A1656, Brent!A:A, Brent!B:B, "")</f>
        <v>107.32</v>
      </c>
      <c r="E1656">
        <f>_xlfn.XLOOKUP(
  A1656,
  Repo!A:A,
  Repo!B:B,
  "",
  -1
)</f>
        <v>4.9000000000000004</v>
      </c>
      <c r="F1656" s="10">
        <f>_xlfn.XLOOKUP(
  A1656,
  CPI!D:D,
  CPI!C:C,
  "",
  -1
)</f>
        <v>6.71</v>
      </c>
      <c r="G1656">
        <v>50567</v>
      </c>
    </row>
    <row r="1657" spans="1:7">
      <c r="A1657" s="1">
        <v>44769</v>
      </c>
      <c r="B1657">
        <v>50722</v>
      </c>
      <c r="C1657">
        <f>_xlfn.XLOOKUP(A1657, USD!A:A, USD!B:B, "")</f>
        <v>79.844999999999999</v>
      </c>
      <c r="D1657">
        <f>_xlfn.XLOOKUP(A1657, Brent!A:A, Brent!B:B, "")</f>
        <v>109.64</v>
      </c>
      <c r="E1657">
        <f>_xlfn.XLOOKUP(
  A1657,
  Repo!A:A,
  Repo!B:B,
  "",
  -1
)</f>
        <v>4.9000000000000004</v>
      </c>
      <c r="F1657" s="10">
        <f>_xlfn.XLOOKUP(
  A1657,
  CPI!D:D,
  CPI!C:C,
  "",
  -1
)</f>
        <v>6.71</v>
      </c>
      <c r="G1657">
        <v>50612</v>
      </c>
    </row>
    <row r="1658" spans="1:7">
      <c r="A1658" s="1">
        <v>44770</v>
      </c>
      <c r="B1658">
        <v>51274</v>
      </c>
      <c r="C1658">
        <f>_xlfn.XLOOKUP(A1658, USD!A:A, USD!B:B, "")</f>
        <v>79.626000000000005</v>
      </c>
      <c r="D1658">
        <f>_xlfn.XLOOKUP(A1658, Brent!A:A, Brent!B:B, "")</f>
        <v>109.68</v>
      </c>
      <c r="E1658">
        <f>_xlfn.XLOOKUP(
  A1658,
  Repo!A:A,
  Repo!B:B,
  "",
  -1
)</f>
        <v>4.9000000000000004</v>
      </c>
      <c r="F1658" s="10">
        <f>_xlfn.XLOOKUP(
  A1658,
  CPI!D:D,
  CPI!C:C,
  "",
  -1
)</f>
        <v>6.71</v>
      </c>
      <c r="G1658">
        <v>50722</v>
      </c>
    </row>
    <row r="1659" spans="1:7">
      <c r="A1659" s="1">
        <v>44771</v>
      </c>
      <c r="B1659">
        <v>51365</v>
      </c>
      <c r="C1659">
        <f>_xlfn.XLOOKUP(A1659, USD!A:A, USD!B:B, "")</f>
        <v>79.335999999999999</v>
      </c>
      <c r="D1659">
        <f>_xlfn.XLOOKUP(A1659, Brent!A:A, Brent!B:B, "")</f>
        <v>111.51</v>
      </c>
      <c r="E1659">
        <f>_xlfn.XLOOKUP(
  A1659,
  Repo!A:A,
  Repo!B:B,
  "",
  -1
)</f>
        <v>4.9000000000000004</v>
      </c>
      <c r="F1659" s="10">
        <f>_xlfn.XLOOKUP(
  A1659,
  CPI!D:D,
  CPI!C:C,
  "",
  -1
)</f>
        <v>6.71</v>
      </c>
      <c r="G1659">
        <v>51274</v>
      </c>
    </row>
    <row r="1660" spans="1:7">
      <c r="A1660" s="1">
        <v>44774</v>
      </c>
      <c r="B1660">
        <v>51260</v>
      </c>
      <c r="C1660">
        <f>_xlfn.XLOOKUP(A1660, USD!A:A, USD!B:B, "")</f>
        <v>78.959000000000003</v>
      </c>
      <c r="D1660">
        <f>_xlfn.XLOOKUP(A1660, Brent!A:A, Brent!B:B, "")</f>
        <v>106.09</v>
      </c>
      <c r="E1660">
        <f>_xlfn.XLOOKUP(
  A1660,
  Repo!A:A,
  Repo!B:B,
  "",
  -1
)</f>
        <v>4.9000000000000004</v>
      </c>
      <c r="F1660" s="10">
        <f>_xlfn.XLOOKUP(
  A1660,
  CPI!D:D,
  CPI!C:C,
  "",
  -1
)</f>
        <v>7</v>
      </c>
      <c r="G1660">
        <v>51365</v>
      </c>
    </row>
    <row r="1661" spans="1:7">
      <c r="A1661" s="1">
        <v>44775</v>
      </c>
      <c r="B1661">
        <v>51274</v>
      </c>
      <c r="C1661">
        <f>_xlfn.XLOOKUP(A1661, USD!A:A, USD!B:B, "")</f>
        <v>78.587000000000003</v>
      </c>
      <c r="D1661">
        <f>_xlfn.XLOOKUP(A1661, Brent!A:A, Brent!B:B, "")</f>
        <v>106.51</v>
      </c>
      <c r="E1661">
        <f>_xlfn.XLOOKUP(
  A1661,
  Repo!A:A,
  Repo!B:B,
  "",
  -1
)</f>
        <v>4.9000000000000004</v>
      </c>
      <c r="F1661" s="10">
        <f>_xlfn.XLOOKUP(
  A1661,
  CPI!D:D,
  CPI!C:C,
  "",
  -1
)</f>
        <v>7</v>
      </c>
      <c r="G1661">
        <v>51260</v>
      </c>
    </row>
    <row r="1662" spans="1:7">
      <c r="A1662" s="1">
        <v>44776</v>
      </c>
      <c r="B1662">
        <v>51216</v>
      </c>
      <c r="C1662">
        <f>_xlfn.XLOOKUP(A1662, USD!A:A, USD!B:B, "")</f>
        <v>79.108000000000004</v>
      </c>
      <c r="D1662">
        <f>_xlfn.XLOOKUP(A1662, Brent!A:A, Brent!B:B, "")</f>
        <v>101.82</v>
      </c>
      <c r="E1662">
        <f>_xlfn.XLOOKUP(
  A1662,
  Repo!A:A,
  Repo!B:B,
  "",
  -1
)</f>
        <v>4.9000000000000004</v>
      </c>
      <c r="F1662" s="10">
        <f>_xlfn.XLOOKUP(
  A1662,
  CPI!D:D,
  CPI!C:C,
  "",
  -1
)</f>
        <v>7</v>
      </c>
      <c r="G1662">
        <v>51274</v>
      </c>
    </row>
    <row r="1663" spans="1:7">
      <c r="A1663" s="1">
        <v>44777</v>
      </c>
      <c r="B1663">
        <v>51802</v>
      </c>
      <c r="C1663">
        <f>_xlfn.XLOOKUP(A1663, USD!A:A, USD!B:B, "")</f>
        <v>79.16</v>
      </c>
      <c r="D1663">
        <f>_xlfn.XLOOKUP(A1663, Brent!A:A, Brent!B:B, "")</f>
        <v>97.99</v>
      </c>
      <c r="E1663">
        <f>_xlfn.XLOOKUP(
  A1663,
  Repo!A:A,
  Repo!B:B,
  "",
  -1
)</f>
        <v>4.9000000000000004</v>
      </c>
      <c r="F1663" s="10">
        <f>_xlfn.XLOOKUP(
  A1663,
  CPI!D:D,
  CPI!C:C,
  "",
  -1
)</f>
        <v>7</v>
      </c>
      <c r="G1663">
        <v>51216</v>
      </c>
    </row>
    <row r="1664" spans="1:7">
      <c r="A1664" s="1">
        <v>44778</v>
      </c>
      <c r="B1664">
        <v>51641</v>
      </c>
      <c r="C1664">
        <f>_xlfn.XLOOKUP(A1664, USD!A:A, USD!B:B, "")</f>
        <v>79.36</v>
      </c>
      <c r="D1664">
        <f>_xlfn.XLOOKUP(A1664, Brent!A:A, Brent!B:B, "")</f>
        <v>100.31</v>
      </c>
      <c r="E1664">
        <f>_xlfn.XLOOKUP(
  A1664,
  Repo!A:A,
  Repo!B:B,
  "",
  -1
)</f>
        <v>4.9000000000000004</v>
      </c>
      <c r="F1664" s="10">
        <f>_xlfn.XLOOKUP(
  A1664,
  CPI!D:D,
  CPI!C:C,
  "",
  -1
)</f>
        <v>7</v>
      </c>
      <c r="G1664">
        <v>51802</v>
      </c>
    </row>
    <row r="1665" spans="1:7">
      <c r="A1665" s="1">
        <v>44781</v>
      </c>
      <c r="B1665">
        <v>52183</v>
      </c>
      <c r="C1665">
        <f>_xlfn.XLOOKUP(A1665, USD!A:A, USD!B:B, "")</f>
        <v>79.584000000000003</v>
      </c>
      <c r="D1665">
        <f>_xlfn.XLOOKUP(A1665, Brent!A:A, Brent!B:B, "")</f>
        <v>103.46</v>
      </c>
      <c r="E1665">
        <f>_xlfn.XLOOKUP(
  A1665,
  Repo!A:A,
  Repo!B:B,
  "",
  -1
)</f>
        <v>4.9000000000000004</v>
      </c>
      <c r="F1665" s="10">
        <f>_xlfn.XLOOKUP(
  A1665,
  CPI!D:D,
  CPI!C:C,
  "",
  -1
)</f>
        <v>7</v>
      </c>
      <c r="G1665">
        <v>51641</v>
      </c>
    </row>
    <row r="1666" spans="1:7">
      <c r="A1666" s="1">
        <v>44782</v>
      </c>
      <c r="B1666">
        <v>52383</v>
      </c>
      <c r="C1666">
        <f>_xlfn.XLOOKUP(A1666, USD!A:A, USD!B:B, "")</f>
        <v>79.563000000000002</v>
      </c>
      <c r="D1666">
        <f>_xlfn.XLOOKUP(A1666, Brent!A:A, Brent!B:B, "")</f>
        <v>103.81</v>
      </c>
      <c r="E1666">
        <f>_xlfn.XLOOKUP(
  A1666,
  Repo!A:A,
  Repo!B:B,
  "",
  -1
)</f>
        <v>4.9000000000000004</v>
      </c>
      <c r="F1666" s="10">
        <f>_xlfn.XLOOKUP(
  A1666,
  CPI!D:D,
  CPI!C:C,
  "",
  -1
)</f>
        <v>7</v>
      </c>
      <c r="G1666">
        <v>52183</v>
      </c>
    </row>
    <row r="1667" spans="1:7">
      <c r="A1667" s="1">
        <v>44783</v>
      </c>
      <c r="B1667">
        <v>52184</v>
      </c>
      <c r="C1667">
        <f>_xlfn.XLOOKUP(A1667, USD!A:A, USD!B:B, "")</f>
        <v>79.09</v>
      </c>
      <c r="D1667">
        <f>_xlfn.XLOOKUP(A1667, Brent!A:A, Brent!B:B, "")</f>
        <v>105.06</v>
      </c>
      <c r="E1667">
        <f>_xlfn.XLOOKUP(
  A1667,
  Repo!A:A,
  Repo!B:B,
  "",
  -1
)</f>
        <v>4.9000000000000004</v>
      </c>
      <c r="F1667" s="10">
        <f>_xlfn.XLOOKUP(
  A1667,
  CPI!D:D,
  CPI!C:C,
  "",
  -1
)</f>
        <v>7</v>
      </c>
      <c r="G1667">
        <v>52383</v>
      </c>
    </row>
    <row r="1668" spans="1:7">
      <c r="A1668" s="1">
        <v>44784</v>
      </c>
      <c r="B1668">
        <v>52246</v>
      </c>
      <c r="C1668">
        <f>_xlfn.XLOOKUP(A1668, USD!A:A, USD!B:B, "")</f>
        <v>79.58</v>
      </c>
      <c r="D1668">
        <f>_xlfn.XLOOKUP(A1668, Brent!A:A, Brent!B:B, "")</f>
        <v>107.19</v>
      </c>
      <c r="E1668">
        <f>_xlfn.XLOOKUP(
  A1668,
  Repo!A:A,
  Repo!B:B,
  "",
  -1
)</f>
        <v>4.9000000000000004</v>
      </c>
      <c r="F1668" s="10">
        <f>_xlfn.XLOOKUP(
  A1668,
  CPI!D:D,
  CPI!C:C,
  "",
  -1
)</f>
        <v>7</v>
      </c>
      <c r="G1668">
        <v>52184</v>
      </c>
    </row>
    <row r="1669" spans="1:7">
      <c r="A1669" s="1">
        <v>44785</v>
      </c>
      <c r="B1669">
        <v>52456</v>
      </c>
      <c r="C1669">
        <f>_xlfn.XLOOKUP(A1669, USD!A:A, USD!B:B, "")</f>
        <v>79.641000000000005</v>
      </c>
      <c r="D1669">
        <f>_xlfn.XLOOKUP(A1669, Brent!A:A, Brent!B:B, "")</f>
        <v>103.7</v>
      </c>
      <c r="E1669">
        <f>_xlfn.XLOOKUP(
  A1669,
  Repo!A:A,
  Repo!B:B,
  "",
  -1
)</f>
        <v>4.9000000000000004</v>
      </c>
      <c r="F1669" s="10">
        <f>_xlfn.XLOOKUP(
  A1669,
  CPI!D:D,
  CPI!C:C,
  "",
  -1
)</f>
        <v>7</v>
      </c>
      <c r="G1669">
        <v>52246</v>
      </c>
    </row>
    <row r="1670" spans="1:7">
      <c r="A1670" s="1">
        <v>44789</v>
      </c>
      <c r="B1670">
        <v>51821</v>
      </c>
      <c r="C1670">
        <f>_xlfn.XLOOKUP(A1670, USD!A:A, USD!B:B, "")</f>
        <v>79.248000000000005</v>
      </c>
      <c r="D1670">
        <f>_xlfn.XLOOKUP(A1670, Brent!A:A, Brent!B:B, "")</f>
        <v>95.36</v>
      </c>
      <c r="E1670">
        <f>_xlfn.XLOOKUP(
  A1670,
  Repo!A:A,
  Repo!B:B,
  "",
  -1
)</f>
        <v>4.9000000000000004</v>
      </c>
      <c r="F1670" s="10">
        <f>_xlfn.XLOOKUP(
  A1670,
  CPI!D:D,
  CPI!C:C,
  "",
  -1
)</f>
        <v>7</v>
      </c>
      <c r="G1670">
        <v>52456</v>
      </c>
    </row>
    <row r="1671" spans="1:7">
      <c r="A1671" s="1">
        <v>44790</v>
      </c>
      <c r="B1671">
        <v>51563</v>
      </c>
      <c r="C1671">
        <f>_xlfn.XLOOKUP(A1671, USD!A:A, USD!B:B, "")</f>
        <v>79.349999999999994</v>
      </c>
      <c r="D1671">
        <f>_xlfn.XLOOKUP(A1671, Brent!A:A, Brent!B:B, "")</f>
        <v>97.22</v>
      </c>
      <c r="E1671">
        <f>_xlfn.XLOOKUP(
  A1671,
  Repo!A:A,
  Repo!B:B,
  "",
  -1
)</f>
        <v>4.9000000000000004</v>
      </c>
      <c r="F1671" s="10">
        <f>_xlfn.XLOOKUP(
  A1671,
  CPI!D:D,
  CPI!C:C,
  "",
  -1
)</f>
        <v>7</v>
      </c>
      <c r="G1671">
        <v>51821</v>
      </c>
    </row>
    <row r="1672" spans="1:7">
      <c r="A1672" s="1">
        <v>44791</v>
      </c>
      <c r="B1672">
        <v>51642</v>
      </c>
      <c r="C1672">
        <f>_xlfn.XLOOKUP(A1672, USD!A:A, USD!B:B, "")</f>
        <v>79.75</v>
      </c>
      <c r="D1672">
        <f>_xlfn.XLOOKUP(A1672, Brent!A:A, Brent!B:B, "")</f>
        <v>96.35</v>
      </c>
      <c r="E1672">
        <f>_xlfn.XLOOKUP(
  A1672,
  Repo!A:A,
  Repo!B:B,
  "",
  -1
)</f>
        <v>4.9000000000000004</v>
      </c>
      <c r="F1672" s="10">
        <f>_xlfn.XLOOKUP(
  A1672,
  CPI!D:D,
  CPI!C:C,
  "",
  -1
)</f>
        <v>7</v>
      </c>
      <c r="G1672">
        <v>51563</v>
      </c>
    </row>
    <row r="1673" spans="1:7">
      <c r="A1673" s="1">
        <v>44792</v>
      </c>
      <c r="B1673">
        <v>51517</v>
      </c>
      <c r="C1673">
        <f>_xlfn.XLOOKUP(A1673, USD!A:A, USD!B:B, "")</f>
        <v>79.92</v>
      </c>
      <c r="D1673">
        <f>_xlfn.XLOOKUP(A1673, Brent!A:A, Brent!B:B, "")</f>
        <v>96.45</v>
      </c>
      <c r="E1673">
        <f>_xlfn.XLOOKUP(
  A1673,
  Repo!A:A,
  Repo!B:B,
  "",
  -1
)</f>
        <v>4.9000000000000004</v>
      </c>
      <c r="F1673" s="10">
        <f>_xlfn.XLOOKUP(
  A1673,
  CPI!D:D,
  CPI!C:C,
  "",
  -1
)</f>
        <v>7</v>
      </c>
      <c r="G1673">
        <v>51642</v>
      </c>
    </row>
    <row r="1674" spans="1:7">
      <c r="A1674" s="1">
        <v>44795</v>
      </c>
      <c r="B1674">
        <v>51217</v>
      </c>
      <c r="C1674">
        <f>_xlfn.XLOOKUP(A1674, USD!A:A, USD!B:B, "")</f>
        <v>79.849999999999994</v>
      </c>
      <c r="D1674">
        <f>_xlfn.XLOOKUP(A1674, Brent!A:A, Brent!B:B, "")</f>
        <v>95.06</v>
      </c>
      <c r="E1674">
        <f>_xlfn.XLOOKUP(
  A1674,
  Repo!A:A,
  Repo!B:B,
  "",
  -1
)</f>
        <v>4.9000000000000004</v>
      </c>
      <c r="F1674" s="10">
        <f>_xlfn.XLOOKUP(
  A1674,
  CPI!D:D,
  CPI!C:C,
  "",
  -1
)</f>
        <v>7</v>
      </c>
      <c r="G1674">
        <v>51517</v>
      </c>
    </row>
    <row r="1675" spans="1:7">
      <c r="A1675" s="1">
        <v>44796</v>
      </c>
      <c r="B1675">
        <v>51458</v>
      </c>
      <c r="C1675">
        <f>_xlfn.XLOOKUP(A1675, USD!A:A, USD!B:B, "")</f>
        <v>79.846999999999994</v>
      </c>
      <c r="D1675">
        <f>_xlfn.XLOOKUP(A1675, Brent!A:A, Brent!B:B, "")</f>
        <v>99.49</v>
      </c>
      <c r="E1675">
        <f>_xlfn.XLOOKUP(
  A1675,
  Repo!A:A,
  Repo!B:B,
  "",
  -1
)</f>
        <v>4.9000000000000004</v>
      </c>
      <c r="F1675" s="10">
        <f>_xlfn.XLOOKUP(
  A1675,
  CPI!D:D,
  CPI!C:C,
  "",
  -1
)</f>
        <v>7</v>
      </c>
      <c r="G1675">
        <v>51217</v>
      </c>
    </row>
    <row r="1676" spans="1:7">
      <c r="A1676" s="1">
        <v>44797</v>
      </c>
      <c r="B1676">
        <v>51480</v>
      </c>
      <c r="C1676">
        <f>_xlfn.XLOOKUP(A1676, USD!A:A, USD!B:B, "")</f>
        <v>79.78</v>
      </c>
      <c r="D1676">
        <f>_xlfn.XLOOKUP(A1676, Brent!A:A, Brent!B:B, "")</f>
        <v>99.87</v>
      </c>
      <c r="E1676">
        <f>_xlfn.XLOOKUP(
  A1676,
  Repo!A:A,
  Repo!B:B,
  "",
  -1
)</f>
        <v>4.9000000000000004</v>
      </c>
      <c r="F1676" s="10">
        <f>_xlfn.XLOOKUP(
  A1676,
  CPI!D:D,
  CPI!C:C,
  "",
  -1
)</f>
        <v>7</v>
      </c>
      <c r="G1676">
        <v>51458</v>
      </c>
    </row>
    <row r="1677" spans="1:7">
      <c r="A1677" s="1">
        <v>44798</v>
      </c>
      <c r="B1677">
        <v>51628</v>
      </c>
      <c r="C1677">
        <f>_xlfn.XLOOKUP(A1677, USD!A:A, USD!B:B, "")</f>
        <v>79.861999999999995</v>
      </c>
      <c r="D1677">
        <f>_xlfn.XLOOKUP(A1677, Brent!A:A, Brent!B:B, "")</f>
        <v>98.81</v>
      </c>
      <c r="E1677">
        <f>_xlfn.XLOOKUP(
  A1677,
  Repo!A:A,
  Repo!B:B,
  "",
  -1
)</f>
        <v>4.9000000000000004</v>
      </c>
      <c r="F1677" s="10">
        <f>_xlfn.XLOOKUP(
  A1677,
  CPI!D:D,
  CPI!C:C,
  "",
  -1
)</f>
        <v>7</v>
      </c>
      <c r="G1677">
        <v>51480</v>
      </c>
    </row>
    <row r="1678" spans="1:7">
      <c r="A1678" s="1">
        <v>44799</v>
      </c>
      <c r="B1678">
        <v>51242</v>
      </c>
      <c r="C1678">
        <f>_xlfn.XLOOKUP(A1678, USD!A:A, USD!B:B, "")</f>
        <v>79.960999999999999</v>
      </c>
      <c r="D1678">
        <f>_xlfn.XLOOKUP(A1678, Brent!A:A, Brent!B:B, "")</f>
        <v>101.13</v>
      </c>
      <c r="E1678">
        <f>_xlfn.XLOOKUP(
  A1678,
  Repo!A:A,
  Repo!B:B,
  "",
  -1
)</f>
        <v>4.9000000000000004</v>
      </c>
      <c r="F1678" s="10">
        <f>_xlfn.XLOOKUP(
  A1678,
  CPI!D:D,
  CPI!C:C,
  "",
  -1
)</f>
        <v>7</v>
      </c>
      <c r="G1678">
        <v>51628</v>
      </c>
    </row>
    <row r="1679" spans="1:7">
      <c r="A1679" s="1">
        <v>44803</v>
      </c>
      <c r="B1679">
        <v>50701</v>
      </c>
      <c r="C1679">
        <f>_xlfn.XLOOKUP(A1679, USD!A:A, USD!B:B, "")</f>
        <v>79.665000000000006</v>
      </c>
      <c r="D1679">
        <f>_xlfn.XLOOKUP(A1679, Brent!A:A, Brent!B:B, "")</f>
        <v>99.34</v>
      </c>
      <c r="E1679">
        <f>_xlfn.XLOOKUP(
  A1679,
  Repo!A:A,
  Repo!B:B,
  "",
  -1
)</f>
        <v>4.9000000000000004</v>
      </c>
      <c r="F1679" s="10">
        <f>_xlfn.XLOOKUP(
  A1679,
  CPI!D:D,
  CPI!C:C,
  "",
  -1
)</f>
        <v>7</v>
      </c>
      <c r="G1679">
        <v>51242</v>
      </c>
    </row>
    <row r="1680" spans="1:7">
      <c r="A1680" s="1">
        <v>44804</v>
      </c>
      <c r="B1680">
        <v>50520</v>
      </c>
      <c r="C1680">
        <f>_xlfn.XLOOKUP(A1680, USD!A:A, USD!B:B, "")</f>
        <v>79.491</v>
      </c>
      <c r="D1680">
        <f>_xlfn.XLOOKUP(A1680, Brent!A:A, Brent!B:B, "")</f>
        <v>96.55</v>
      </c>
      <c r="E1680">
        <f>_xlfn.XLOOKUP(
  A1680,
  Repo!A:A,
  Repo!B:B,
  "",
  -1
)</f>
        <v>5.4</v>
      </c>
      <c r="F1680" s="10">
        <f>_xlfn.XLOOKUP(
  A1680,
  CPI!D:D,
  CPI!C:C,
  "",
  -1
)</f>
        <v>7</v>
      </c>
      <c r="G1680">
        <v>50701</v>
      </c>
    </row>
    <row r="1681" spans="1:7">
      <c r="A1681" s="1">
        <v>44805</v>
      </c>
      <c r="B1681">
        <v>50169</v>
      </c>
      <c r="C1681">
        <f>_xlfn.XLOOKUP(A1681, USD!A:A, USD!B:B, "")</f>
        <v>79.673000000000002</v>
      </c>
      <c r="D1681">
        <f>_xlfn.XLOOKUP(A1681, Brent!A:A, Brent!B:B, "")</f>
        <v>92.24</v>
      </c>
      <c r="E1681">
        <f>_xlfn.XLOOKUP(
  A1681,
  Repo!A:A,
  Repo!B:B,
  "",
  -1
)</f>
        <v>5.4</v>
      </c>
      <c r="F1681" s="10">
        <f>_xlfn.XLOOKUP(
  A1681,
  CPI!D:D,
  CPI!C:C,
  "",
  -1
)</f>
        <v>7.41</v>
      </c>
      <c r="G1681">
        <v>50520</v>
      </c>
    </row>
    <row r="1682" spans="1:7">
      <c r="A1682" s="1">
        <v>44806</v>
      </c>
      <c r="B1682">
        <v>50313</v>
      </c>
      <c r="C1682">
        <f>_xlfn.XLOOKUP(A1682, USD!A:A, USD!B:B, "")</f>
        <v>79.716999999999999</v>
      </c>
      <c r="D1682">
        <f>_xlfn.XLOOKUP(A1682, Brent!A:A, Brent!B:B, "")</f>
        <v>93.09</v>
      </c>
      <c r="E1682">
        <f>_xlfn.XLOOKUP(
  A1682,
  Repo!A:A,
  Repo!B:B,
  "",
  -1
)</f>
        <v>5.4</v>
      </c>
      <c r="F1682" s="10">
        <f>_xlfn.XLOOKUP(
  A1682,
  CPI!D:D,
  CPI!C:C,
  "",
  -1
)</f>
        <v>7.41</v>
      </c>
      <c r="G1682">
        <v>50169</v>
      </c>
    </row>
    <row r="1683" spans="1:7">
      <c r="A1683" s="1">
        <v>44809</v>
      </c>
      <c r="B1683">
        <v>50604</v>
      </c>
      <c r="C1683">
        <f>_xlfn.XLOOKUP(A1683, USD!A:A, USD!B:B, "")</f>
        <v>79.783000000000001</v>
      </c>
      <c r="D1683">
        <f>_xlfn.XLOOKUP(A1683, Brent!A:A, Brent!B:B, "")</f>
        <v>94.22</v>
      </c>
      <c r="E1683">
        <f>_xlfn.XLOOKUP(
  A1683,
  Repo!A:A,
  Repo!B:B,
  "",
  -1
)</f>
        <v>5.4</v>
      </c>
      <c r="F1683" s="10">
        <f>_xlfn.XLOOKUP(
  A1683,
  CPI!D:D,
  CPI!C:C,
  "",
  -1
)</f>
        <v>7.41</v>
      </c>
      <c r="G1683">
        <v>50313</v>
      </c>
    </row>
    <row r="1684" spans="1:7">
      <c r="A1684" s="1">
        <v>44810</v>
      </c>
      <c r="B1684">
        <v>50354</v>
      </c>
      <c r="C1684">
        <f>_xlfn.XLOOKUP(A1684, USD!A:A, USD!B:B, "")</f>
        <v>79.87</v>
      </c>
      <c r="D1684">
        <f>_xlfn.XLOOKUP(A1684, Brent!A:A, Brent!B:B, "")</f>
        <v>91.43</v>
      </c>
      <c r="E1684">
        <f>_xlfn.XLOOKUP(
  A1684,
  Repo!A:A,
  Repo!B:B,
  "",
  -1
)</f>
        <v>5.4</v>
      </c>
      <c r="F1684" s="10">
        <f>_xlfn.XLOOKUP(
  A1684,
  CPI!D:D,
  CPI!C:C,
  "",
  -1
)</f>
        <v>7.41</v>
      </c>
      <c r="G1684">
        <v>50604</v>
      </c>
    </row>
    <row r="1685" spans="1:7">
      <c r="A1685" s="1">
        <v>44811</v>
      </c>
      <c r="B1685">
        <v>50570</v>
      </c>
      <c r="C1685">
        <f>_xlfn.XLOOKUP(A1685, USD!A:A, USD!B:B, "")</f>
        <v>79.63</v>
      </c>
      <c r="D1685">
        <f>_xlfn.XLOOKUP(A1685, Brent!A:A, Brent!B:B, "")</f>
        <v>86.83</v>
      </c>
      <c r="E1685">
        <f>_xlfn.XLOOKUP(
  A1685,
  Repo!A:A,
  Repo!B:B,
  "",
  -1
)</f>
        <v>5.4</v>
      </c>
      <c r="F1685" s="10">
        <f>_xlfn.XLOOKUP(
  A1685,
  CPI!D:D,
  CPI!C:C,
  "",
  -1
)</f>
        <v>7.41</v>
      </c>
      <c r="G1685">
        <v>50354</v>
      </c>
    </row>
    <row r="1686" spans="1:7">
      <c r="A1686" s="1">
        <v>44812</v>
      </c>
      <c r="B1686">
        <v>50429</v>
      </c>
      <c r="C1686">
        <f>_xlfn.XLOOKUP(A1686, USD!A:A, USD!B:B, "")</f>
        <v>79.667000000000002</v>
      </c>
      <c r="D1686">
        <f>_xlfn.XLOOKUP(A1686, Brent!A:A, Brent!B:B, "")</f>
        <v>87.99</v>
      </c>
      <c r="E1686">
        <f>_xlfn.XLOOKUP(
  A1686,
  Repo!A:A,
  Repo!B:B,
  "",
  -1
)</f>
        <v>5.4</v>
      </c>
      <c r="F1686" s="10">
        <f>_xlfn.XLOOKUP(
  A1686,
  CPI!D:D,
  CPI!C:C,
  "",
  -1
)</f>
        <v>7.41</v>
      </c>
      <c r="G1686">
        <v>50570</v>
      </c>
    </row>
    <row r="1687" spans="1:7">
      <c r="A1687" s="1">
        <v>44813</v>
      </c>
      <c r="B1687">
        <v>50592</v>
      </c>
      <c r="C1687">
        <f>_xlfn.XLOOKUP(A1687, USD!A:A, USD!B:B, "")</f>
        <v>79.635000000000005</v>
      </c>
      <c r="D1687">
        <f>_xlfn.XLOOKUP(A1687, Brent!A:A, Brent!B:B, "")</f>
        <v>91.68</v>
      </c>
      <c r="E1687">
        <f>_xlfn.XLOOKUP(
  A1687,
  Repo!A:A,
  Repo!B:B,
  "",
  -1
)</f>
        <v>5.4</v>
      </c>
      <c r="F1687" s="10">
        <f>_xlfn.XLOOKUP(
  A1687,
  CPI!D:D,
  CPI!C:C,
  "",
  -1
)</f>
        <v>7.41</v>
      </c>
      <c r="G1687">
        <v>50429</v>
      </c>
    </row>
    <row r="1688" spans="1:7">
      <c r="A1688" s="1">
        <v>44816</v>
      </c>
      <c r="B1688">
        <v>50696</v>
      </c>
      <c r="C1688">
        <f>_xlfn.XLOOKUP(A1688, USD!A:A, USD!B:B, "")</f>
        <v>79.349999999999994</v>
      </c>
      <c r="D1688">
        <f>_xlfn.XLOOKUP(A1688, Brent!A:A, Brent!B:B, "")</f>
        <v>93.45</v>
      </c>
      <c r="E1688">
        <f>_xlfn.XLOOKUP(
  A1688,
  Repo!A:A,
  Repo!B:B,
  "",
  -1
)</f>
        <v>5.4</v>
      </c>
      <c r="F1688" s="10">
        <f>_xlfn.XLOOKUP(
  A1688,
  CPI!D:D,
  CPI!C:C,
  "",
  -1
)</f>
        <v>7.41</v>
      </c>
      <c r="G1688">
        <v>50592</v>
      </c>
    </row>
    <row r="1689" spans="1:7">
      <c r="A1689" s="1">
        <v>44817</v>
      </c>
      <c r="B1689">
        <v>50233</v>
      </c>
      <c r="C1689">
        <f>_xlfn.XLOOKUP(A1689, USD!A:A, USD!B:B, "")</f>
        <v>79.576999999999998</v>
      </c>
      <c r="D1689">
        <f>_xlfn.XLOOKUP(A1689, Brent!A:A, Brent!B:B, "")</f>
        <v>92.04</v>
      </c>
      <c r="E1689">
        <f>_xlfn.XLOOKUP(
  A1689,
  Repo!A:A,
  Repo!B:B,
  "",
  -1
)</f>
        <v>5.4</v>
      </c>
      <c r="F1689" s="10">
        <f>_xlfn.XLOOKUP(
  A1689,
  CPI!D:D,
  CPI!C:C,
  "",
  -1
)</f>
        <v>7.41</v>
      </c>
      <c r="G1689">
        <v>50696</v>
      </c>
    </row>
    <row r="1690" spans="1:7">
      <c r="A1690" s="1">
        <v>44818</v>
      </c>
      <c r="B1690">
        <v>50101</v>
      </c>
      <c r="C1690">
        <f>_xlfn.XLOOKUP(A1690, USD!A:A, USD!B:B, "")</f>
        <v>79.430999999999997</v>
      </c>
      <c r="D1690">
        <f>_xlfn.XLOOKUP(A1690, Brent!A:A, Brent!B:B, "")</f>
        <v>92.83</v>
      </c>
      <c r="E1690">
        <f>_xlfn.XLOOKUP(
  A1690,
  Repo!A:A,
  Repo!B:B,
  "",
  -1
)</f>
        <v>5.4</v>
      </c>
      <c r="F1690" s="10">
        <f>_xlfn.XLOOKUP(
  A1690,
  CPI!D:D,
  CPI!C:C,
  "",
  -1
)</f>
        <v>7.41</v>
      </c>
      <c r="G1690">
        <v>50233</v>
      </c>
    </row>
    <row r="1691" spans="1:7">
      <c r="A1691" s="1">
        <v>44819</v>
      </c>
      <c r="B1691">
        <v>49394</v>
      </c>
      <c r="C1691">
        <f>_xlfn.XLOOKUP(A1691, USD!A:A, USD!B:B, "")</f>
        <v>79.838999999999999</v>
      </c>
      <c r="D1691">
        <f>_xlfn.XLOOKUP(A1691, Brent!A:A, Brent!B:B, "")</f>
        <v>89.28</v>
      </c>
      <c r="E1691">
        <f>_xlfn.XLOOKUP(
  A1691,
  Repo!A:A,
  Repo!B:B,
  "",
  -1
)</f>
        <v>5.4</v>
      </c>
      <c r="F1691" s="10">
        <f>_xlfn.XLOOKUP(
  A1691,
  CPI!D:D,
  CPI!C:C,
  "",
  -1
)</f>
        <v>7.41</v>
      </c>
      <c r="G1691">
        <v>50101</v>
      </c>
    </row>
    <row r="1692" spans="1:7">
      <c r="A1692" s="1">
        <v>44820</v>
      </c>
      <c r="B1692">
        <v>49451</v>
      </c>
      <c r="C1692">
        <f>_xlfn.XLOOKUP(A1692, USD!A:A, USD!B:B, "")</f>
        <v>79.686000000000007</v>
      </c>
      <c r="D1692">
        <f>_xlfn.XLOOKUP(A1692, Brent!A:A, Brent!B:B, "")</f>
        <v>89.43</v>
      </c>
      <c r="E1692">
        <f>_xlfn.XLOOKUP(
  A1692,
  Repo!A:A,
  Repo!B:B,
  "",
  -1
)</f>
        <v>5.4</v>
      </c>
      <c r="F1692" s="10">
        <f>_xlfn.XLOOKUP(
  A1692,
  CPI!D:D,
  CPI!C:C,
  "",
  -1
)</f>
        <v>7.41</v>
      </c>
      <c r="G1692">
        <v>49394</v>
      </c>
    </row>
    <row r="1693" spans="1:7">
      <c r="A1693" s="1">
        <v>44824</v>
      </c>
      <c r="B1693">
        <v>49218</v>
      </c>
      <c r="C1693">
        <f>_xlfn.XLOOKUP(A1693, USD!A:A, USD!B:B, "")</f>
        <v>79.751000000000005</v>
      </c>
      <c r="D1693">
        <f>_xlfn.XLOOKUP(A1693, Brent!A:A, Brent!B:B, "")</f>
        <v>89.62</v>
      </c>
      <c r="E1693">
        <f>_xlfn.XLOOKUP(
  A1693,
  Repo!A:A,
  Repo!B:B,
  "",
  -1
)</f>
        <v>5.4</v>
      </c>
      <c r="F1693" s="10">
        <f>_xlfn.XLOOKUP(
  A1693,
  CPI!D:D,
  CPI!C:C,
  "",
  -1
)</f>
        <v>7.41</v>
      </c>
      <c r="G1693">
        <v>49451</v>
      </c>
    </row>
    <row r="1694" spans="1:7">
      <c r="A1694" s="1">
        <v>44825</v>
      </c>
      <c r="B1694">
        <v>49428</v>
      </c>
      <c r="C1694">
        <f>_xlfn.XLOOKUP(A1694, USD!A:A, USD!B:B, "")</f>
        <v>79.906999999999996</v>
      </c>
      <c r="D1694">
        <f>_xlfn.XLOOKUP(A1694, Brent!A:A, Brent!B:B, "")</f>
        <v>89.86</v>
      </c>
      <c r="E1694">
        <f>_xlfn.XLOOKUP(
  A1694,
  Repo!A:A,
  Repo!B:B,
  "",
  -1
)</f>
        <v>5.4</v>
      </c>
      <c r="F1694" s="10">
        <f>_xlfn.XLOOKUP(
  A1694,
  CPI!D:D,
  CPI!C:C,
  "",
  -1
)</f>
        <v>7.41</v>
      </c>
      <c r="G1694">
        <v>49218</v>
      </c>
    </row>
    <row r="1695" spans="1:7">
      <c r="A1695" s="1">
        <v>44826</v>
      </c>
      <c r="B1695">
        <v>49955</v>
      </c>
      <c r="C1695">
        <f>_xlfn.XLOOKUP(A1695, USD!A:A, USD!B:B, "")</f>
        <v>81.046999999999997</v>
      </c>
      <c r="D1695">
        <f>_xlfn.XLOOKUP(A1695, Brent!A:A, Brent!B:B, "")</f>
        <v>90.4</v>
      </c>
      <c r="E1695">
        <f>_xlfn.XLOOKUP(
  A1695,
  Repo!A:A,
  Repo!B:B,
  "",
  -1
)</f>
        <v>5.4</v>
      </c>
      <c r="F1695" s="10">
        <f>_xlfn.XLOOKUP(
  A1695,
  CPI!D:D,
  CPI!C:C,
  "",
  -1
)</f>
        <v>7.41</v>
      </c>
      <c r="G1695">
        <v>49428</v>
      </c>
    </row>
    <row r="1696" spans="1:7">
      <c r="A1696" s="1">
        <v>44827</v>
      </c>
      <c r="B1696">
        <v>49382</v>
      </c>
      <c r="C1696">
        <f>_xlfn.XLOOKUP(A1696, USD!A:A, USD!B:B, "")</f>
        <v>81.25</v>
      </c>
      <c r="D1696">
        <f>_xlfn.XLOOKUP(A1696, Brent!A:A, Brent!B:B, "")</f>
        <v>84.29</v>
      </c>
      <c r="E1696">
        <f>_xlfn.XLOOKUP(
  A1696,
  Repo!A:A,
  Repo!B:B,
  "",
  -1
)</f>
        <v>5.4</v>
      </c>
      <c r="F1696" s="10">
        <f>_xlfn.XLOOKUP(
  A1696,
  CPI!D:D,
  CPI!C:C,
  "",
  -1
)</f>
        <v>7.41</v>
      </c>
      <c r="G1696">
        <v>49955</v>
      </c>
    </row>
    <row r="1697" spans="1:7">
      <c r="A1697" s="1">
        <v>44830</v>
      </c>
      <c r="B1697">
        <v>49110</v>
      </c>
      <c r="C1697">
        <f>_xlfn.XLOOKUP(A1697, USD!A:A, USD!B:B, "")</f>
        <v>81.61</v>
      </c>
      <c r="D1697">
        <f>_xlfn.XLOOKUP(A1697, Brent!A:A, Brent!B:B, "")</f>
        <v>82.55</v>
      </c>
      <c r="E1697">
        <f>_xlfn.XLOOKUP(
  A1697,
  Repo!A:A,
  Repo!B:B,
  "",
  -1
)</f>
        <v>5.4</v>
      </c>
      <c r="F1697" s="10">
        <f>_xlfn.XLOOKUP(
  A1697,
  CPI!D:D,
  CPI!C:C,
  "",
  -1
)</f>
        <v>7.41</v>
      </c>
      <c r="G1697">
        <v>49382</v>
      </c>
    </row>
    <row r="1698" spans="1:7">
      <c r="A1698" s="1">
        <v>44831</v>
      </c>
      <c r="B1698">
        <v>49160</v>
      </c>
      <c r="C1698">
        <f>_xlfn.XLOOKUP(A1698, USD!A:A, USD!B:B, "")</f>
        <v>81.704999999999998</v>
      </c>
      <c r="D1698">
        <f>_xlfn.XLOOKUP(A1698, Brent!A:A, Brent!B:B, "")</f>
        <v>85.97</v>
      </c>
      <c r="E1698">
        <f>_xlfn.XLOOKUP(
  A1698,
  Repo!A:A,
  Repo!B:B,
  "",
  -1
)</f>
        <v>5.4</v>
      </c>
      <c r="F1698" s="10">
        <f>_xlfn.XLOOKUP(
  A1698,
  CPI!D:D,
  CPI!C:C,
  "",
  -1
)</f>
        <v>7.41</v>
      </c>
      <c r="G1698">
        <v>49110</v>
      </c>
    </row>
    <row r="1699" spans="1:7">
      <c r="A1699" s="1">
        <v>44832</v>
      </c>
      <c r="B1699">
        <v>49726</v>
      </c>
      <c r="C1699">
        <f>_xlfn.XLOOKUP(A1699, USD!A:A, USD!B:B, "")</f>
        <v>81.406000000000006</v>
      </c>
      <c r="D1699">
        <f>_xlfn.XLOOKUP(A1699, Brent!A:A, Brent!B:B, "")</f>
        <v>89.55</v>
      </c>
      <c r="E1699">
        <f>_xlfn.XLOOKUP(
  A1699,
  Repo!A:A,
  Repo!B:B,
  "",
  -1
)</f>
        <v>5.4</v>
      </c>
      <c r="F1699" s="10">
        <f>_xlfn.XLOOKUP(
  A1699,
  CPI!D:D,
  CPI!C:C,
  "",
  -1
)</f>
        <v>7.41</v>
      </c>
      <c r="G1699">
        <v>49160</v>
      </c>
    </row>
    <row r="1700" spans="1:7">
      <c r="A1700" s="1">
        <v>44833</v>
      </c>
      <c r="B1700">
        <v>49902</v>
      </c>
      <c r="C1700">
        <f>_xlfn.XLOOKUP(A1700, USD!A:A, USD!B:B, "")</f>
        <v>81.460999999999999</v>
      </c>
      <c r="D1700">
        <f>_xlfn.XLOOKUP(A1700, Brent!A:A, Brent!B:B, "")</f>
        <v>89.41</v>
      </c>
      <c r="E1700">
        <f>_xlfn.XLOOKUP(
  A1700,
  Repo!A:A,
  Repo!B:B,
  "",
  -1
)</f>
        <v>5.4</v>
      </c>
      <c r="F1700" s="10">
        <f>_xlfn.XLOOKUP(
  A1700,
  CPI!D:D,
  CPI!C:C,
  "",
  -1
)</f>
        <v>7.41</v>
      </c>
      <c r="G1700">
        <v>49726</v>
      </c>
    </row>
    <row r="1701" spans="1:7">
      <c r="A1701" s="1">
        <v>44834</v>
      </c>
      <c r="B1701">
        <v>50029</v>
      </c>
      <c r="C1701">
        <f>_xlfn.XLOOKUP(A1701, USD!A:A, USD!B:B, "")</f>
        <v>81.509</v>
      </c>
      <c r="D1701">
        <f>_xlfn.XLOOKUP(A1701, Brent!A:A, Brent!B:B, "")</f>
        <v>88.9</v>
      </c>
      <c r="E1701">
        <f>_xlfn.XLOOKUP(
  A1701,
  Repo!A:A,
  Repo!B:B,
  "",
  -1
)</f>
        <v>5.9</v>
      </c>
      <c r="F1701" s="10">
        <f>_xlfn.XLOOKUP(
  A1701,
  CPI!D:D,
  CPI!C:C,
  "",
  -1
)</f>
        <v>7.41</v>
      </c>
      <c r="G1701">
        <v>49902</v>
      </c>
    </row>
    <row r="1702" spans="1:7">
      <c r="A1702" s="1">
        <v>44837</v>
      </c>
      <c r="B1702">
        <v>50245</v>
      </c>
      <c r="C1702">
        <f>_xlfn.XLOOKUP(A1702, USD!A:A, USD!B:B, "")</f>
        <v>81.494</v>
      </c>
      <c r="D1702">
        <f>_xlfn.XLOOKUP(A1702, Brent!A:A, Brent!B:B, "")</f>
        <v>90.68</v>
      </c>
      <c r="E1702">
        <f>_xlfn.XLOOKUP(
  A1702,
  Repo!A:A,
  Repo!B:B,
  "",
  -1
)</f>
        <v>5.9</v>
      </c>
      <c r="F1702" s="10">
        <f>_xlfn.XLOOKUP(
  A1702,
  CPI!D:D,
  CPI!C:C,
  "",
  -1
)</f>
        <v>6.77</v>
      </c>
      <c r="G1702">
        <v>50029</v>
      </c>
    </row>
    <row r="1703" spans="1:7">
      <c r="A1703" s="1">
        <v>44838</v>
      </c>
      <c r="B1703">
        <v>51127</v>
      </c>
      <c r="C1703">
        <f>_xlfn.XLOOKUP(A1703, USD!A:A, USD!B:B, "")</f>
        <v>81.450999999999993</v>
      </c>
      <c r="D1703">
        <f>_xlfn.XLOOKUP(A1703, Brent!A:A, Brent!B:B, "")</f>
        <v>93.74</v>
      </c>
      <c r="E1703">
        <f>_xlfn.XLOOKUP(
  A1703,
  Repo!A:A,
  Repo!B:B,
  "",
  -1
)</f>
        <v>5.9</v>
      </c>
      <c r="F1703" s="10">
        <f>_xlfn.XLOOKUP(
  A1703,
  CPI!D:D,
  CPI!C:C,
  "",
  -1
)</f>
        <v>6.77</v>
      </c>
      <c r="G1703">
        <v>50245</v>
      </c>
    </row>
    <row r="1704" spans="1:7">
      <c r="A1704" s="1">
        <v>44839</v>
      </c>
      <c r="B1704">
        <v>51361</v>
      </c>
      <c r="C1704">
        <f>_xlfn.XLOOKUP(A1704, USD!A:A, USD!B:B, "")</f>
        <v>81.631</v>
      </c>
      <c r="D1704">
        <f>_xlfn.XLOOKUP(A1704, Brent!A:A, Brent!B:B, "")</f>
        <v>94.35</v>
      </c>
      <c r="E1704">
        <f>_xlfn.XLOOKUP(
  A1704,
  Repo!A:A,
  Repo!B:B,
  "",
  -1
)</f>
        <v>5.9</v>
      </c>
      <c r="F1704" s="10">
        <f>_xlfn.XLOOKUP(
  A1704,
  CPI!D:D,
  CPI!C:C,
  "",
  -1
)</f>
        <v>6.77</v>
      </c>
      <c r="G1704">
        <v>51127</v>
      </c>
    </row>
    <row r="1705" spans="1:7">
      <c r="A1705" s="1">
        <v>44840</v>
      </c>
      <c r="B1705">
        <v>51711</v>
      </c>
      <c r="C1705">
        <f>_xlfn.XLOOKUP(A1705, USD!A:A, USD!B:B, "")</f>
        <v>82.06</v>
      </c>
      <c r="D1705">
        <f>_xlfn.XLOOKUP(A1705, Brent!A:A, Brent!B:B, "")</f>
        <v>95.65</v>
      </c>
      <c r="E1705">
        <f>_xlfn.XLOOKUP(
  A1705,
  Repo!A:A,
  Repo!B:B,
  "",
  -1
)</f>
        <v>5.9</v>
      </c>
      <c r="F1705" s="10">
        <f>_xlfn.XLOOKUP(
  A1705,
  CPI!D:D,
  CPI!C:C,
  "",
  -1
)</f>
        <v>6.77</v>
      </c>
      <c r="G1705">
        <v>51361</v>
      </c>
    </row>
    <row r="1706" spans="1:7">
      <c r="A1706" s="1">
        <v>44841</v>
      </c>
      <c r="B1706">
        <v>51716</v>
      </c>
      <c r="C1706">
        <f>_xlfn.XLOOKUP(A1706, USD!A:A, USD!B:B, "")</f>
        <v>82.82</v>
      </c>
      <c r="D1706">
        <f>_xlfn.XLOOKUP(A1706, Brent!A:A, Brent!B:B, "")</f>
        <v>98.88</v>
      </c>
      <c r="E1706">
        <f>_xlfn.XLOOKUP(
  A1706,
  Repo!A:A,
  Repo!B:B,
  "",
  -1
)</f>
        <v>5.9</v>
      </c>
      <c r="F1706" s="10">
        <f>_xlfn.XLOOKUP(
  A1706,
  CPI!D:D,
  CPI!C:C,
  "",
  -1
)</f>
        <v>6.77</v>
      </c>
      <c r="G1706">
        <v>51711</v>
      </c>
    </row>
    <row r="1707" spans="1:7">
      <c r="A1707" s="1">
        <v>44844</v>
      </c>
      <c r="B1707">
        <v>50871</v>
      </c>
      <c r="C1707">
        <f>_xlfn.XLOOKUP(A1707, USD!A:A, USD!B:B, "")</f>
        <v>82.37</v>
      </c>
      <c r="D1707">
        <f>_xlfn.XLOOKUP(A1707, Brent!A:A, Brent!B:B, "")</f>
        <v>97.13</v>
      </c>
      <c r="E1707">
        <f>_xlfn.XLOOKUP(
  A1707,
  Repo!A:A,
  Repo!B:B,
  "",
  -1
)</f>
        <v>5.9</v>
      </c>
      <c r="F1707" s="10">
        <f>_xlfn.XLOOKUP(
  A1707,
  CPI!D:D,
  CPI!C:C,
  "",
  -1
)</f>
        <v>6.77</v>
      </c>
      <c r="G1707">
        <v>51716</v>
      </c>
    </row>
    <row r="1708" spans="1:7">
      <c r="A1708" s="1">
        <v>44845</v>
      </c>
      <c r="B1708">
        <v>50874</v>
      </c>
      <c r="C1708">
        <f>_xlfn.XLOOKUP(A1708, USD!A:A, USD!B:B, "")</f>
        <v>82.256</v>
      </c>
      <c r="D1708">
        <f>_xlfn.XLOOKUP(A1708, Brent!A:A, Brent!B:B, "")</f>
        <v>95.17</v>
      </c>
      <c r="E1708">
        <f>_xlfn.XLOOKUP(
  A1708,
  Repo!A:A,
  Repo!B:B,
  "",
  -1
)</f>
        <v>5.9</v>
      </c>
      <c r="F1708" s="10">
        <f>_xlfn.XLOOKUP(
  A1708,
  CPI!D:D,
  CPI!C:C,
  "",
  -1
)</f>
        <v>6.77</v>
      </c>
      <c r="G1708">
        <v>50871</v>
      </c>
    </row>
    <row r="1709" spans="1:7">
      <c r="A1709" s="1">
        <v>44846</v>
      </c>
      <c r="B1709">
        <v>50713</v>
      </c>
      <c r="C1709">
        <f>_xlfn.XLOOKUP(A1709, USD!A:A, USD!B:B, "")</f>
        <v>82.159000000000006</v>
      </c>
      <c r="D1709">
        <f>_xlfn.XLOOKUP(A1709, Brent!A:A, Brent!B:B, "")</f>
        <v>93.44</v>
      </c>
      <c r="E1709">
        <f>_xlfn.XLOOKUP(
  A1709,
  Repo!A:A,
  Repo!B:B,
  "",
  -1
)</f>
        <v>5.9</v>
      </c>
      <c r="F1709" s="10">
        <f>_xlfn.XLOOKUP(
  A1709,
  CPI!D:D,
  CPI!C:C,
  "",
  -1
)</f>
        <v>6.77</v>
      </c>
      <c r="G1709">
        <v>50874</v>
      </c>
    </row>
    <row r="1710" spans="1:7">
      <c r="A1710" s="1">
        <v>44847</v>
      </c>
      <c r="B1710">
        <v>50615</v>
      </c>
      <c r="C1710">
        <f>_xlfn.XLOOKUP(A1710, USD!A:A, USD!B:B, "")</f>
        <v>82.171999999999997</v>
      </c>
      <c r="D1710">
        <f>_xlfn.XLOOKUP(A1710, Brent!A:A, Brent!B:B, "")</f>
        <v>95.16</v>
      </c>
      <c r="E1710">
        <f>_xlfn.XLOOKUP(
  A1710,
  Repo!A:A,
  Repo!B:B,
  "",
  -1
)</f>
        <v>5.9</v>
      </c>
      <c r="F1710" s="10">
        <f>_xlfn.XLOOKUP(
  A1710,
  CPI!D:D,
  CPI!C:C,
  "",
  -1
)</f>
        <v>6.77</v>
      </c>
      <c r="G1710">
        <v>50713</v>
      </c>
    </row>
    <row r="1711" spans="1:7">
      <c r="A1711" s="1">
        <v>44848</v>
      </c>
      <c r="B1711">
        <v>50067</v>
      </c>
      <c r="C1711">
        <f>_xlfn.XLOOKUP(A1711, USD!A:A, USD!B:B, "")</f>
        <v>82.34</v>
      </c>
      <c r="D1711">
        <f>_xlfn.XLOOKUP(A1711, Brent!A:A, Brent!B:B, "")</f>
        <v>92.22</v>
      </c>
      <c r="E1711">
        <f>_xlfn.XLOOKUP(
  A1711,
  Repo!A:A,
  Repo!B:B,
  "",
  -1
)</f>
        <v>5.9</v>
      </c>
      <c r="F1711" s="10">
        <f>_xlfn.XLOOKUP(
  A1711,
  CPI!D:D,
  CPI!C:C,
  "",
  -1
)</f>
        <v>6.77</v>
      </c>
      <c r="G1711">
        <v>50615</v>
      </c>
    </row>
    <row r="1712" spans="1:7">
      <c r="A1712" s="1">
        <v>44851</v>
      </c>
      <c r="B1712">
        <v>50231</v>
      </c>
      <c r="C1712">
        <f>_xlfn.XLOOKUP(A1712, USD!A:A, USD!B:B, "")</f>
        <v>82.171000000000006</v>
      </c>
      <c r="D1712">
        <f>_xlfn.XLOOKUP(A1712, Brent!A:A, Brent!B:B, "")</f>
        <v>91.04</v>
      </c>
      <c r="E1712">
        <f>_xlfn.XLOOKUP(
  A1712,
  Repo!A:A,
  Repo!B:B,
  "",
  -1
)</f>
        <v>5.9</v>
      </c>
      <c r="F1712" s="10">
        <f>_xlfn.XLOOKUP(
  A1712,
  CPI!D:D,
  CPI!C:C,
  "",
  -1
)</f>
        <v>6.77</v>
      </c>
      <c r="G1712">
        <v>50067</v>
      </c>
    </row>
    <row r="1713" spans="1:7">
      <c r="A1713" s="1">
        <v>44852</v>
      </c>
      <c r="B1713">
        <v>50192</v>
      </c>
      <c r="C1713">
        <f>_xlfn.XLOOKUP(A1713, USD!A:A, USD!B:B, "")</f>
        <v>82.290999999999997</v>
      </c>
      <c r="D1713">
        <f>_xlfn.XLOOKUP(A1713, Brent!A:A, Brent!B:B, "")</f>
        <v>89.46</v>
      </c>
      <c r="E1713">
        <f>_xlfn.XLOOKUP(
  A1713,
  Repo!A:A,
  Repo!B:B,
  "",
  -1
)</f>
        <v>5.9</v>
      </c>
      <c r="F1713" s="10">
        <f>_xlfn.XLOOKUP(
  A1713,
  CPI!D:D,
  CPI!C:C,
  "",
  -1
)</f>
        <v>6.77</v>
      </c>
      <c r="G1713">
        <v>50231</v>
      </c>
    </row>
    <row r="1714" spans="1:7">
      <c r="A1714" s="1">
        <v>44853</v>
      </c>
      <c r="B1714">
        <v>49981</v>
      </c>
      <c r="C1714">
        <f>_xlfn.XLOOKUP(A1714, USD!A:A, USD!B:B, "")</f>
        <v>83.013000000000005</v>
      </c>
      <c r="D1714">
        <f>_xlfn.XLOOKUP(A1714, Brent!A:A, Brent!B:B, "")</f>
        <v>91.34</v>
      </c>
      <c r="E1714">
        <f>_xlfn.XLOOKUP(
  A1714,
  Repo!A:A,
  Repo!B:B,
  "",
  -1
)</f>
        <v>5.9</v>
      </c>
      <c r="F1714" s="10">
        <f>_xlfn.XLOOKUP(
  A1714,
  CPI!D:D,
  CPI!C:C,
  "",
  -1
)</f>
        <v>6.77</v>
      </c>
      <c r="G1714">
        <v>50192</v>
      </c>
    </row>
    <row r="1715" spans="1:7">
      <c r="A1715" s="1">
        <v>44854</v>
      </c>
      <c r="B1715">
        <v>49938</v>
      </c>
      <c r="C1715">
        <f>_xlfn.XLOOKUP(A1715, USD!A:A, USD!B:B, "")</f>
        <v>82.82</v>
      </c>
      <c r="D1715">
        <f>_xlfn.XLOOKUP(A1715, Brent!A:A, Brent!B:B, "")</f>
        <v>91.52</v>
      </c>
      <c r="E1715">
        <f>_xlfn.XLOOKUP(
  A1715,
  Repo!A:A,
  Repo!B:B,
  "",
  -1
)</f>
        <v>5.9</v>
      </c>
      <c r="F1715" s="10">
        <f>_xlfn.XLOOKUP(
  A1715,
  CPI!D:D,
  CPI!C:C,
  "",
  -1
)</f>
        <v>6.77</v>
      </c>
      <c r="G1715">
        <v>49981</v>
      </c>
    </row>
    <row r="1716" spans="1:7">
      <c r="A1716" s="1">
        <v>44855</v>
      </c>
      <c r="B1716">
        <v>50361</v>
      </c>
      <c r="C1716">
        <f>_xlfn.XLOOKUP(A1716, USD!A:A, USD!B:B, "")</f>
        <v>82.528999999999996</v>
      </c>
      <c r="D1716">
        <f>_xlfn.XLOOKUP(A1716, Brent!A:A, Brent!B:B, "")</f>
        <v>91.82</v>
      </c>
      <c r="E1716">
        <f>_xlfn.XLOOKUP(
  A1716,
  Repo!A:A,
  Repo!B:B,
  "",
  -1
)</f>
        <v>5.9</v>
      </c>
      <c r="F1716" s="10">
        <f>_xlfn.XLOOKUP(
  A1716,
  CPI!D:D,
  CPI!C:C,
  "",
  -1
)</f>
        <v>6.77</v>
      </c>
      <c r="G1716">
        <v>49938</v>
      </c>
    </row>
    <row r="1717" spans="1:7">
      <c r="A1717" s="1">
        <v>44858</v>
      </c>
      <c r="B1717">
        <v>50319</v>
      </c>
      <c r="C1717">
        <f>_xlfn.XLOOKUP(A1717, USD!A:A, USD!B:B, "")</f>
        <v>82.744</v>
      </c>
      <c r="D1717">
        <f>_xlfn.XLOOKUP(A1717, Brent!A:A, Brent!B:B, "")</f>
        <v>91.57</v>
      </c>
      <c r="E1717">
        <f>_xlfn.XLOOKUP(
  A1717,
  Repo!A:A,
  Repo!B:B,
  "",
  -1
)</f>
        <v>5.9</v>
      </c>
      <c r="F1717" s="10">
        <f>_xlfn.XLOOKUP(
  A1717,
  CPI!D:D,
  CPI!C:C,
  "",
  -1
)</f>
        <v>6.77</v>
      </c>
      <c r="G1717">
        <v>50361</v>
      </c>
    </row>
    <row r="1718" spans="1:7">
      <c r="A1718" s="1">
        <v>44859</v>
      </c>
      <c r="B1718">
        <v>50353</v>
      </c>
      <c r="C1718">
        <f>_xlfn.XLOOKUP(A1718, USD!A:A, USD!B:B, "")</f>
        <v>82.515000000000001</v>
      </c>
      <c r="D1718">
        <f>_xlfn.XLOOKUP(A1718, Brent!A:A, Brent!B:B, "")</f>
        <v>91.76</v>
      </c>
      <c r="E1718">
        <f>_xlfn.XLOOKUP(
  A1718,
  Repo!A:A,
  Repo!B:B,
  "",
  -1
)</f>
        <v>5.9</v>
      </c>
      <c r="F1718" s="10">
        <f>_xlfn.XLOOKUP(
  A1718,
  CPI!D:D,
  CPI!C:C,
  "",
  -1
)</f>
        <v>6.77</v>
      </c>
      <c r="G1718">
        <v>50319</v>
      </c>
    </row>
    <row r="1719" spans="1:7">
      <c r="A1719" s="1">
        <v>44860</v>
      </c>
      <c r="B1719">
        <v>50411</v>
      </c>
      <c r="C1719">
        <f>_xlfn.XLOOKUP(A1719, USD!A:A, USD!B:B, "")</f>
        <v>81.900999999999996</v>
      </c>
      <c r="D1719">
        <f>_xlfn.XLOOKUP(A1719, Brent!A:A, Brent!B:B, "")</f>
        <v>92.93</v>
      </c>
      <c r="E1719">
        <f>_xlfn.XLOOKUP(
  A1719,
  Repo!A:A,
  Repo!B:B,
  "",
  -1
)</f>
        <v>5.9</v>
      </c>
      <c r="F1719" s="10">
        <f>_xlfn.XLOOKUP(
  A1719,
  CPI!D:D,
  CPI!C:C,
  "",
  -1
)</f>
        <v>6.77</v>
      </c>
      <c r="G1719">
        <v>50353</v>
      </c>
    </row>
    <row r="1720" spans="1:7">
      <c r="A1720" s="1">
        <v>44861</v>
      </c>
      <c r="B1720">
        <v>50450</v>
      </c>
      <c r="C1720">
        <f>_xlfn.XLOOKUP(A1720, USD!A:A, USD!B:B, "")</f>
        <v>82.367999999999995</v>
      </c>
      <c r="D1720">
        <f>_xlfn.XLOOKUP(A1720, Brent!A:A, Brent!B:B, "")</f>
        <v>94.17</v>
      </c>
      <c r="E1720">
        <f>_xlfn.XLOOKUP(
  A1720,
  Repo!A:A,
  Repo!B:B,
  "",
  -1
)</f>
        <v>5.9</v>
      </c>
      <c r="F1720" s="10">
        <f>_xlfn.XLOOKUP(
  A1720,
  CPI!D:D,
  CPI!C:C,
  "",
  -1
)</f>
        <v>6.77</v>
      </c>
      <c r="G1720">
        <v>50411</v>
      </c>
    </row>
    <row r="1721" spans="1:7">
      <c r="A1721" s="1">
        <v>44862</v>
      </c>
      <c r="B1721">
        <v>49956</v>
      </c>
      <c r="C1721">
        <f>_xlfn.XLOOKUP(A1721, USD!A:A, USD!B:B, "")</f>
        <v>82.260999999999996</v>
      </c>
      <c r="D1721">
        <f>_xlfn.XLOOKUP(A1721, Brent!A:A, Brent!B:B, "")</f>
        <v>94.64</v>
      </c>
      <c r="E1721">
        <f>_xlfn.XLOOKUP(
  A1721,
  Repo!A:A,
  Repo!B:B,
  "",
  -1
)</f>
        <v>5.9</v>
      </c>
      <c r="F1721" s="10">
        <f>_xlfn.XLOOKUP(
  A1721,
  CPI!D:D,
  CPI!C:C,
  "",
  -1
)</f>
        <v>6.77</v>
      </c>
      <c r="G1721">
        <v>50450</v>
      </c>
    </row>
    <row r="1722" spans="1:7">
      <c r="A1722" s="1">
        <v>44865</v>
      </c>
      <c r="B1722">
        <v>50070</v>
      </c>
      <c r="C1722">
        <f>_xlfn.XLOOKUP(A1722, USD!A:A, USD!B:B, "")</f>
        <v>82.77</v>
      </c>
      <c r="D1722">
        <f>_xlfn.XLOOKUP(A1722, Brent!A:A, Brent!B:B, "")</f>
        <v>93.3</v>
      </c>
      <c r="E1722">
        <f>_xlfn.XLOOKUP(
  A1722,
  Repo!A:A,
  Repo!B:B,
  "",
  -1
)</f>
        <v>5.9</v>
      </c>
      <c r="F1722" s="10">
        <f>_xlfn.XLOOKUP(
  A1722,
  CPI!D:D,
  CPI!C:C,
  "",
  -1
)</f>
        <v>6.77</v>
      </c>
      <c r="G1722">
        <v>49956</v>
      </c>
    </row>
    <row r="1723" spans="1:7">
      <c r="A1723" s="1">
        <v>44866</v>
      </c>
      <c r="B1723">
        <v>50250</v>
      </c>
      <c r="C1723">
        <f>_xlfn.XLOOKUP(A1723, USD!A:A, USD!B:B, "")</f>
        <v>82.65</v>
      </c>
      <c r="D1723">
        <f>_xlfn.XLOOKUP(A1723, Brent!A:A, Brent!B:B, "")</f>
        <v>95.12</v>
      </c>
      <c r="E1723">
        <f>_xlfn.XLOOKUP(
  A1723,
  Repo!A:A,
  Repo!B:B,
  "",
  -1
)</f>
        <v>5.9</v>
      </c>
      <c r="F1723" s="10">
        <f>_xlfn.XLOOKUP(
  A1723,
  CPI!D:D,
  CPI!C:C,
  "",
  -1
)</f>
        <v>5.88</v>
      </c>
      <c r="G1723">
        <v>50070</v>
      </c>
    </row>
    <row r="1724" spans="1:7">
      <c r="A1724" s="1">
        <v>44867</v>
      </c>
      <c r="B1724">
        <v>50414</v>
      </c>
      <c r="C1724">
        <f>_xlfn.XLOOKUP(A1724, USD!A:A, USD!B:B, "")</f>
        <v>82.712000000000003</v>
      </c>
      <c r="D1724">
        <f>_xlfn.XLOOKUP(A1724, Brent!A:A, Brent!B:B, "")</f>
        <v>96.07</v>
      </c>
      <c r="E1724">
        <f>_xlfn.XLOOKUP(
  A1724,
  Repo!A:A,
  Repo!B:B,
  "",
  -1
)</f>
        <v>5.9</v>
      </c>
      <c r="F1724" s="10">
        <f>_xlfn.XLOOKUP(
  A1724,
  CPI!D:D,
  CPI!C:C,
  "",
  -1
)</f>
        <v>5.88</v>
      </c>
      <c r="G1724">
        <v>50250</v>
      </c>
    </row>
    <row r="1725" spans="1:7">
      <c r="A1725" s="1">
        <v>44868</v>
      </c>
      <c r="B1725">
        <v>49876</v>
      </c>
      <c r="C1725">
        <f>_xlfn.XLOOKUP(A1725, USD!A:A, USD!B:B, "")</f>
        <v>82.730999999999995</v>
      </c>
      <c r="D1725">
        <f>_xlfn.XLOOKUP(A1725, Brent!A:A, Brent!B:B, "")</f>
        <v>95.29</v>
      </c>
      <c r="E1725">
        <f>_xlfn.XLOOKUP(
  A1725,
  Repo!A:A,
  Repo!B:B,
  "",
  -1
)</f>
        <v>5.9</v>
      </c>
      <c r="F1725" s="10">
        <f>_xlfn.XLOOKUP(
  A1725,
  CPI!D:D,
  CPI!C:C,
  "",
  -1
)</f>
        <v>5.88</v>
      </c>
      <c r="G1725">
        <v>50414</v>
      </c>
    </row>
    <row r="1726" spans="1:7">
      <c r="A1726" s="1">
        <v>44869</v>
      </c>
      <c r="B1726">
        <v>50615</v>
      </c>
      <c r="C1726">
        <f>_xlfn.XLOOKUP(A1726, USD!A:A, USD!B:B, "")</f>
        <v>81.962000000000003</v>
      </c>
      <c r="D1726">
        <f>_xlfn.XLOOKUP(A1726, Brent!A:A, Brent!B:B, "")</f>
        <v>99.53</v>
      </c>
      <c r="E1726">
        <f>_xlfn.XLOOKUP(
  A1726,
  Repo!A:A,
  Repo!B:B,
  "",
  -1
)</f>
        <v>5.9</v>
      </c>
      <c r="F1726" s="10">
        <f>_xlfn.XLOOKUP(
  A1726,
  CPI!D:D,
  CPI!C:C,
  "",
  -1
)</f>
        <v>5.88</v>
      </c>
      <c r="G1726">
        <v>49876</v>
      </c>
    </row>
    <row r="1727" spans="1:7">
      <c r="A1727" s="1">
        <v>44872</v>
      </c>
      <c r="B1727">
        <v>50901</v>
      </c>
      <c r="C1727">
        <f>_xlfn.XLOOKUP(A1727, USD!A:A, USD!B:B, "")</f>
        <v>81.804000000000002</v>
      </c>
      <c r="D1727">
        <f>_xlfn.XLOOKUP(A1727, Brent!A:A, Brent!B:B, "")</f>
        <v>99.87</v>
      </c>
      <c r="E1727">
        <f>_xlfn.XLOOKUP(
  A1727,
  Repo!A:A,
  Repo!B:B,
  "",
  -1
)</f>
        <v>5.9</v>
      </c>
      <c r="F1727" s="10">
        <f>_xlfn.XLOOKUP(
  A1727,
  CPI!D:D,
  CPI!C:C,
  "",
  -1
)</f>
        <v>5.88</v>
      </c>
      <c r="G1727">
        <v>50615</v>
      </c>
    </row>
    <row r="1728" spans="1:7">
      <c r="A1728" s="1">
        <v>44873</v>
      </c>
      <c r="B1728">
        <v>51581</v>
      </c>
      <c r="C1728">
        <f>_xlfn.XLOOKUP(A1728, USD!A:A, USD!B:B, "")</f>
        <v>81.37</v>
      </c>
      <c r="D1728">
        <f>_xlfn.XLOOKUP(A1728, Brent!A:A, Brent!B:B, "")</f>
        <v>96.85</v>
      </c>
      <c r="E1728">
        <f>_xlfn.XLOOKUP(
  A1728,
  Repo!A:A,
  Repo!B:B,
  "",
  -1
)</f>
        <v>5.9</v>
      </c>
      <c r="F1728" s="10">
        <f>_xlfn.XLOOKUP(
  A1728,
  CPI!D:D,
  CPI!C:C,
  "",
  -1
)</f>
        <v>5.88</v>
      </c>
      <c r="G1728">
        <v>50901</v>
      </c>
    </row>
    <row r="1729" spans="1:7">
      <c r="A1729" s="1">
        <v>44874</v>
      </c>
      <c r="B1729">
        <v>51474</v>
      </c>
      <c r="C1729">
        <f>_xlfn.XLOOKUP(A1729, USD!A:A, USD!B:B, "")</f>
        <v>81.334999999999994</v>
      </c>
      <c r="D1729">
        <f>_xlfn.XLOOKUP(A1729, Brent!A:A, Brent!B:B, "")</f>
        <v>93.05</v>
      </c>
      <c r="E1729">
        <f>_xlfn.XLOOKUP(
  A1729,
  Repo!A:A,
  Repo!B:B,
  "",
  -1
)</f>
        <v>5.9</v>
      </c>
      <c r="F1729" s="10">
        <f>_xlfn.XLOOKUP(
  A1729,
  CPI!D:D,
  CPI!C:C,
  "",
  -1
)</f>
        <v>5.88</v>
      </c>
      <c r="G1729">
        <v>51581</v>
      </c>
    </row>
    <row r="1730" spans="1:7">
      <c r="A1730" s="1">
        <v>44875</v>
      </c>
      <c r="B1730">
        <v>52033</v>
      </c>
      <c r="C1730">
        <f>_xlfn.XLOOKUP(A1730, USD!A:A, USD!B:B, "")</f>
        <v>80.63</v>
      </c>
      <c r="D1730">
        <f>_xlfn.XLOOKUP(A1730, Brent!A:A, Brent!B:B, "")</f>
        <v>94.25</v>
      </c>
      <c r="E1730">
        <f>_xlfn.XLOOKUP(
  A1730,
  Repo!A:A,
  Repo!B:B,
  "",
  -1
)</f>
        <v>5.9</v>
      </c>
      <c r="F1730" s="10">
        <f>_xlfn.XLOOKUP(
  A1730,
  CPI!D:D,
  CPI!C:C,
  "",
  -1
)</f>
        <v>5.88</v>
      </c>
      <c r="G1730">
        <v>51474</v>
      </c>
    </row>
    <row r="1731" spans="1:7">
      <c r="A1731" s="1">
        <v>44876</v>
      </c>
      <c r="B1731">
        <v>52275</v>
      </c>
      <c r="C1731">
        <f>_xlfn.XLOOKUP(A1731, USD!A:A, USD!B:B, "")</f>
        <v>80.477000000000004</v>
      </c>
      <c r="D1731">
        <f>_xlfn.XLOOKUP(A1731, Brent!A:A, Brent!B:B, "")</f>
        <v>96.37</v>
      </c>
      <c r="E1731">
        <f>_xlfn.XLOOKUP(
  A1731,
  Repo!A:A,
  Repo!B:B,
  "",
  -1
)</f>
        <v>5.9</v>
      </c>
      <c r="F1731" s="10">
        <f>_xlfn.XLOOKUP(
  A1731,
  CPI!D:D,
  CPI!C:C,
  "",
  -1
)</f>
        <v>5.88</v>
      </c>
      <c r="G1731">
        <v>52033</v>
      </c>
    </row>
    <row r="1732" spans="1:7">
      <c r="A1732" s="1">
        <v>44879</v>
      </c>
      <c r="B1732">
        <v>52601</v>
      </c>
      <c r="C1732">
        <f>_xlfn.XLOOKUP(A1732, USD!A:A, USD!B:B, "")</f>
        <v>80.965000000000003</v>
      </c>
      <c r="D1732">
        <f>_xlfn.XLOOKUP(A1732, Brent!A:A, Brent!B:B, "")</f>
        <v>93.59</v>
      </c>
      <c r="E1732">
        <f>_xlfn.XLOOKUP(
  A1732,
  Repo!A:A,
  Repo!B:B,
  "",
  -1
)</f>
        <v>5.9</v>
      </c>
      <c r="F1732" s="10">
        <f>_xlfn.XLOOKUP(
  A1732,
  CPI!D:D,
  CPI!C:C,
  "",
  -1
)</f>
        <v>5.88</v>
      </c>
      <c r="G1732">
        <v>52275</v>
      </c>
    </row>
    <row r="1733" spans="1:7">
      <c r="A1733" s="1">
        <v>44880</v>
      </c>
      <c r="B1733">
        <v>52545</v>
      </c>
      <c r="C1733">
        <f>_xlfn.XLOOKUP(A1733, USD!A:A, USD!B:B, "")</f>
        <v>81.061000000000007</v>
      </c>
      <c r="D1733">
        <f>_xlfn.XLOOKUP(A1733, Brent!A:A, Brent!B:B, "")</f>
        <v>94.3</v>
      </c>
      <c r="E1733">
        <f>_xlfn.XLOOKUP(
  A1733,
  Repo!A:A,
  Repo!B:B,
  "",
  -1
)</f>
        <v>5.9</v>
      </c>
      <c r="F1733" s="10">
        <f>_xlfn.XLOOKUP(
  A1733,
  CPI!D:D,
  CPI!C:C,
  "",
  -1
)</f>
        <v>5.88</v>
      </c>
      <c r="G1733">
        <v>52601</v>
      </c>
    </row>
    <row r="1734" spans="1:7">
      <c r="A1734" s="1">
        <v>44881</v>
      </c>
      <c r="B1734">
        <v>52883</v>
      </c>
      <c r="C1734">
        <f>_xlfn.XLOOKUP(A1734, USD!A:A, USD!B:B, "")</f>
        <v>81.48</v>
      </c>
      <c r="D1734">
        <f>_xlfn.XLOOKUP(A1734, Brent!A:A, Brent!B:B, "")</f>
        <v>92.61</v>
      </c>
      <c r="E1734">
        <f>_xlfn.XLOOKUP(
  A1734,
  Repo!A:A,
  Repo!B:B,
  "",
  -1
)</f>
        <v>5.9</v>
      </c>
      <c r="F1734" s="10">
        <f>_xlfn.XLOOKUP(
  A1734,
  CPI!D:D,
  CPI!C:C,
  "",
  -1
)</f>
        <v>5.88</v>
      </c>
      <c r="G1734">
        <v>52545</v>
      </c>
    </row>
    <row r="1735" spans="1:7">
      <c r="A1735" s="1">
        <v>44882</v>
      </c>
      <c r="B1735">
        <v>52698</v>
      </c>
      <c r="C1735">
        <f>_xlfn.XLOOKUP(A1735, USD!A:A, USD!B:B, "")</f>
        <v>81.510000000000005</v>
      </c>
      <c r="D1735">
        <f>_xlfn.XLOOKUP(A1735, Brent!A:A, Brent!B:B, "")</f>
        <v>91</v>
      </c>
      <c r="E1735">
        <f>_xlfn.XLOOKUP(
  A1735,
  Repo!A:A,
  Repo!B:B,
  "",
  -1
)</f>
        <v>5.9</v>
      </c>
      <c r="F1735" s="10">
        <f>_xlfn.XLOOKUP(
  A1735,
  CPI!D:D,
  CPI!C:C,
  "",
  -1
)</f>
        <v>5.88</v>
      </c>
      <c r="G1735">
        <v>52883</v>
      </c>
    </row>
    <row r="1736" spans="1:7">
      <c r="A1736" s="1">
        <v>44883</v>
      </c>
      <c r="B1736">
        <v>52501</v>
      </c>
      <c r="C1736">
        <f>_xlfn.XLOOKUP(A1736, USD!A:A, USD!B:B, "")</f>
        <v>81.617000000000004</v>
      </c>
      <c r="D1736">
        <f>_xlfn.XLOOKUP(A1736, Brent!A:A, Brent!B:B, "")</f>
        <v>88.93</v>
      </c>
      <c r="E1736">
        <f>_xlfn.XLOOKUP(
  A1736,
  Repo!A:A,
  Repo!B:B,
  "",
  -1
)</f>
        <v>5.9</v>
      </c>
      <c r="F1736" s="10">
        <f>_xlfn.XLOOKUP(
  A1736,
  CPI!D:D,
  CPI!C:C,
  "",
  -1
)</f>
        <v>5.88</v>
      </c>
      <c r="G1736">
        <v>52698</v>
      </c>
    </row>
    <row r="1737" spans="1:7">
      <c r="A1737" s="1">
        <v>44886</v>
      </c>
      <c r="B1737">
        <v>52201</v>
      </c>
      <c r="C1737">
        <f>_xlfn.XLOOKUP(A1737, USD!A:A, USD!B:B, "")</f>
        <v>81.698999999999998</v>
      </c>
      <c r="D1737">
        <f>_xlfn.XLOOKUP(A1737, Brent!A:A, Brent!B:B, "")</f>
        <v>88.44</v>
      </c>
      <c r="E1737">
        <f>_xlfn.XLOOKUP(
  A1737,
  Repo!A:A,
  Repo!B:B,
  "",
  -1
)</f>
        <v>5.9</v>
      </c>
      <c r="F1737" s="10">
        <f>_xlfn.XLOOKUP(
  A1737,
  CPI!D:D,
  CPI!C:C,
  "",
  -1
)</f>
        <v>5.88</v>
      </c>
      <c r="G1737">
        <v>52501</v>
      </c>
    </row>
    <row r="1738" spans="1:7">
      <c r="A1738" s="1">
        <v>44887</v>
      </c>
      <c r="B1738">
        <v>52161</v>
      </c>
      <c r="C1738">
        <f>_xlfn.XLOOKUP(A1738, USD!A:A, USD!B:B, "")</f>
        <v>81.713999999999999</v>
      </c>
      <c r="D1738">
        <f>_xlfn.XLOOKUP(A1738, Brent!A:A, Brent!B:B, "")</f>
        <v>88.65</v>
      </c>
      <c r="E1738">
        <f>_xlfn.XLOOKUP(
  A1738,
  Repo!A:A,
  Repo!B:B,
  "",
  -1
)</f>
        <v>5.9</v>
      </c>
      <c r="F1738" s="10">
        <f>_xlfn.XLOOKUP(
  A1738,
  CPI!D:D,
  CPI!C:C,
  "",
  -1
)</f>
        <v>5.88</v>
      </c>
      <c r="G1738">
        <v>52201</v>
      </c>
    </row>
    <row r="1739" spans="1:7">
      <c r="A1739" s="1">
        <v>44888</v>
      </c>
      <c r="B1739">
        <v>52259</v>
      </c>
      <c r="C1739">
        <f>_xlfn.XLOOKUP(A1739, USD!A:A, USD!B:B, "")</f>
        <v>81.603999999999999</v>
      </c>
      <c r="D1739">
        <f>_xlfn.XLOOKUP(A1739, Brent!A:A, Brent!B:B, "")</f>
        <v>85.9</v>
      </c>
      <c r="E1739">
        <f>_xlfn.XLOOKUP(
  A1739,
  Repo!A:A,
  Repo!B:B,
  "",
  -1
)</f>
        <v>5.9</v>
      </c>
      <c r="F1739" s="10">
        <f>_xlfn.XLOOKUP(
  A1739,
  CPI!D:D,
  CPI!C:C,
  "",
  -1
)</f>
        <v>5.88</v>
      </c>
      <c r="G1739">
        <v>52161</v>
      </c>
    </row>
    <row r="1740" spans="1:7">
      <c r="A1740" s="1">
        <v>44889</v>
      </c>
      <c r="B1740">
        <v>52494</v>
      </c>
      <c r="C1740">
        <f>_xlfn.XLOOKUP(A1740, USD!A:A, USD!B:B, "")</f>
        <v>81.613</v>
      </c>
      <c r="D1740">
        <f>_xlfn.XLOOKUP(A1740, Brent!A:A, Brent!B:B, "")</f>
        <v>85.59</v>
      </c>
      <c r="E1740">
        <f>_xlfn.XLOOKUP(
  A1740,
  Repo!A:A,
  Repo!B:B,
  "",
  -1
)</f>
        <v>5.9</v>
      </c>
      <c r="F1740" s="10">
        <f>_xlfn.XLOOKUP(
  A1740,
  CPI!D:D,
  CPI!C:C,
  "",
  -1
)</f>
        <v>5.88</v>
      </c>
      <c r="G1740">
        <v>52259</v>
      </c>
    </row>
    <row r="1741" spans="1:7">
      <c r="A1741" s="1">
        <v>44890</v>
      </c>
      <c r="B1741">
        <v>52386</v>
      </c>
      <c r="C1741">
        <f>_xlfn.XLOOKUP(A1741, USD!A:A, USD!B:B, "")</f>
        <v>81.685000000000002</v>
      </c>
      <c r="D1741">
        <f>_xlfn.XLOOKUP(A1741, Brent!A:A, Brent!B:B, "")</f>
        <v>83.4</v>
      </c>
      <c r="E1741">
        <f>_xlfn.XLOOKUP(
  A1741,
  Repo!A:A,
  Repo!B:B,
  "",
  -1
)</f>
        <v>5.9</v>
      </c>
      <c r="F1741" s="10">
        <f>_xlfn.XLOOKUP(
  A1741,
  CPI!D:D,
  CPI!C:C,
  "",
  -1
)</f>
        <v>5.88</v>
      </c>
      <c r="G1741">
        <v>52494</v>
      </c>
    </row>
    <row r="1742" spans="1:7">
      <c r="A1742" s="1">
        <v>44893</v>
      </c>
      <c r="B1742">
        <v>52148</v>
      </c>
      <c r="C1742">
        <f>_xlfn.XLOOKUP(A1742, USD!A:A, USD!B:B, "")</f>
        <v>81.64</v>
      </c>
      <c r="D1742">
        <f>_xlfn.XLOOKUP(A1742, Brent!A:A, Brent!B:B, "")</f>
        <v>83.5</v>
      </c>
      <c r="E1742">
        <f>_xlfn.XLOOKUP(
  A1742,
  Repo!A:A,
  Repo!B:B,
  "",
  -1
)</f>
        <v>5.9</v>
      </c>
      <c r="F1742" s="10">
        <f>_xlfn.XLOOKUP(
  A1742,
  CPI!D:D,
  CPI!C:C,
  "",
  -1
)</f>
        <v>5.88</v>
      </c>
      <c r="G1742">
        <v>52386</v>
      </c>
    </row>
    <row r="1743" spans="1:7">
      <c r="A1743" s="1">
        <v>44894</v>
      </c>
      <c r="B1743">
        <v>52357</v>
      </c>
      <c r="C1743">
        <f>_xlfn.XLOOKUP(A1743, USD!A:A, USD!B:B, "")</f>
        <v>81.616</v>
      </c>
      <c r="D1743">
        <f>_xlfn.XLOOKUP(A1743, Brent!A:A, Brent!B:B, "")</f>
        <v>83.22</v>
      </c>
      <c r="E1743">
        <f>_xlfn.XLOOKUP(
  A1743,
  Repo!A:A,
  Repo!B:B,
  "",
  -1
)</f>
        <v>5.9</v>
      </c>
      <c r="F1743" s="10">
        <f>_xlfn.XLOOKUP(
  A1743,
  CPI!D:D,
  CPI!C:C,
  "",
  -1
)</f>
        <v>5.88</v>
      </c>
      <c r="G1743">
        <v>52148</v>
      </c>
    </row>
    <row r="1744" spans="1:7">
      <c r="A1744" s="1">
        <v>44895</v>
      </c>
      <c r="B1744">
        <v>52434</v>
      </c>
      <c r="C1744">
        <f>_xlfn.XLOOKUP(A1744, USD!A:A, USD!B:B, "")</f>
        <v>81.358999999999995</v>
      </c>
      <c r="D1744">
        <f>_xlfn.XLOOKUP(A1744, Brent!A:A, Brent!B:B, "")</f>
        <v>85.61</v>
      </c>
      <c r="E1744">
        <f>_xlfn.XLOOKUP(
  A1744,
  Repo!A:A,
  Repo!B:B,
  "",
  -1
)</f>
        <v>5.9</v>
      </c>
      <c r="F1744" s="10">
        <f>_xlfn.XLOOKUP(
  A1744,
  CPI!D:D,
  CPI!C:C,
  "",
  -1
)</f>
        <v>5.88</v>
      </c>
      <c r="G1744">
        <v>52357</v>
      </c>
    </row>
    <row r="1745" spans="1:7">
      <c r="A1745" s="1">
        <v>44896</v>
      </c>
      <c r="B1745">
        <v>53339</v>
      </c>
      <c r="C1745">
        <f>_xlfn.XLOOKUP(A1745, USD!A:A, USD!B:B, "")</f>
        <v>81.12</v>
      </c>
      <c r="D1745">
        <f>_xlfn.XLOOKUP(A1745, Brent!A:A, Brent!B:B, "")</f>
        <v>86.28</v>
      </c>
      <c r="E1745">
        <f>_xlfn.XLOOKUP(
  A1745,
  Repo!A:A,
  Repo!B:B,
  "",
  -1
)</f>
        <v>5.9</v>
      </c>
      <c r="F1745" s="10">
        <f>_xlfn.XLOOKUP(
  A1745,
  CPI!D:D,
  CPI!C:C,
  "",
  -1
)</f>
        <v>5.72</v>
      </c>
      <c r="G1745">
        <v>52434</v>
      </c>
    </row>
    <row r="1746" spans="1:7">
      <c r="A1746" s="1">
        <v>44897</v>
      </c>
      <c r="B1746">
        <v>53346</v>
      </c>
      <c r="C1746">
        <f>_xlfn.XLOOKUP(A1746, USD!A:A, USD!B:B, "")</f>
        <v>81.41</v>
      </c>
      <c r="D1746">
        <f>_xlfn.XLOOKUP(A1746, Brent!A:A, Brent!B:B, "")</f>
        <v>86.54</v>
      </c>
      <c r="E1746">
        <f>_xlfn.XLOOKUP(
  A1746,
  Repo!A:A,
  Repo!B:B,
  "",
  -1
)</f>
        <v>5.9</v>
      </c>
      <c r="F1746" s="10">
        <f>_xlfn.XLOOKUP(
  A1746,
  CPI!D:D,
  CPI!C:C,
  "",
  -1
)</f>
        <v>5.72</v>
      </c>
      <c r="G1746">
        <v>53339</v>
      </c>
    </row>
    <row r="1747" spans="1:7">
      <c r="A1747" s="1">
        <v>44900</v>
      </c>
      <c r="B1747">
        <v>53300</v>
      </c>
      <c r="C1747">
        <f>_xlfn.XLOOKUP(A1747, USD!A:A, USD!B:B, "")</f>
        <v>81.89</v>
      </c>
      <c r="D1747">
        <f>_xlfn.XLOOKUP(A1747, Brent!A:A, Brent!B:B, "")</f>
        <v>83.36</v>
      </c>
      <c r="E1747">
        <f>_xlfn.XLOOKUP(
  A1747,
  Repo!A:A,
  Repo!B:B,
  "",
  -1
)</f>
        <v>5.9</v>
      </c>
      <c r="F1747" s="10">
        <f>_xlfn.XLOOKUP(
  A1747,
  CPI!D:D,
  CPI!C:C,
  "",
  -1
)</f>
        <v>5.72</v>
      </c>
      <c r="G1747">
        <v>53346</v>
      </c>
    </row>
    <row r="1748" spans="1:7">
      <c r="A1748" s="1">
        <v>44901</v>
      </c>
      <c r="B1748">
        <v>53446</v>
      </c>
      <c r="C1748">
        <f>_xlfn.XLOOKUP(A1748, USD!A:A, USD!B:B, "")</f>
        <v>82.48</v>
      </c>
      <c r="D1748">
        <f>_xlfn.XLOOKUP(A1748, Brent!A:A, Brent!B:B, "")</f>
        <v>79.92</v>
      </c>
      <c r="E1748">
        <f>_xlfn.XLOOKUP(
  A1748,
  Repo!A:A,
  Repo!B:B,
  "",
  -1
)</f>
        <v>5.9</v>
      </c>
      <c r="F1748" s="10">
        <f>_xlfn.XLOOKUP(
  A1748,
  CPI!D:D,
  CPI!C:C,
  "",
  -1
)</f>
        <v>5.72</v>
      </c>
      <c r="G1748">
        <v>53300</v>
      </c>
    </row>
    <row r="1749" spans="1:7">
      <c r="A1749" s="1">
        <v>44902</v>
      </c>
      <c r="B1749">
        <v>53665</v>
      </c>
      <c r="C1749">
        <f>_xlfn.XLOOKUP(A1749, USD!A:A, USD!B:B, "")</f>
        <v>82.203999999999994</v>
      </c>
      <c r="D1749">
        <f>_xlfn.XLOOKUP(A1749, Brent!A:A, Brent!B:B, "")</f>
        <v>77.11</v>
      </c>
      <c r="E1749">
        <f>_xlfn.XLOOKUP(
  A1749,
  Repo!A:A,
  Repo!B:B,
  "",
  -1
)</f>
        <v>5.9</v>
      </c>
      <c r="F1749" s="10">
        <f>_xlfn.XLOOKUP(
  A1749,
  CPI!D:D,
  CPI!C:C,
  "",
  -1
)</f>
        <v>5.72</v>
      </c>
      <c r="G1749">
        <v>53446</v>
      </c>
    </row>
    <row r="1750" spans="1:7">
      <c r="A1750" s="1">
        <v>44903</v>
      </c>
      <c r="B1750">
        <v>53741</v>
      </c>
      <c r="C1750">
        <f>_xlfn.XLOOKUP(A1750, USD!A:A, USD!B:B, "")</f>
        <v>82.28</v>
      </c>
      <c r="D1750">
        <f>_xlfn.XLOOKUP(A1750, Brent!A:A, Brent!B:B, "")</f>
        <v>76.02</v>
      </c>
      <c r="E1750">
        <f>_xlfn.XLOOKUP(
  A1750,
  Repo!A:A,
  Repo!B:B,
  "",
  -1
)</f>
        <v>5.9</v>
      </c>
      <c r="F1750" s="10">
        <f>_xlfn.XLOOKUP(
  A1750,
  CPI!D:D,
  CPI!C:C,
  "",
  -1
)</f>
        <v>5.72</v>
      </c>
      <c r="G1750">
        <v>53665</v>
      </c>
    </row>
    <row r="1751" spans="1:7">
      <c r="A1751" s="1">
        <v>44904</v>
      </c>
      <c r="B1751">
        <v>53950</v>
      </c>
      <c r="C1751">
        <f>_xlfn.XLOOKUP(A1751, USD!A:A, USD!B:B, "")</f>
        <v>82.41</v>
      </c>
      <c r="D1751">
        <f>_xlfn.XLOOKUP(A1751, Brent!A:A, Brent!B:B, "")</f>
        <v>76.37</v>
      </c>
      <c r="E1751">
        <f>_xlfn.XLOOKUP(
  A1751,
  Repo!A:A,
  Repo!B:B,
  "",
  -1
)</f>
        <v>5.9</v>
      </c>
      <c r="F1751" s="10">
        <f>_xlfn.XLOOKUP(
  A1751,
  CPI!D:D,
  CPI!C:C,
  "",
  -1
)</f>
        <v>5.72</v>
      </c>
      <c r="G1751">
        <v>53741</v>
      </c>
    </row>
    <row r="1752" spans="1:7">
      <c r="A1752" s="1">
        <v>44907</v>
      </c>
      <c r="B1752">
        <v>53791</v>
      </c>
      <c r="C1752">
        <f>_xlfn.XLOOKUP(A1752, USD!A:A, USD!B:B, "")</f>
        <v>82.634</v>
      </c>
      <c r="D1752">
        <f>_xlfn.XLOOKUP(A1752, Brent!A:A, Brent!B:B, "")</f>
        <v>78</v>
      </c>
      <c r="E1752">
        <f>_xlfn.XLOOKUP(
  A1752,
  Repo!A:A,
  Repo!B:B,
  "",
  -1
)</f>
        <v>5.9</v>
      </c>
      <c r="F1752" s="10">
        <f>_xlfn.XLOOKUP(
  A1752,
  CPI!D:D,
  CPI!C:C,
  "",
  -1
)</f>
        <v>5.72</v>
      </c>
      <c r="G1752">
        <v>53950</v>
      </c>
    </row>
    <row r="1753" spans="1:7">
      <c r="A1753" s="1">
        <v>44908</v>
      </c>
      <c r="B1753">
        <v>54376</v>
      </c>
      <c r="C1753">
        <f>_xlfn.XLOOKUP(A1753, USD!A:A, USD!B:B, "")</f>
        <v>82.375</v>
      </c>
      <c r="D1753">
        <f>_xlfn.XLOOKUP(A1753, Brent!A:A, Brent!B:B, "")</f>
        <v>80.14</v>
      </c>
      <c r="E1753">
        <f>_xlfn.XLOOKUP(
  A1753,
  Repo!A:A,
  Repo!B:B,
  "",
  -1
)</f>
        <v>5.9</v>
      </c>
      <c r="F1753" s="10">
        <f>_xlfn.XLOOKUP(
  A1753,
  CPI!D:D,
  CPI!C:C,
  "",
  -1
)</f>
        <v>5.72</v>
      </c>
      <c r="G1753">
        <v>53791</v>
      </c>
    </row>
    <row r="1754" spans="1:7">
      <c r="A1754" s="1">
        <v>44909</v>
      </c>
      <c r="B1754">
        <v>54340</v>
      </c>
      <c r="C1754">
        <f>_xlfn.XLOOKUP(A1754, USD!A:A, USD!B:B, "")</f>
        <v>82.474000000000004</v>
      </c>
      <c r="D1754">
        <f>_xlfn.XLOOKUP(A1754, Brent!A:A, Brent!B:B, "")</f>
        <v>83.33</v>
      </c>
      <c r="E1754">
        <f>_xlfn.XLOOKUP(
  A1754,
  Repo!A:A,
  Repo!B:B,
  "",
  -1
)</f>
        <v>5.9</v>
      </c>
      <c r="F1754" s="10">
        <f>_xlfn.XLOOKUP(
  A1754,
  CPI!D:D,
  CPI!C:C,
  "",
  -1
)</f>
        <v>5.72</v>
      </c>
      <c r="G1754">
        <v>54376</v>
      </c>
    </row>
    <row r="1755" spans="1:7">
      <c r="A1755" s="1">
        <v>44910</v>
      </c>
      <c r="B1755">
        <v>53795</v>
      </c>
      <c r="C1755">
        <f>_xlfn.XLOOKUP(A1755, USD!A:A, USD!B:B, "")</f>
        <v>82.843000000000004</v>
      </c>
      <c r="D1755">
        <f>_xlfn.XLOOKUP(A1755, Brent!A:A, Brent!B:B, "")</f>
        <v>82.34</v>
      </c>
      <c r="E1755">
        <f>_xlfn.XLOOKUP(
  A1755,
  Repo!A:A,
  Repo!B:B,
  "",
  -1
)</f>
        <v>5.9</v>
      </c>
      <c r="F1755" s="10">
        <f>_xlfn.XLOOKUP(
  A1755,
  CPI!D:D,
  CPI!C:C,
  "",
  -1
)</f>
        <v>5.72</v>
      </c>
      <c r="G1755">
        <v>54340</v>
      </c>
    </row>
    <row r="1756" spans="1:7">
      <c r="A1756" s="1">
        <v>44911</v>
      </c>
      <c r="B1756">
        <v>53957</v>
      </c>
      <c r="C1756">
        <f>_xlfn.XLOOKUP(A1756, USD!A:A, USD!B:B, "")</f>
        <v>82.706000000000003</v>
      </c>
      <c r="D1756">
        <f>_xlfn.XLOOKUP(A1756, Brent!A:A, Brent!B:B, "")</f>
        <v>80.2</v>
      </c>
      <c r="E1756">
        <f>_xlfn.XLOOKUP(
  A1756,
  Repo!A:A,
  Repo!B:B,
  "",
  -1
)</f>
        <v>5.9</v>
      </c>
      <c r="F1756" s="10">
        <f>_xlfn.XLOOKUP(
  A1756,
  CPI!D:D,
  CPI!C:C,
  "",
  -1
)</f>
        <v>5.72</v>
      </c>
      <c r="G1756">
        <v>53795</v>
      </c>
    </row>
    <row r="1757" spans="1:7">
      <c r="A1757" s="1">
        <v>44914</v>
      </c>
      <c r="B1757">
        <v>53945</v>
      </c>
      <c r="C1757">
        <f>_xlfn.XLOOKUP(A1757, USD!A:A, USD!B:B, "")</f>
        <v>82.649000000000001</v>
      </c>
      <c r="D1757">
        <f>_xlfn.XLOOKUP(A1757, Brent!A:A, Brent!B:B, "")</f>
        <v>81.66</v>
      </c>
      <c r="E1757">
        <f>_xlfn.XLOOKUP(
  A1757,
  Repo!A:A,
  Repo!B:B,
  "",
  -1
)</f>
        <v>5.9</v>
      </c>
      <c r="F1757" s="10">
        <f>_xlfn.XLOOKUP(
  A1757,
  CPI!D:D,
  CPI!C:C,
  "",
  -1
)</f>
        <v>5.72</v>
      </c>
      <c r="G1757">
        <v>53957</v>
      </c>
    </row>
    <row r="1758" spans="1:7">
      <c r="A1758" s="1">
        <v>44915</v>
      </c>
      <c r="B1758">
        <v>54541</v>
      </c>
      <c r="C1758">
        <f>_xlfn.XLOOKUP(A1758, USD!A:A, USD!B:B, "")</f>
        <v>82.6</v>
      </c>
      <c r="D1758">
        <f>_xlfn.XLOOKUP(A1758, Brent!A:A, Brent!B:B, "")</f>
        <v>79.45</v>
      </c>
      <c r="E1758">
        <f>_xlfn.XLOOKUP(
  A1758,
  Repo!A:A,
  Repo!B:B,
  "",
  -1
)</f>
        <v>5.9</v>
      </c>
      <c r="F1758" s="10">
        <f>_xlfn.XLOOKUP(
  A1758,
  CPI!D:D,
  CPI!C:C,
  "",
  -1
)</f>
        <v>5.72</v>
      </c>
      <c r="G1758">
        <v>53945</v>
      </c>
    </row>
    <row r="1759" spans="1:7">
      <c r="A1759" s="1">
        <v>44916</v>
      </c>
      <c r="B1759">
        <v>54684</v>
      </c>
      <c r="C1759">
        <f>_xlfn.XLOOKUP(A1759, USD!A:A, USD!B:B, "")</f>
        <v>82.88</v>
      </c>
      <c r="D1759">
        <f>_xlfn.XLOOKUP(A1759, Brent!A:A, Brent!B:B, "")</f>
        <v>80.25</v>
      </c>
      <c r="E1759">
        <f>_xlfn.XLOOKUP(
  A1759,
  Repo!A:A,
  Repo!B:B,
  "",
  -1
)</f>
        <v>5.9</v>
      </c>
      <c r="F1759" s="10">
        <f>_xlfn.XLOOKUP(
  A1759,
  CPI!D:D,
  CPI!C:C,
  "",
  -1
)</f>
        <v>5.72</v>
      </c>
      <c r="G1759">
        <v>54541</v>
      </c>
    </row>
    <row r="1760" spans="1:7">
      <c r="A1760" s="1">
        <v>44917</v>
      </c>
      <c r="B1760">
        <v>54066</v>
      </c>
      <c r="C1760">
        <f>_xlfn.XLOOKUP(A1760, USD!A:A, USD!B:B, "")</f>
        <v>82.96</v>
      </c>
      <c r="D1760">
        <f>_xlfn.XLOOKUP(A1760, Brent!A:A, Brent!B:B, "")</f>
        <v>79.58</v>
      </c>
      <c r="E1760">
        <f>_xlfn.XLOOKUP(
  A1760,
  Repo!A:A,
  Repo!B:B,
  "",
  -1
)</f>
        <v>5.9</v>
      </c>
      <c r="F1760" s="10">
        <f>_xlfn.XLOOKUP(
  A1760,
  CPI!D:D,
  CPI!C:C,
  "",
  -1
)</f>
        <v>5.72</v>
      </c>
      <c r="G1760">
        <v>54684</v>
      </c>
    </row>
    <row r="1761" spans="1:7">
      <c r="A1761" s="1">
        <v>44918</v>
      </c>
      <c r="B1761">
        <v>54104</v>
      </c>
      <c r="C1761">
        <f>_xlfn.XLOOKUP(A1761, USD!A:A, USD!B:B, "")</f>
        <v>82.78</v>
      </c>
      <c r="D1761">
        <f>_xlfn.XLOOKUP(A1761, Brent!A:A, Brent!B:B, "")</f>
        <v>82.45</v>
      </c>
      <c r="E1761">
        <f>_xlfn.XLOOKUP(
  A1761,
  Repo!A:A,
  Repo!B:B,
  "",
  -1
)</f>
        <v>5.9</v>
      </c>
      <c r="F1761" s="10">
        <f>_xlfn.XLOOKUP(
  A1761,
  CPI!D:D,
  CPI!C:C,
  "",
  -1
)</f>
        <v>5.72</v>
      </c>
      <c r="G1761">
        <v>54066</v>
      </c>
    </row>
    <row r="1762" spans="1:7">
      <c r="A1762" s="1">
        <v>44923</v>
      </c>
      <c r="B1762">
        <v>54324</v>
      </c>
      <c r="C1762">
        <f>_xlfn.XLOOKUP(A1762, USD!A:A, USD!B:B, "")</f>
        <v>82.736000000000004</v>
      </c>
      <c r="D1762">
        <f>_xlfn.XLOOKUP(A1762, Brent!A:A, Brent!B:B, "")</f>
        <v>81.7</v>
      </c>
      <c r="E1762">
        <f>_xlfn.XLOOKUP(
  A1762,
  Repo!A:A,
  Repo!B:B,
  "",
  -1
)</f>
        <v>5.9</v>
      </c>
      <c r="F1762" s="10">
        <f>_xlfn.XLOOKUP(
  A1762,
  CPI!D:D,
  CPI!C:C,
  "",
  -1
)</f>
        <v>5.72</v>
      </c>
      <c r="G1762">
        <v>54104</v>
      </c>
    </row>
    <row r="1763" spans="1:7">
      <c r="A1763" s="1">
        <v>44924</v>
      </c>
      <c r="B1763">
        <v>54642</v>
      </c>
      <c r="C1763">
        <f>_xlfn.XLOOKUP(A1763, USD!A:A, USD!B:B, "")</f>
        <v>82.757999999999996</v>
      </c>
      <c r="D1763">
        <f>_xlfn.XLOOKUP(A1763, Brent!A:A, Brent!B:B, "")</f>
        <v>80.959999999999994</v>
      </c>
      <c r="E1763">
        <f>_xlfn.XLOOKUP(
  A1763,
  Repo!A:A,
  Repo!B:B,
  "",
  -1
)</f>
        <v>5.9</v>
      </c>
      <c r="F1763" s="10">
        <f>_xlfn.XLOOKUP(
  A1763,
  CPI!D:D,
  CPI!C:C,
  "",
  -1
)</f>
        <v>5.72</v>
      </c>
      <c r="G1763">
        <v>54324</v>
      </c>
    </row>
    <row r="1764" spans="1:7">
      <c r="A1764" s="1">
        <v>44925</v>
      </c>
      <c r="B1764">
        <v>54779</v>
      </c>
      <c r="C1764">
        <f>_xlfn.XLOOKUP(A1764, USD!A:A, USD!B:B, "")</f>
        <v>82.716999999999999</v>
      </c>
      <c r="D1764">
        <f>_xlfn.XLOOKUP(A1764, Brent!A:A, Brent!B:B, "")</f>
        <v>82.82</v>
      </c>
      <c r="E1764">
        <f>_xlfn.XLOOKUP(
  A1764,
  Repo!A:A,
  Repo!B:B,
  "",
  -1
)</f>
        <v>5.9</v>
      </c>
      <c r="F1764" s="10">
        <f>_xlfn.XLOOKUP(
  A1764,
  CPI!D:D,
  CPI!C:C,
  "",
  -1
)</f>
        <v>5.72</v>
      </c>
      <c r="G1764">
        <v>54642</v>
      </c>
    </row>
    <row r="1765" spans="1:7">
      <c r="A1765" s="1">
        <v>44929</v>
      </c>
      <c r="B1765">
        <v>55380</v>
      </c>
      <c r="C1765">
        <f>_xlfn.XLOOKUP(A1765, USD!A:A, USD!B:B, "")</f>
        <v>82.774000000000001</v>
      </c>
      <c r="D1765">
        <f>_xlfn.XLOOKUP(A1765, Brent!A:A, Brent!B:B, "")</f>
        <v>80.36</v>
      </c>
      <c r="E1765">
        <f>_xlfn.XLOOKUP(
  A1765,
  Repo!A:A,
  Repo!B:B,
  "",
  -1
)</f>
        <v>6.25</v>
      </c>
      <c r="F1765" s="10">
        <f>_xlfn.XLOOKUP(
  A1765,
  CPI!D:D,
  CPI!C:C,
  "",
  -1
)</f>
        <v>6.52</v>
      </c>
      <c r="G1765">
        <v>54779</v>
      </c>
    </row>
    <row r="1766" spans="1:7">
      <c r="A1766" s="1">
        <v>44930</v>
      </c>
      <c r="B1766">
        <v>55688</v>
      </c>
      <c r="C1766">
        <f>_xlfn.XLOOKUP(A1766, USD!A:A, USD!B:B, "")</f>
        <v>82.641000000000005</v>
      </c>
      <c r="D1766">
        <f>_xlfn.XLOOKUP(A1766, Brent!A:A, Brent!B:B, "")</f>
        <v>75.31</v>
      </c>
      <c r="E1766">
        <f>_xlfn.XLOOKUP(
  A1766,
  Repo!A:A,
  Repo!B:B,
  "",
  -1
)</f>
        <v>6.25</v>
      </c>
      <c r="F1766" s="10">
        <f>_xlfn.XLOOKUP(
  A1766,
  CPI!D:D,
  CPI!C:C,
  "",
  -1
)</f>
        <v>6.52</v>
      </c>
      <c r="G1766">
        <v>55380</v>
      </c>
    </row>
    <row r="1767" spans="1:7">
      <c r="A1767" s="1">
        <v>44931</v>
      </c>
      <c r="B1767">
        <v>55071</v>
      </c>
      <c r="C1767">
        <f>_xlfn.XLOOKUP(A1767, USD!A:A, USD!B:B, "")</f>
        <v>82.567999999999998</v>
      </c>
      <c r="D1767">
        <f>_xlfn.XLOOKUP(A1767, Brent!A:A, Brent!B:B, "")</f>
        <v>76.73</v>
      </c>
      <c r="E1767">
        <f>_xlfn.XLOOKUP(
  A1767,
  Repo!A:A,
  Repo!B:B,
  "",
  -1
)</f>
        <v>6.25</v>
      </c>
      <c r="F1767" s="10">
        <f>_xlfn.XLOOKUP(
  A1767,
  CPI!D:D,
  CPI!C:C,
  "",
  -1
)</f>
        <v>6.52</v>
      </c>
      <c r="G1767">
        <v>55688</v>
      </c>
    </row>
    <row r="1768" spans="1:7">
      <c r="A1768" s="1">
        <v>44932</v>
      </c>
      <c r="B1768">
        <v>55628</v>
      </c>
      <c r="C1768">
        <f>_xlfn.XLOOKUP(A1768, USD!A:A, USD!B:B, "")</f>
        <v>82.27</v>
      </c>
      <c r="D1768">
        <f>_xlfn.XLOOKUP(A1768, Brent!A:A, Brent!B:B, "")</f>
        <v>76.41</v>
      </c>
      <c r="E1768">
        <f>_xlfn.XLOOKUP(
  A1768,
  Repo!A:A,
  Repo!B:B,
  "",
  -1
)</f>
        <v>6.25</v>
      </c>
      <c r="F1768" s="10">
        <f>_xlfn.XLOOKUP(
  A1768,
  CPI!D:D,
  CPI!C:C,
  "",
  -1
)</f>
        <v>6.52</v>
      </c>
      <c r="G1768">
        <v>55071</v>
      </c>
    </row>
    <row r="1769" spans="1:7">
      <c r="A1769" s="1">
        <v>44935</v>
      </c>
      <c r="B1769">
        <v>55792</v>
      </c>
      <c r="C1769">
        <f>_xlfn.XLOOKUP(A1769, USD!A:A, USD!B:B, "")</f>
        <v>82.17</v>
      </c>
      <c r="D1769">
        <f>_xlfn.XLOOKUP(A1769, Brent!A:A, Brent!B:B, "")</f>
        <v>77.5</v>
      </c>
      <c r="E1769">
        <f>_xlfn.XLOOKUP(
  A1769,
  Repo!A:A,
  Repo!B:B,
  "",
  -1
)</f>
        <v>6.25</v>
      </c>
      <c r="F1769" s="10">
        <f>_xlfn.XLOOKUP(
  A1769,
  CPI!D:D,
  CPI!C:C,
  "",
  -1
)</f>
        <v>6.52</v>
      </c>
      <c r="G1769">
        <v>55628</v>
      </c>
    </row>
    <row r="1770" spans="1:7">
      <c r="A1770" s="1">
        <v>44936</v>
      </c>
      <c r="B1770">
        <v>55642</v>
      </c>
      <c r="C1770">
        <f>_xlfn.XLOOKUP(A1770, USD!A:A, USD!B:B, "")</f>
        <v>81.602000000000004</v>
      </c>
      <c r="D1770">
        <f>_xlfn.XLOOKUP(A1770, Brent!A:A, Brent!B:B, "")</f>
        <v>78.400000000000006</v>
      </c>
      <c r="E1770">
        <f>_xlfn.XLOOKUP(
  A1770,
  Repo!A:A,
  Repo!B:B,
  "",
  -1
)</f>
        <v>6.25</v>
      </c>
      <c r="F1770" s="10">
        <f>_xlfn.XLOOKUP(
  A1770,
  CPI!D:D,
  CPI!C:C,
  "",
  -1
)</f>
        <v>6.52</v>
      </c>
      <c r="G1770">
        <v>55792</v>
      </c>
    </row>
    <row r="1771" spans="1:7">
      <c r="A1771" s="1">
        <v>44937</v>
      </c>
      <c r="B1771">
        <v>55641</v>
      </c>
      <c r="C1771">
        <f>_xlfn.XLOOKUP(A1771, USD!A:A, USD!B:B, "")</f>
        <v>81.637</v>
      </c>
      <c r="D1771">
        <f>_xlfn.XLOOKUP(A1771, Brent!A:A, Brent!B:B, "")</f>
        <v>81.11</v>
      </c>
      <c r="E1771">
        <f>_xlfn.XLOOKUP(
  A1771,
  Repo!A:A,
  Repo!B:B,
  "",
  -1
)</f>
        <v>6.25</v>
      </c>
      <c r="F1771" s="10">
        <f>_xlfn.XLOOKUP(
  A1771,
  CPI!D:D,
  CPI!C:C,
  "",
  -1
)</f>
        <v>6.52</v>
      </c>
      <c r="G1771">
        <v>55642</v>
      </c>
    </row>
    <row r="1772" spans="1:7">
      <c r="A1772" s="1">
        <v>44938</v>
      </c>
      <c r="B1772">
        <v>55801</v>
      </c>
      <c r="C1772">
        <f>_xlfn.XLOOKUP(A1772, USD!A:A, USD!B:B, "")</f>
        <v>81.099999999999994</v>
      </c>
      <c r="D1772">
        <f>_xlfn.XLOOKUP(A1772, Brent!A:A, Brent!B:B, "")</f>
        <v>82.59</v>
      </c>
      <c r="E1772">
        <f>_xlfn.XLOOKUP(
  A1772,
  Repo!A:A,
  Repo!B:B,
  "",
  -1
)</f>
        <v>6.25</v>
      </c>
      <c r="F1772" s="10">
        <f>_xlfn.XLOOKUP(
  A1772,
  CPI!D:D,
  CPI!C:C,
  "",
  -1
)</f>
        <v>6.52</v>
      </c>
      <c r="G1772">
        <v>55641</v>
      </c>
    </row>
    <row r="1773" spans="1:7">
      <c r="A1773" s="1">
        <v>44939</v>
      </c>
      <c r="B1773">
        <v>56224</v>
      </c>
      <c r="C1773">
        <f>_xlfn.XLOOKUP(A1773, USD!A:A, USD!B:B, "")</f>
        <v>81.28</v>
      </c>
      <c r="D1773">
        <f>_xlfn.XLOOKUP(A1773, Brent!A:A, Brent!B:B, "")</f>
        <v>83.43</v>
      </c>
      <c r="E1773">
        <f>_xlfn.XLOOKUP(
  A1773,
  Repo!A:A,
  Repo!B:B,
  "",
  -1
)</f>
        <v>6.25</v>
      </c>
      <c r="F1773" s="10">
        <f>_xlfn.XLOOKUP(
  A1773,
  CPI!D:D,
  CPI!C:C,
  "",
  -1
)</f>
        <v>6.52</v>
      </c>
      <c r="G1773">
        <v>55801</v>
      </c>
    </row>
    <row r="1774" spans="1:7">
      <c r="A1774" s="1">
        <v>44942</v>
      </c>
      <c r="B1774">
        <v>56414</v>
      </c>
      <c r="C1774">
        <f>_xlfn.XLOOKUP(A1774, USD!A:A, USD!B:B, "")</f>
        <v>81.628</v>
      </c>
      <c r="D1774">
        <f>_xlfn.XLOOKUP(A1774, Brent!A:A, Brent!B:B, "")</f>
        <v>82.65</v>
      </c>
      <c r="E1774">
        <f>_xlfn.XLOOKUP(
  A1774,
  Repo!A:A,
  Repo!B:B,
  "",
  -1
)</f>
        <v>6.25</v>
      </c>
      <c r="F1774" s="10">
        <f>_xlfn.XLOOKUP(
  A1774,
  CPI!D:D,
  CPI!C:C,
  "",
  -1
)</f>
        <v>6.52</v>
      </c>
      <c r="G1774">
        <v>56224</v>
      </c>
    </row>
    <row r="1775" spans="1:7">
      <c r="A1775" s="1">
        <v>44943</v>
      </c>
      <c r="B1775">
        <v>56306</v>
      </c>
      <c r="C1775">
        <f>_xlfn.XLOOKUP(A1775, USD!A:A, USD!B:B, "")</f>
        <v>81.63</v>
      </c>
      <c r="D1775">
        <f>_xlfn.XLOOKUP(A1775, Brent!A:A, Brent!B:B, "")</f>
        <v>84.38</v>
      </c>
      <c r="E1775">
        <f>_xlfn.XLOOKUP(
  A1775,
  Repo!A:A,
  Repo!B:B,
  "",
  -1
)</f>
        <v>6.25</v>
      </c>
      <c r="F1775" s="10">
        <f>_xlfn.XLOOKUP(
  A1775,
  CPI!D:D,
  CPI!C:C,
  "",
  -1
)</f>
        <v>6.52</v>
      </c>
      <c r="G1775">
        <v>56414</v>
      </c>
    </row>
    <row r="1776" spans="1:7">
      <c r="A1776" s="1">
        <v>44944</v>
      </c>
      <c r="B1776">
        <v>56220</v>
      </c>
      <c r="C1776">
        <f>_xlfn.XLOOKUP(A1776, USD!A:A, USD!B:B, "")</f>
        <v>81.44</v>
      </c>
      <c r="D1776">
        <f>_xlfn.XLOOKUP(A1776, Brent!A:A, Brent!B:B, "")</f>
        <v>83.78</v>
      </c>
      <c r="E1776">
        <f>_xlfn.XLOOKUP(
  A1776,
  Repo!A:A,
  Repo!B:B,
  "",
  -1
)</f>
        <v>6.25</v>
      </c>
      <c r="F1776" s="10">
        <f>_xlfn.XLOOKUP(
  A1776,
  CPI!D:D,
  CPI!C:C,
  "",
  -1
)</f>
        <v>6.52</v>
      </c>
      <c r="G1776">
        <v>56306</v>
      </c>
    </row>
    <row r="1777" spans="1:7">
      <c r="A1777" s="1">
        <v>44945</v>
      </c>
      <c r="B1777">
        <v>56443</v>
      </c>
      <c r="C1777">
        <f>_xlfn.XLOOKUP(A1777, USD!A:A, USD!B:B, "")</f>
        <v>81.239999999999995</v>
      </c>
      <c r="D1777">
        <f>_xlfn.XLOOKUP(A1777, Brent!A:A, Brent!B:B, "")</f>
        <v>85.08</v>
      </c>
      <c r="E1777">
        <f>_xlfn.XLOOKUP(
  A1777,
  Repo!A:A,
  Repo!B:B,
  "",
  -1
)</f>
        <v>6.25</v>
      </c>
      <c r="F1777" s="10">
        <f>_xlfn.XLOOKUP(
  A1777,
  CPI!D:D,
  CPI!C:C,
  "",
  -1
)</f>
        <v>6.52</v>
      </c>
      <c r="G1777">
        <v>56220</v>
      </c>
    </row>
    <row r="1778" spans="1:7">
      <c r="A1778" s="1">
        <v>44946</v>
      </c>
      <c r="B1778">
        <v>56569</v>
      </c>
      <c r="C1778">
        <f>_xlfn.XLOOKUP(A1778, USD!A:A, USD!B:B, "")</f>
        <v>80.978999999999999</v>
      </c>
      <c r="D1778">
        <f>_xlfn.XLOOKUP(A1778, Brent!A:A, Brent!B:B, "")</f>
        <v>86.96</v>
      </c>
      <c r="E1778">
        <f>_xlfn.XLOOKUP(
  A1778,
  Repo!A:A,
  Repo!B:B,
  "",
  -1
)</f>
        <v>6.25</v>
      </c>
      <c r="F1778" s="10">
        <f>_xlfn.XLOOKUP(
  A1778,
  CPI!D:D,
  CPI!C:C,
  "",
  -1
)</f>
        <v>6.52</v>
      </c>
      <c r="G1778">
        <v>56443</v>
      </c>
    </row>
    <row r="1779" spans="1:7">
      <c r="A1779" s="1">
        <v>44949</v>
      </c>
      <c r="B1779">
        <v>56705</v>
      </c>
      <c r="C1779">
        <f>_xlfn.XLOOKUP(A1779, USD!A:A, USD!B:B, "")</f>
        <v>81.477999999999994</v>
      </c>
      <c r="D1779">
        <f>_xlfn.XLOOKUP(A1779, Brent!A:A, Brent!B:B, "")</f>
        <v>87.54</v>
      </c>
      <c r="E1779">
        <f>_xlfn.XLOOKUP(
  A1779,
  Repo!A:A,
  Repo!B:B,
  "",
  -1
)</f>
        <v>6.25</v>
      </c>
      <c r="F1779" s="10">
        <f>_xlfn.XLOOKUP(
  A1779,
  CPI!D:D,
  CPI!C:C,
  "",
  -1
)</f>
        <v>6.52</v>
      </c>
      <c r="G1779">
        <v>56569</v>
      </c>
    </row>
    <row r="1780" spans="1:7">
      <c r="A1780" s="1">
        <v>44950</v>
      </c>
      <c r="B1780">
        <v>56881</v>
      </c>
      <c r="C1780">
        <f>_xlfn.XLOOKUP(A1780, USD!A:A, USD!B:B, "")</f>
        <v>81.593999999999994</v>
      </c>
      <c r="D1780">
        <f>_xlfn.XLOOKUP(A1780, Brent!A:A, Brent!B:B, "")</f>
        <v>85.25</v>
      </c>
      <c r="E1780">
        <f>_xlfn.XLOOKUP(
  A1780,
  Repo!A:A,
  Repo!B:B,
  "",
  -1
)</f>
        <v>6.25</v>
      </c>
      <c r="F1780" s="10">
        <f>_xlfn.XLOOKUP(
  A1780,
  CPI!D:D,
  CPI!C:C,
  "",
  -1
)</f>
        <v>6.52</v>
      </c>
      <c r="G1780">
        <v>56705</v>
      </c>
    </row>
    <row r="1781" spans="1:7">
      <c r="A1781" s="1">
        <v>44951</v>
      </c>
      <c r="B1781">
        <v>56865</v>
      </c>
      <c r="C1781">
        <f>_xlfn.XLOOKUP(A1781, USD!A:A, USD!B:B, "")</f>
        <v>81.491</v>
      </c>
      <c r="D1781">
        <f>_xlfn.XLOOKUP(A1781, Brent!A:A, Brent!B:B, "")</f>
        <v>85.08</v>
      </c>
      <c r="E1781">
        <f>_xlfn.XLOOKUP(
  A1781,
  Repo!A:A,
  Repo!B:B,
  "",
  -1
)</f>
        <v>6.25</v>
      </c>
      <c r="F1781" s="10">
        <f>_xlfn.XLOOKUP(
  A1781,
  CPI!D:D,
  CPI!C:C,
  "",
  -1
)</f>
        <v>6.52</v>
      </c>
      <c r="G1781">
        <v>56881</v>
      </c>
    </row>
    <row r="1782" spans="1:7">
      <c r="A1782" s="1">
        <v>44953</v>
      </c>
      <c r="B1782">
        <v>56789</v>
      </c>
      <c r="C1782">
        <f>_xlfn.XLOOKUP(A1782, USD!A:A, USD!B:B, "")</f>
        <v>81.510000000000005</v>
      </c>
      <c r="D1782">
        <f>_xlfn.XLOOKUP(A1782, Brent!A:A, Brent!B:B, "")</f>
        <v>85.36</v>
      </c>
      <c r="E1782">
        <f>_xlfn.XLOOKUP(
  A1782,
  Repo!A:A,
  Repo!B:B,
  "",
  -1
)</f>
        <v>6.25</v>
      </c>
      <c r="F1782" s="10">
        <f>_xlfn.XLOOKUP(
  A1782,
  CPI!D:D,
  CPI!C:C,
  "",
  -1
)</f>
        <v>6.52</v>
      </c>
      <c r="G1782">
        <v>56865</v>
      </c>
    </row>
    <row r="1783" spans="1:7">
      <c r="A1783" s="1">
        <v>44956</v>
      </c>
      <c r="B1783">
        <v>56754</v>
      </c>
      <c r="C1783">
        <f>_xlfn.XLOOKUP(A1783, USD!A:A, USD!B:B, "")</f>
        <v>81.52</v>
      </c>
      <c r="D1783">
        <f>_xlfn.XLOOKUP(A1783, Brent!A:A, Brent!B:B, "")</f>
        <v>84.9</v>
      </c>
      <c r="E1783">
        <f>_xlfn.XLOOKUP(
  A1783,
  Repo!A:A,
  Repo!B:B,
  "",
  -1
)</f>
        <v>6.25</v>
      </c>
      <c r="F1783" s="10">
        <f>_xlfn.XLOOKUP(
  A1783,
  CPI!D:D,
  CPI!C:C,
  "",
  -1
)</f>
        <v>6.52</v>
      </c>
      <c r="G1783">
        <v>56789</v>
      </c>
    </row>
    <row r="1784" spans="1:7">
      <c r="A1784" s="1">
        <v>44957</v>
      </c>
      <c r="B1784">
        <v>56864</v>
      </c>
      <c r="C1784">
        <f>_xlfn.XLOOKUP(A1784, USD!A:A, USD!B:B, "")</f>
        <v>81.739000000000004</v>
      </c>
      <c r="D1784">
        <f>_xlfn.XLOOKUP(A1784, Brent!A:A, Brent!B:B, "")</f>
        <v>83.42</v>
      </c>
      <c r="E1784">
        <f>_xlfn.XLOOKUP(
  A1784,
  Repo!A:A,
  Repo!B:B,
  "",
  -1
)</f>
        <v>6.25</v>
      </c>
      <c r="F1784" s="10">
        <f>_xlfn.XLOOKUP(
  A1784,
  CPI!D:D,
  CPI!C:C,
  "",
  -1
)</f>
        <v>6.52</v>
      </c>
      <c r="G1784">
        <v>56754</v>
      </c>
    </row>
    <row r="1785" spans="1:7">
      <c r="A1785" s="1">
        <v>44958</v>
      </c>
      <c r="B1785">
        <v>57599</v>
      </c>
      <c r="C1785">
        <f>_xlfn.XLOOKUP(A1785, USD!A:A, USD!B:B, "")</f>
        <v>81.73</v>
      </c>
      <c r="D1785">
        <f>_xlfn.XLOOKUP(A1785, Brent!A:A, Brent!B:B, "")</f>
        <v>81.61</v>
      </c>
      <c r="E1785">
        <f>_xlfn.XLOOKUP(
  A1785,
  Repo!A:A,
  Repo!B:B,
  "",
  -1
)</f>
        <v>6.25</v>
      </c>
      <c r="F1785" s="10">
        <f>_xlfn.XLOOKUP(
  A1785,
  CPI!D:D,
  CPI!C:C,
  "",
  -1
)</f>
        <v>6.44</v>
      </c>
      <c r="G1785">
        <v>56864</v>
      </c>
    </row>
    <row r="1786" spans="1:7">
      <c r="A1786" s="1">
        <v>44959</v>
      </c>
      <c r="B1786">
        <v>57710</v>
      </c>
      <c r="C1786">
        <f>_xlfn.XLOOKUP(A1786, USD!A:A, USD!B:B, "")</f>
        <v>82.039000000000001</v>
      </c>
      <c r="D1786">
        <f>_xlfn.XLOOKUP(A1786, Brent!A:A, Brent!B:B, "")</f>
        <v>80.569999999999993</v>
      </c>
      <c r="E1786">
        <f>_xlfn.XLOOKUP(
  A1786,
  Repo!A:A,
  Repo!B:B,
  "",
  -1
)</f>
        <v>6.25</v>
      </c>
      <c r="F1786" s="10">
        <f>_xlfn.XLOOKUP(
  A1786,
  CPI!D:D,
  CPI!C:C,
  "",
  -1
)</f>
        <v>6.44</v>
      </c>
      <c r="G1786">
        <v>57599</v>
      </c>
    </row>
    <row r="1787" spans="1:7">
      <c r="A1787" s="1">
        <v>44960</v>
      </c>
      <c r="B1787">
        <v>57424</v>
      </c>
      <c r="C1787">
        <f>_xlfn.XLOOKUP(A1787, USD!A:A, USD!B:B, "")</f>
        <v>82.206000000000003</v>
      </c>
      <c r="D1787">
        <f>_xlfn.XLOOKUP(A1787, Brent!A:A, Brent!B:B, "")</f>
        <v>78.849999999999994</v>
      </c>
      <c r="E1787">
        <f>_xlfn.XLOOKUP(
  A1787,
  Repo!A:A,
  Repo!B:B,
  "",
  -1
)</f>
        <v>6.25</v>
      </c>
      <c r="F1787" s="10">
        <f>_xlfn.XLOOKUP(
  A1787,
  CPI!D:D,
  CPI!C:C,
  "",
  -1
)</f>
        <v>6.44</v>
      </c>
      <c r="G1787">
        <v>57710</v>
      </c>
    </row>
    <row r="1788" spans="1:7">
      <c r="A1788" s="1">
        <v>44963</v>
      </c>
      <c r="B1788">
        <v>56926</v>
      </c>
      <c r="C1788">
        <f>_xlfn.XLOOKUP(A1788, USD!A:A, USD!B:B, "")</f>
        <v>82.74</v>
      </c>
      <c r="D1788">
        <f>_xlfn.XLOOKUP(A1788, Brent!A:A, Brent!B:B, "")</f>
        <v>80.48</v>
      </c>
      <c r="E1788">
        <f>_xlfn.XLOOKUP(
  A1788,
  Repo!A:A,
  Repo!B:B,
  "",
  -1
)</f>
        <v>6.25</v>
      </c>
      <c r="F1788" s="10">
        <f>_xlfn.XLOOKUP(
  A1788,
  CPI!D:D,
  CPI!C:C,
  "",
  -1
)</f>
        <v>6.44</v>
      </c>
      <c r="G1788">
        <v>57424</v>
      </c>
    </row>
    <row r="1789" spans="1:7">
      <c r="A1789" s="1">
        <v>44964</v>
      </c>
      <c r="B1789">
        <v>57175</v>
      </c>
      <c r="C1789">
        <f>_xlfn.XLOOKUP(A1789, USD!A:A, USD!B:B, "")</f>
        <v>82.86</v>
      </c>
      <c r="D1789">
        <f>_xlfn.XLOOKUP(A1789, Brent!A:A, Brent!B:B, "")</f>
        <v>82.92</v>
      </c>
      <c r="E1789">
        <f>_xlfn.XLOOKUP(
  A1789,
  Repo!A:A,
  Repo!B:B,
  "",
  -1
)</f>
        <v>6.25</v>
      </c>
      <c r="F1789" s="10">
        <f>_xlfn.XLOOKUP(
  A1789,
  CPI!D:D,
  CPI!C:C,
  "",
  -1
)</f>
        <v>6.44</v>
      </c>
      <c r="G1789">
        <v>56926</v>
      </c>
    </row>
    <row r="1790" spans="1:7">
      <c r="A1790" s="1">
        <v>44965</v>
      </c>
      <c r="B1790">
        <v>57128</v>
      </c>
      <c r="C1790">
        <f>_xlfn.XLOOKUP(A1790, USD!A:A, USD!B:B, "")</f>
        <v>82.65</v>
      </c>
      <c r="D1790">
        <f>_xlfn.XLOOKUP(A1790, Brent!A:A, Brent!B:B, "")</f>
        <v>84.17</v>
      </c>
      <c r="E1790">
        <f>_xlfn.XLOOKUP(
  A1790,
  Repo!A:A,
  Repo!B:B,
  "",
  -1
)</f>
        <v>6.25</v>
      </c>
      <c r="F1790" s="10">
        <f>_xlfn.XLOOKUP(
  A1790,
  CPI!D:D,
  CPI!C:C,
  "",
  -1
)</f>
        <v>6.44</v>
      </c>
      <c r="G1790">
        <v>57175</v>
      </c>
    </row>
    <row r="1791" spans="1:7">
      <c r="A1791" s="1">
        <v>44966</v>
      </c>
      <c r="B1791">
        <v>56797</v>
      </c>
      <c r="C1791">
        <f>_xlfn.XLOOKUP(A1791, USD!A:A, USD!B:B, "")</f>
        <v>82.510999999999996</v>
      </c>
      <c r="D1791">
        <f>_xlfn.XLOOKUP(A1791, Brent!A:A, Brent!B:B, "")</f>
        <v>83.46</v>
      </c>
      <c r="E1791">
        <f>_xlfn.XLOOKUP(
  A1791,
  Repo!A:A,
  Repo!B:B,
  "",
  -1
)</f>
        <v>6.25</v>
      </c>
      <c r="F1791" s="10">
        <f>_xlfn.XLOOKUP(
  A1791,
  CPI!D:D,
  CPI!C:C,
  "",
  -1
)</f>
        <v>6.44</v>
      </c>
      <c r="G1791">
        <v>57128</v>
      </c>
    </row>
    <row r="1792" spans="1:7">
      <c r="A1792" s="1">
        <v>44967</v>
      </c>
      <c r="B1792">
        <v>56711</v>
      </c>
      <c r="C1792">
        <f>_xlfn.XLOOKUP(A1792, USD!A:A, USD!B:B, "")</f>
        <v>82.51</v>
      </c>
      <c r="D1792">
        <f>_xlfn.XLOOKUP(A1792, Brent!A:A, Brent!B:B, "")</f>
        <v>85.46</v>
      </c>
      <c r="E1792">
        <f>_xlfn.XLOOKUP(
  A1792,
  Repo!A:A,
  Repo!B:B,
  "",
  -1
)</f>
        <v>6.25</v>
      </c>
      <c r="F1792" s="10">
        <f>_xlfn.XLOOKUP(
  A1792,
  CPI!D:D,
  CPI!C:C,
  "",
  -1
)</f>
        <v>6.44</v>
      </c>
      <c r="G1792">
        <v>56797</v>
      </c>
    </row>
    <row r="1793" spans="1:7">
      <c r="A1793" s="1">
        <v>44970</v>
      </c>
      <c r="B1793">
        <v>56486</v>
      </c>
      <c r="C1793">
        <f>_xlfn.XLOOKUP(A1793, USD!A:A, USD!B:B, "")</f>
        <v>82.591999999999999</v>
      </c>
      <c r="D1793">
        <f>_xlfn.XLOOKUP(A1793, Brent!A:A, Brent!B:B, "")</f>
        <v>85.98</v>
      </c>
      <c r="E1793">
        <f>_xlfn.XLOOKUP(
  A1793,
  Repo!A:A,
  Repo!B:B,
  "",
  -1
)</f>
        <v>6.25</v>
      </c>
      <c r="F1793" s="10">
        <f>_xlfn.XLOOKUP(
  A1793,
  CPI!D:D,
  CPI!C:C,
  "",
  -1
)</f>
        <v>6.44</v>
      </c>
      <c r="G1793">
        <v>56711</v>
      </c>
    </row>
    <row r="1794" spans="1:7">
      <c r="A1794" s="1">
        <v>44971</v>
      </c>
      <c r="B1794">
        <v>56679</v>
      </c>
      <c r="C1794">
        <f>_xlfn.XLOOKUP(A1794, USD!A:A, USD!B:B, "")</f>
        <v>82.91</v>
      </c>
      <c r="D1794">
        <f>_xlfn.XLOOKUP(A1794, Brent!A:A, Brent!B:B, "")</f>
        <v>84.96</v>
      </c>
      <c r="E1794">
        <f>_xlfn.XLOOKUP(
  A1794,
  Repo!A:A,
  Repo!B:B,
  "",
  -1
)</f>
        <v>6.25</v>
      </c>
      <c r="F1794" s="10">
        <f>_xlfn.XLOOKUP(
  A1794,
  CPI!D:D,
  CPI!C:C,
  "",
  -1
)</f>
        <v>6.44</v>
      </c>
      <c r="G1794">
        <v>56486</v>
      </c>
    </row>
    <row r="1795" spans="1:7">
      <c r="A1795" s="1">
        <v>44972</v>
      </c>
      <c r="B1795">
        <v>56151</v>
      </c>
      <c r="C1795">
        <f>_xlfn.XLOOKUP(A1795, USD!A:A, USD!B:B, "")</f>
        <v>82.75</v>
      </c>
      <c r="D1795">
        <f>_xlfn.XLOOKUP(A1795, Brent!A:A, Brent!B:B, "")</f>
        <v>84.11</v>
      </c>
      <c r="E1795">
        <f>_xlfn.XLOOKUP(
  A1795,
  Repo!A:A,
  Repo!B:B,
  "",
  -1
)</f>
        <v>6.25</v>
      </c>
      <c r="F1795" s="10">
        <f>_xlfn.XLOOKUP(
  A1795,
  CPI!D:D,
  CPI!C:C,
  "",
  -1
)</f>
        <v>6.44</v>
      </c>
      <c r="G1795">
        <v>56679</v>
      </c>
    </row>
    <row r="1796" spans="1:7">
      <c r="A1796" s="1">
        <v>44973</v>
      </c>
      <c r="B1796">
        <v>56229</v>
      </c>
      <c r="C1796">
        <f>_xlfn.XLOOKUP(A1796, USD!A:A, USD!B:B, "")</f>
        <v>82.71</v>
      </c>
      <c r="D1796">
        <f>_xlfn.XLOOKUP(A1796, Brent!A:A, Brent!B:B, "")</f>
        <v>83.84</v>
      </c>
      <c r="E1796">
        <f>_xlfn.XLOOKUP(
  A1796,
  Repo!A:A,
  Repo!B:B,
  "",
  -1
)</f>
        <v>6.25</v>
      </c>
      <c r="F1796" s="10">
        <f>_xlfn.XLOOKUP(
  A1796,
  CPI!D:D,
  CPI!C:C,
  "",
  -1
)</f>
        <v>6.44</v>
      </c>
      <c r="G1796">
        <v>56151</v>
      </c>
    </row>
    <row r="1797" spans="1:7">
      <c r="A1797" s="1">
        <v>44974</v>
      </c>
      <c r="B1797">
        <v>56232</v>
      </c>
      <c r="C1797">
        <f>_xlfn.XLOOKUP(A1797, USD!A:A, USD!B:B, "")</f>
        <v>82.75</v>
      </c>
      <c r="D1797">
        <f>_xlfn.XLOOKUP(A1797, Brent!A:A, Brent!B:B, "")</f>
        <v>81.97</v>
      </c>
      <c r="E1797">
        <f>_xlfn.XLOOKUP(
  A1797,
  Repo!A:A,
  Repo!B:B,
  "",
  -1
)</f>
        <v>6.25</v>
      </c>
      <c r="F1797" s="10">
        <f>_xlfn.XLOOKUP(
  A1797,
  CPI!D:D,
  CPI!C:C,
  "",
  -1
)</f>
        <v>6.44</v>
      </c>
      <c r="G1797">
        <v>56229</v>
      </c>
    </row>
    <row r="1798" spans="1:7">
      <c r="A1798" s="1">
        <v>44977</v>
      </c>
      <c r="B1798">
        <v>56202</v>
      </c>
      <c r="C1798">
        <f>_xlfn.XLOOKUP(A1798, USD!A:A, USD!B:B, "")</f>
        <v>82.692999999999998</v>
      </c>
      <c r="D1798">
        <f>_xlfn.XLOOKUP(A1798, Brent!A:A, Brent!B:B, "")</f>
        <v>82.79</v>
      </c>
      <c r="E1798">
        <f>_xlfn.XLOOKUP(
  A1798,
  Repo!A:A,
  Repo!B:B,
  "",
  -1
)</f>
        <v>6.25</v>
      </c>
      <c r="F1798" s="10">
        <f>_xlfn.XLOOKUP(
  A1798,
  CPI!D:D,
  CPI!C:C,
  "",
  -1
)</f>
        <v>6.44</v>
      </c>
      <c r="G1798">
        <v>56232</v>
      </c>
    </row>
    <row r="1799" spans="1:7">
      <c r="A1799" s="1">
        <v>44978</v>
      </c>
      <c r="B1799">
        <v>56157</v>
      </c>
      <c r="C1799">
        <f>_xlfn.XLOOKUP(A1799, USD!A:A, USD!B:B, "")</f>
        <v>82.843999999999994</v>
      </c>
      <c r="D1799">
        <f>_xlfn.XLOOKUP(A1799, Brent!A:A, Brent!B:B, "")</f>
        <v>82.14</v>
      </c>
      <c r="E1799">
        <f>_xlfn.XLOOKUP(
  A1799,
  Repo!A:A,
  Repo!B:B,
  "",
  -1
)</f>
        <v>6.25</v>
      </c>
      <c r="F1799" s="10">
        <f>_xlfn.XLOOKUP(
  A1799,
  CPI!D:D,
  CPI!C:C,
  "",
  -1
)</f>
        <v>6.44</v>
      </c>
      <c r="G1799">
        <v>56202</v>
      </c>
    </row>
    <row r="1800" spans="1:7">
      <c r="A1800" s="1">
        <v>44979</v>
      </c>
      <c r="B1800">
        <v>56060</v>
      </c>
      <c r="C1800">
        <f>_xlfn.XLOOKUP(A1800, USD!A:A, USD!B:B, "")</f>
        <v>82.83</v>
      </c>
      <c r="D1800">
        <f>_xlfn.XLOOKUP(A1800, Brent!A:A, Brent!B:B, "")</f>
        <v>79.55</v>
      </c>
      <c r="E1800">
        <f>_xlfn.XLOOKUP(
  A1800,
  Repo!A:A,
  Repo!B:B,
  "",
  -1
)</f>
        <v>6.25</v>
      </c>
      <c r="F1800" s="10">
        <f>_xlfn.XLOOKUP(
  A1800,
  CPI!D:D,
  CPI!C:C,
  "",
  -1
)</f>
        <v>6.44</v>
      </c>
      <c r="G1800">
        <v>56157</v>
      </c>
    </row>
    <row r="1801" spans="1:7">
      <c r="A1801" s="1">
        <v>44980</v>
      </c>
      <c r="B1801">
        <v>55630</v>
      </c>
      <c r="C1801">
        <f>_xlfn.XLOOKUP(A1801, USD!A:A, USD!B:B, "")</f>
        <v>82.59</v>
      </c>
      <c r="D1801">
        <f>_xlfn.XLOOKUP(A1801, Brent!A:A, Brent!B:B, "")</f>
        <v>82.08</v>
      </c>
      <c r="E1801">
        <f>_xlfn.XLOOKUP(
  A1801,
  Repo!A:A,
  Repo!B:B,
  "",
  -1
)</f>
        <v>6.25</v>
      </c>
      <c r="F1801" s="10">
        <f>_xlfn.XLOOKUP(
  A1801,
  CPI!D:D,
  CPI!C:C,
  "",
  -1
)</f>
        <v>6.44</v>
      </c>
      <c r="G1801">
        <v>56060</v>
      </c>
    </row>
    <row r="1802" spans="1:7">
      <c r="A1802" s="1">
        <v>44981</v>
      </c>
      <c r="B1802">
        <v>55535</v>
      </c>
      <c r="C1802">
        <f>_xlfn.XLOOKUP(A1802, USD!A:A, USD!B:B, "")</f>
        <v>82.897000000000006</v>
      </c>
      <c r="D1802">
        <f>_xlfn.XLOOKUP(A1802, Brent!A:A, Brent!B:B, "")</f>
        <v>82.31</v>
      </c>
      <c r="E1802">
        <f>_xlfn.XLOOKUP(
  A1802,
  Repo!A:A,
  Repo!B:B,
  "",
  -1
)</f>
        <v>6.25</v>
      </c>
      <c r="F1802" s="10">
        <f>_xlfn.XLOOKUP(
  A1802,
  CPI!D:D,
  CPI!C:C,
  "",
  -1
)</f>
        <v>6.44</v>
      </c>
      <c r="G1802">
        <v>55630</v>
      </c>
    </row>
    <row r="1803" spans="1:7">
      <c r="A1803" s="1">
        <v>44984</v>
      </c>
      <c r="B1803">
        <v>55447</v>
      </c>
      <c r="C1803">
        <f>_xlfn.XLOOKUP(A1803, USD!A:A, USD!B:B, "")</f>
        <v>82.641999999999996</v>
      </c>
      <c r="D1803">
        <f>_xlfn.XLOOKUP(A1803, Brent!A:A, Brent!B:B, "")</f>
        <v>81.239999999999995</v>
      </c>
      <c r="E1803">
        <f>_xlfn.XLOOKUP(
  A1803,
  Repo!A:A,
  Repo!B:B,
  "",
  -1
)</f>
        <v>6.25</v>
      </c>
      <c r="F1803" s="10">
        <f>_xlfn.XLOOKUP(
  A1803,
  CPI!D:D,
  CPI!C:C,
  "",
  -1
)</f>
        <v>6.44</v>
      </c>
      <c r="G1803">
        <v>55535</v>
      </c>
    </row>
    <row r="1804" spans="1:7">
      <c r="A1804" s="1">
        <v>44985</v>
      </c>
      <c r="B1804">
        <v>55714</v>
      </c>
      <c r="C1804">
        <f>_xlfn.XLOOKUP(A1804, USD!A:A, USD!B:B, "")</f>
        <v>82.64</v>
      </c>
      <c r="D1804">
        <f>_xlfn.XLOOKUP(A1804, Brent!A:A, Brent!B:B, "")</f>
        <v>83.21</v>
      </c>
      <c r="E1804">
        <f>_xlfn.XLOOKUP(
  A1804,
  Repo!A:A,
  Repo!B:B,
  "",
  -1
)</f>
        <v>6.5</v>
      </c>
      <c r="F1804" s="10">
        <f>_xlfn.XLOOKUP(
  A1804,
  CPI!D:D,
  CPI!C:C,
  "",
  -1
)</f>
        <v>6.44</v>
      </c>
      <c r="G1804">
        <v>55447</v>
      </c>
    </row>
    <row r="1805" spans="1:7">
      <c r="A1805" s="1">
        <v>44986</v>
      </c>
      <c r="B1805">
        <v>56047</v>
      </c>
      <c r="C1805">
        <f>_xlfn.XLOOKUP(A1805, USD!A:A, USD!B:B, "")</f>
        <v>82.43</v>
      </c>
      <c r="D1805">
        <f>_xlfn.XLOOKUP(A1805, Brent!A:A, Brent!B:B, "")</f>
        <v>83.68</v>
      </c>
      <c r="E1805">
        <f>_xlfn.XLOOKUP(
  A1805,
  Repo!A:A,
  Repo!B:B,
  "",
  -1
)</f>
        <v>6.5</v>
      </c>
      <c r="F1805" s="10">
        <f>_xlfn.XLOOKUP(
  A1805,
  CPI!D:D,
  CPI!C:C,
  "",
  -1
)</f>
        <v>5.66</v>
      </c>
      <c r="G1805">
        <v>55714</v>
      </c>
    </row>
    <row r="1806" spans="1:7">
      <c r="A1806" s="1">
        <v>44987</v>
      </c>
      <c r="B1806">
        <v>55915</v>
      </c>
      <c r="C1806">
        <f>_xlfn.XLOOKUP(A1806, USD!A:A, USD!B:B, "")</f>
        <v>82.35</v>
      </c>
      <c r="D1806">
        <f>_xlfn.XLOOKUP(A1806, Brent!A:A, Brent!B:B, "")</f>
        <v>84.15</v>
      </c>
      <c r="E1806">
        <f>_xlfn.XLOOKUP(
  A1806,
  Repo!A:A,
  Repo!B:B,
  "",
  -1
)</f>
        <v>6.5</v>
      </c>
      <c r="F1806" s="10">
        <f>_xlfn.XLOOKUP(
  A1806,
  CPI!D:D,
  CPI!C:C,
  "",
  -1
)</f>
        <v>5.66</v>
      </c>
      <c r="G1806">
        <v>56047</v>
      </c>
    </row>
    <row r="1807" spans="1:7">
      <c r="A1807" s="1">
        <v>44988</v>
      </c>
      <c r="B1807">
        <v>55879</v>
      </c>
      <c r="C1807">
        <f>_xlfn.XLOOKUP(A1807, USD!A:A, USD!B:B, "")</f>
        <v>81.680000000000007</v>
      </c>
      <c r="D1807">
        <f>_xlfn.XLOOKUP(A1807, Brent!A:A, Brent!B:B, "")</f>
        <v>85.74</v>
      </c>
      <c r="E1807">
        <f>_xlfn.XLOOKUP(
  A1807,
  Repo!A:A,
  Repo!B:B,
  "",
  -1
)</f>
        <v>6.5</v>
      </c>
      <c r="F1807" s="10">
        <f>_xlfn.XLOOKUP(
  A1807,
  CPI!D:D,
  CPI!C:C,
  "",
  -1
)</f>
        <v>5.66</v>
      </c>
      <c r="G1807">
        <v>55915</v>
      </c>
    </row>
    <row r="1808" spans="1:7">
      <c r="A1808" s="1">
        <v>44991</v>
      </c>
      <c r="B1808">
        <v>55752</v>
      </c>
      <c r="C1808">
        <f>_xlfn.XLOOKUP(A1808, USD!A:A, USD!B:B, "")</f>
        <v>81.81</v>
      </c>
      <c r="D1808">
        <f>_xlfn.XLOOKUP(A1808, Brent!A:A, Brent!B:B, "")</f>
        <v>85.86</v>
      </c>
      <c r="E1808">
        <f>_xlfn.XLOOKUP(
  A1808,
  Repo!A:A,
  Repo!B:B,
  "",
  -1
)</f>
        <v>6.5</v>
      </c>
      <c r="F1808" s="10">
        <f>_xlfn.XLOOKUP(
  A1808,
  CPI!D:D,
  CPI!C:C,
  "",
  -1
)</f>
        <v>5.66</v>
      </c>
      <c r="G1808">
        <v>55879</v>
      </c>
    </row>
    <row r="1809" spans="1:7">
      <c r="A1809" s="1">
        <v>44992</v>
      </c>
      <c r="B1809">
        <v>55077</v>
      </c>
      <c r="C1809">
        <f>_xlfn.XLOOKUP(A1809, USD!A:A, USD!B:B, "")</f>
        <v>82</v>
      </c>
      <c r="D1809">
        <f>_xlfn.XLOOKUP(A1809, Brent!A:A, Brent!B:B, "")</f>
        <v>83.03</v>
      </c>
      <c r="E1809">
        <f>_xlfn.XLOOKUP(
  A1809,
  Repo!A:A,
  Repo!B:B,
  "",
  -1
)</f>
        <v>6.5</v>
      </c>
      <c r="F1809" s="10">
        <f>_xlfn.XLOOKUP(
  A1809,
  CPI!D:D,
  CPI!C:C,
  "",
  -1
)</f>
        <v>5.66</v>
      </c>
      <c r="G1809">
        <v>55752</v>
      </c>
    </row>
    <row r="1810" spans="1:7">
      <c r="A1810" s="1">
        <v>44993</v>
      </c>
      <c r="B1810">
        <v>54955</v>
      </c>
      <c r="C1810">
        <f>_xlfn.XLOOKUP(A1810, USD!A:A, USD!B:B, "")</f>
        <v>81.95</v>
      </c>
      <c r="D1810">
        <f>_xlfn.XLOOKUP(A1810, Brent!A:A, Brent!B:B, "")</f>
        <v>82.1</v>
      </c>
      <c r="E1810">
        <f>_xlfn.XLOOKUP(
  A1810,
  Repo!A:A,
  Repo!B:B,
  "",
  -1
)</f>
        <v>6.5</v>
      </c>
      <c r="F1810" s="10">
        <f>_xlfn.XLOOKUP(
  A1810,
  CPI!D:D,
  CPI!C:C,
  "",
  -1
)</f>
        <v>5.66</v>
      </c>
      <c r="G1810">
        <v>55077</v>
      </c>
    </row>
    <row r="1811" spans="1:7">
      <c r="A1811" s="1">
        <v>44994</v>
      </c>
      <c r="B1811">
        <v>55272</v>
      </c>
      <c r="C1811">
        <f>_xlfn.XLOOKUP(A1811, USD!A:A, USD!B:B, "")</f>
        <v>82.02</v>
      </c>
      <c r="D1811">
        <f>_xlfn.XLOOKUP(A1811, Brent!A:A, Brent!B:B, "")</f>
        <v>81</v>
      </c>
      <c r="E1811">
        <f>_xlfn.XLOOKUP(
  A1811,
  Repo!A:A,
  Repo!B:B,
  "",
  -1
)</f>
        <v>6.5</v>
      </c>
      <c r="F1811" s="10">
        <f>_xlfn.XLOOKUP(
  A1811,
  CPI!D:D,
  CPI!C:C,
  "",
  -1
)</f>
        <v>5.66</v>
      </c>
      <c r="G1811">
        <v>54955</v>
      </c>
    </row>
    <row r="1812" spans="1:7">
      <c r="A1812" s="1">
        <v>44995</v>
      </c>
      <c r="B1812">
        <v>56101</v>
      </c>
      <c r="C1812">
        <f>_xlfn.XLOOKUP(A1812, USD!A:A, USD!B:B, "")</f>
        <v>81.96</v>
      </c>
      <c r="D1812">
        <f>_xlfn.XLOOKUP(A1812, Brent!A:A, Brent!B:B, "")</f>
        <v>82.3</v>
      </c>
      <c r="E1812">
        <f>_xlfn.XLOOKUP(
  A1812,
  Repo!A:A,
  Repo!B:B,
  "",
  -1
)</f>
        <v>6.5</v>
      </c>
      <c r="F1812" s="10">
        <f>_xlfn.XLOOKUP(
  A1812,
  CPI!D:D,
  CPI!C:C,
  "",
  -1
)</f>
        <v>5.66</v>
      </c>
      <c r="G1812">
        <v>55272</v>
      </c>
    </row>
    <row r="1813" spans="1:7">
      <c r="A1813" s="1">
        <v>44998</v>
      </c>
      <c r="B1813">
        <v>57539</v>
      </c>
      <c r="C1813">
        <f>_xlfn.XLOOKUP(A1813, USD!A:A, USD!B:B, "")</f>
        <v>82.234999999999999</v>
      </c>
      <c r="D1813">
        <f>_xlfn.XLOOKUP(A1813, Brent!A:A, Brent!B:B, "")</f>
        <v>79.67</v>
      </c>
      <c r="E1813">
        <f>_xlfn.XLOOKUP(
  A1813,
  Repo!A:A,
  Repo!B:B,
  "",
  -1
)</f>
        <v>6.5</v>
      </c>
      <c r="F1813" s="10">
        <f>_xlfn.XLOOKUP(
  A1813,
  CPI!D:D,
  CPI!C:C,
  "",
  -1
)</f>
        <v>5.66</v>
      </c>
      <c r="G1813">
        <v>56101</v>
      </c>
    </row>
    <row r="1814" spans="1:7">
      <c r="A1814" s="1">
        <v>44999</v>
      </c>
      <c r="B1814">
        <v>57417</v>
      </c>
      <c r="C1814">
        <f>_xlfn.XLOOKUP(A1814, USD!A:A, USD!B:B, "")</f>
        <v>82.245000000000005</v>
      </c>
      <c r="D1814">
        <f>_xlfn.XLOOKUP(A1814, Brent!A:A, Brent!B:B, "")</f>
        <v>76.77</v>
      </c>
      <c r="E1814">
        <f>_xlfn.XLOOKUP(
  A1814,
  Repo!A:A,
  Repo!B:B,
  "",
  -1
)</f>
        <v>6.5</v>
      </c>
      <c r="F1814" s="10">
        <f>_xlfn.XLOOKUP(
  A1814,
  CPI!D:D,
  CPI!C:C,
  "",
  -1
)</f>
        <v>5.66</v>
      </c>
      <c r="G1814">
        <v>57539</v>
      </c>
    </row>
    <row r="1815" spans="1:7">
      <c r="A1815" s="1">
        <v>45000</v>
      </c>
      <c r="B1815">
        <v>58263</v>
      </c>
      <c r="C1815">
        <f>_xlfn.XLOOKUP(A1815, USD!A:A, USD!B:B, "")</f>
        <v>82.88</v>
      </c>
      <c r="D1815">
        <f>_xlfn.XLOOKUP(A1815, Brent!A:A, Brent!B:B, "")</f>
        <v>74.3</v>
      </c>
      <c r="E1815">
        <f>_xlfn.XLOOKUP(
  A1815,
  Repo!A:A,
  Repo!B:B,
  "",
  -1
)</f>
        <v>6.5</v>
      </c>
      <c r="F1815" s="10">
        <f>_xlfn.XLOOKUP(
  A1815,
  CPI!D:D,
  CPI!C:C,
  "",
  -1
)</f>
        <v>5.66</v>
      </c>
      <c r="G1815">
        <v>57417</v>
      </c>
    </row>
    <row r="1816" spans="1:7">
      <c r="A1816" s="1">
        <v>45001</v>
      </c>
      <c r="B1816">
        <v>57942</v>
      </c>
      <c r="C1816">
        <f>_xlfn.XLOOKUP(A1816, USD!A:A, USD!B:B, "")</f>
        <v>82.62</v>
      </c>
      <c r="D1816">
        <f>_xlfn.XLOOKUP(A1816, Brent!A:A, Brent!B:B, "")</f>
        <v>73.12</v>
      </c>
      <c r="E1816">
        <f>_xlfn.XLOOKUP(
  A1816,
  Repo!A:A,
  Repo!B:B,
  "",
  -1
)</f>
        <v>6.5</v>
      </c>
      <c r="F1816" s="10">
        <f>_xlfn.XLOOKUP(
  A1816,
  CPI!D:D,
  CPI!C:C,
  "",
  -1
)</f>
        <v>5.66</v>
      </c>
      <c r="G1816">
        <v>58263</v>
      </c>
    </row>
    <row r="1817" spans="1:7">
      <c r="A1817" s="1">
        <v>45002</v>
      </c>
      <c r="B1817">
        <v>59231</v>
      </c>
      <c r="C1817">
        <f>_xlfn.XLOOKUP(A1817, USD!A:A, USD!B:B, "")</f>
        <v>82.52</v>
      </c>
      <c r="D1817">
        <f>_xlfn.XLOOKUP(A1817, Brent!A:A, Brent!B:B, "")</f>
        <v>71.03</v>
      </c>
      <c r="E1817">
        <f>_xlfn.XLOOKUP(
  A1817,
  Repo!A:A,
  Repo!B:B,
  "",
  -1
)</f>
        <v>6.5</v>
      </c>
      <c r="F1817" s="10">
        <f>_xlfn.XLOOKUP(
  A1817,
  CPI!D:D,
  CPI!C:C,
  "",
  -1
)</f>
        <v>5.66</v>
      </c>
      <c r="G1817">
        <v>57942</v>
      </c>
    </row>
    <row r="1818" spans="1:7">
      <c r="A1818" s="1">
        <v>45005</v>
      </c>
      <c r="B1818">
        <v>59424</v>
      </c>
      <c r="C1818">
        <f>_xlfn.XLOOKUP(A1818, USD!A:A, USD!B:B, "")</f>
        <v>82.51</v>
      </c>
      <c r="D1818">
        <f>_xlfn.XLOOKUP(A1818, Brent!A:A, Brent!B:B, "")</f>
        <v>72.42</v>
      </c>
      <c r="E1818">
        <f>_xlfn.XLOOKUP(
  A1818,
  Repo!A:A,
  Repo!B:B,
  "",
  -1
)</f>
        <v>6.5</v>
      </c>
      <c r="F1818" s="10">
        <f>_xlfn.XLOOKUP(
  A1818,
  CPI!D:D,
  CPI!C:C,
  "",
  -1
)</f>
        <v>5.66</v>
      </c>
      <c r="G1818">
        <v>59231</v>
      </c>
    </row>
    <row r="1819" spans="1:7">
      <c r="A1819" s="1">
        <v>45006</v>
      </c>
      <c r="B1819">
        <v>58520</v>
      </c>
      <c r="C1819">
        <f>_xlfn.XLOOKUP(A1819, USD!A:A, USD!B:B, "")</f>
        <v>82.677000000000007</v>
      </c>
      <c r="D1819">
        <f>_xlfn.XLOOKUP(A1819, Brent!A:A, Brent!B:B, "")</f>
        <v>74.78</v>
      </c>
      <c r="E1819">
        <f>_xlfn.XLOOKUP(
  A1819,
  Repo!A:A,
  Repo!B:B,
  "",
  -1
)</f>
        <v>6.5</v>
      </c>
      <c r="F1819" s="10">
        <f>_xlfn.XLOOKUP(
  A1819,
  CPI!D:D,
  CPI!C:C,
  "",
  -1
)</f>
        <v>5.66</v>
      </c>
      <c r="G1819">
        <v>59424</v>
      </c>
    </row>
    <row r="1820" spans="1:7">
      <c r="A1820" s="1">
        <v>45007</v>
      </c>
      <c r="B1820">
        <v>58684</v>
      </c>
      <c r="C1820">
        <f>_xlfn.XLOOKUP(A1820, USD!A:A, USD!B:B, "")</f>
        <v>82.504999999999995</v>
      </c>
      <c r="D1820">
        <f>_xlfn.XLOOKUP(A1820, Brent!A:A, Brent!B:B, "")</f>
        <v>76.08</v>
      </c>
      <c r="E1820">
        <f>_xlfn.XLOOKUP(
  A1820,
  Repo!A:A,
  Repo!B:B,
  "",
  -1
)</f>
        <v>6.5</v>
      </c>
      <c r="F1820" s="10">
        <f>_xlfn.XLOOKUP(
  A1820,
  CPI!D:D,
  CPI!C:C,
  "",
  -1
)</f>
        <v>5.66</v>
      </c>
      <c r="G1820">
        <v>58520</v>
      </c>
    </row>
    <row r="1821" spans="1:7">
      <c r="A1821" s="1">
        <v>45008</v>
      </c>
      <c r="B1821">
        <v>59436</v>
      </c>
      <c r="C1821">
        <f>_xlfn.XLOOKUP(A1821, USD!A:A, USD!B:B, "")</f>
        <v>82.236000000000004</v>
      </c>
      <c r="D1821">
        <f>_xlfn.XLOOKUP(A1821, Brent!A:A, Brent!B:B, "")</f>
        <v>74.31</v>
      </c>
      <c r="E1821">
        <f>_xlfn.XLOOKUP(
  A1821,
  Repo!A:A,
  Repo!B:B,
  "",
  -1
)</f>
        <v>6.5</v>
      </c>
      <c r="F1821" s="10">
        <f>_xlfn.XLOOKUP(
  A1821,
  CPI!D:D,
  CPI!C:C,
  "",
  -1
)</f>
        <v>5.66</v>
      </c>
      <c r="G1821">
        <v>58684</v>
      </c>
    </row>
    <row r="1822" spans="1:7">
      <c r="A1822" s="1">
        <v>45009</v>
      </c>
      <c r="B1822">
        <v>59226</v>
      </c>
      <c r="C1822">
        <f>_xlfn.XLOOKUP(A1822, USD!A:A, USD!B:B, "")</f>
        <v>82.334000000000003</v>
      </c>
      <c r="D1822">
        <f>_xlfn.XLOOKUP(A1822, Brent!A:A, Brent!B:B, "")</f>
        <v>73.63</v>
      </c>
      <c r="E1822">
        <f>_xlfn.XLOOKUP(
  A1822,
  Repo!A:A,
  Repo!B:B,
  "",
  -1
)</f>
        <v>6.5</v>
      </c>
      <c r="F1822" s="10">
        <f>_xlfn.XLOOKUP(
  A1822,
  CPI!D:D,
  CPI!C:C,
  "",
  -1
)</f>
        <v>5.66</v>
      </c>
      <c r="G1822">
        <v>59436</v>
      </c>
    </row>
    <row r="1823" spans="1:7">
      <c r="A1823" s="1">
        <v>45012</v>
      </c>
      <c r="B1823">
        <v>58496</v>
      </c>
      <c r="C1823">
        <f>_xlfn.XLOOKUP(A1823, USD!A:A, USD!B:B, "")</f>
        <v>82.18</v>
      </c>
      <c r="D1823">
        <f>_xlfn.XLOOKUP(A1823, Brent!A:A, Brent!B:B, "")</f>
        <v>76.8</v>
      </c>
      <c r="E1823">
        <f>_xlfn.XLOOKUP(
  A1823,
  Repo!A:A,
  Repo!B:B,
  "",
  -1
)</f>
        <v>6.5</v>
      </c>
      <c r="F1823" s="10">
        <f>_xlfn.XLOOKUP(
  A1823,
  CPI!D:D,
  CPI!C:C,
  "",
  -1
)</f>
        <v>5.66</v>
      </c>
      <c r="G1823">
        <v>59226</v>
      </c>
    </row>
    <row r="1824" spans="1:7">
      <c r="A1824" s="1">
        <v>45013</v>
      </c>
      <c r="B1824">
        <v>58986</v>
      </c>
      <c r="C1824">
        <f>_xlfn.XLOOKUP(A1824, USD!A:A, USD!B:B, "")</f>
        <v>82.171999999999997</v>
      </c>
      <c r="D1824">
        <f>_xlfn.XLOOKUP(A1824, Brent!A:A, Brent!B:B, "")</f>
        <v>78.069999999999993</v>
      </c>
      <c r="E1824">
        <f>_xlfn.XLOOKUP(
  A1824,
  Repo!A:A,
  Repo!B:B,
  "",
  -1
)</f>
        <v>6.5</v>
      </c>
      <c r="F1824" s="10">
        <f>_xlfn.XLOOKUP(
  A1824,
  CPI!D:D,
  CPI!C:C,
  "",
  -1
)</f>
        <v>5.66</v>
      </c>
      <c r="G1824">
        <v>58496</v>
      </c>
    </row>
    <row r="1825" spans="1:7">
      <c r="A1825" s="1">
        <v>45014</v>
      </c>
      <c r="B1825">
        <v>58997</v>
      </c>
      <c r="C1825">
        <f>_xlfn.XLOOKUP(A1825, USD!A:A, USD!B:B, "")</f>
        <v>82.177999999999997</v>
      </c>
      <c r="D1825">
        <f>_xlfn.XLOOKUP(A1825, Brent!A:A, Brent!B:B, "")</f>
        <v>77.510000000000005</v>
      </c>
      <c r="E1825">
        <f>_xlfn.XLOOKUP(
  A1825,
  Repo!A:A,
  Repo!B:B,
  "",
  -1
)</f>
        <v>6.5</v>
      </c>
      <c r="F1825" s="10">
        <f>_xlfn.XLOOKUP(
  A1825,
  CPI!D:D,
  CPI!C:C,
  "",
  -1
)</f>
        <v>5.66</v>
      </c>
      <c r="G1825">
        <v>58986</v>
      </c>
    </row>
    <row r="1826" spans="1:7">
      <c r="A1826" s="1">
        <v>45015</v>
      </c>
      <c r="B1826">
        <v>59389</v>
      </c>
      <c r="C1826">
        <f>_xlfn.XLOOKUP(A1826, USD!A:A, USD!B:B, "")</f>
        <v>82.08</v>
      </c>
      <c r="D1826">
        <f>_xlfn.XLOOKUP(A1826, Brent!A:A, Brent!B:B, "")</f>
        <v>78.45</v>
      </c>
      <c r="E1826">
        <f>_xlfn.XLOOKUP(
  A1826,
  Repo!A:A,
  Repo!B:B,
  "",
  -1
)</f>
        <v>6.5</v>
      </c>
      <c r="F1826" s="10">
        <f>_xlfn.XLOOKUP(
  A1826,
  CPI!D:D,
  CPI!C:C,
  "",
  -1
)</f>
        <v>5.66</v>
      </c>
      <c r="G1826">
        <v>58997</v>
      </c>
    </row>
    <row r="1827" spans="1:7">
      <c r="A1827" s="1">
        <v>45016</v>
      </c>
      <c r="B1827">
        <v>59314</v>
      </c>
      <c r="C1827">
        <f>_xlfn.XLOOKUP(A1827, USD!A:A, USD!B:B, "")</f>
        <v>82.16</v>
      </c>
      <c r="D1827">
        <f>_xlfn.XLOOKUP(A1827, Brent!A:A, Brent!B:B, "")</f>
        <v>79.19</v>
      </c>
      <c r="E1827">
        <f>_xlfn.XLOOKUP(
  A1827,
  Repo!A:A,
  Repo!B:B,
  "",
  -1
)</f>
        <v>6.5</v>
      </c>
      <c r="F1827" s="10">
        <f>_xlfn.XLOOKUP(
  A1827,
  CPI!D:D,
  CPI!C:C,
  "",
  -1
)</f>
        <v>5.66</v>
      </c>
      <c r="G1827">
        <v>59389</v>
      </c>
    </row>
    <row r="1828" spans="1:7">
      <c r="A1828" s="1">
        <v>45019</v>
      </c>
      <c r="B1828">
        <v>59600</v>
      </c>
      <c r="C1828">
        <f>_xlfn.XLOOKUP(A1828, USD!A:A, USD!B:B, "")</f>
        <v>82.19</v>
      </c>
      <c r="D1828">
        <f>_xlfn.XLOOKUP(A1828, Brent!A:A, Brent!B:B, "")</f>
        <v>85.81</v>
      </c>
      <c r="E1828">
        <f>_xlfn.XLOOKUP(
  A1828,
  Repo!A:A,
  Repo!B:B,
  "",
  -1
)</f>
        <v>6.5</v>
      </c>
      <c r="F1828" s="10">
        <f>_xlfn.XLOOKUP(
  A1828,
  CPI!D:D,
  CPI!C:C,
  "",
  -1
)</f>
        <v>4.7</v>
      </c>
      <c r="G1828">
        <v>59314</v>
      </c>
    </row>
    <row r="1829" spans="1:7">
      <c r="A1829" s="1">
        <v>45020</v>
      </c>
      <c r="B1829">
        <v>60435</v>
      </c>
      <c r="C1829">
        <f>_xlfn.XLOOKUP(A1829, USD!A:A, USD!B:B, "")</f>
        <v>82.09</v>
      </c>
      <c r="D1829">
        <f>_xlfn.XLOOKUP(A1829, Brent!A:A, Brent!B:B, "")</f>
        <v>85.7</v>
      </c>
      <c r="E1829">
        <f>_xlfn.XLOOKUP(
  A1829,
  Repo!A:A,
  Repo!B:B,
  "",
  -1
)</f>
        <v>6.5</v>
      </c>
      <c r="F1829" s="10">
        <f>_xlfn.XLOOKUP(
  A1829,
  CPI!D:D,
  CPI!C:C,
  "",
  -1
)</f>
        <v>4.7</v>
      </c>
      <c r="G1829">
        <v>59600</v>
      </c>
    </row>
    <row r="1830" spans="1:7">
      <c r="A1830" s="1">
        <v>45021</v>
      </c>
      <c r="B1830">
        <v>60366</v>
      </c>
      <c r="C1830">
        <f>_xlfn.XLOOKUP(A1830, USD!A:A, USD!B:B, "")</f>
        <v>81.92</v>
      </c>
      <c r="D1830">
        <f>_xlfn.XLOOKUP(A1830, Brent!A:A, Brent!B:B, "")</f>
        <v>85.89</v>
      </c>
      <c r="E1830">
        <f>_xlfn.XLOOKUP(
  A1830,
  Repo!A:A,
  Repo!B:B,
  "",
  -1
)</f>
        <v>6.5</v>
      </c>
      <c r="F1830" s="10">
        <f>_xlfn.XLOOKUP(
  A1830,
  CPI!D:D,
  CPI!C:C,
  "",
  -1
)</f>
        <v>4.7</v>
      </c>
      <c r="G1830">
        <v>60435</v>
      </c>
    </row>
    <row r="1831" spans="1:7">
      <c r="A1831" s="1">
        <v>45022</v>
      </c>
      <c r="B1831">
        <v>60276</v>
      </c>
      <c r="C1831">
        <f>_xlfn.XLOOKUP(A1831, USD!A:A, USD!B:B, "")</f>
        <v>81.819999999999993</v>
      </c>
      <c r="D1831">
        <f>_xlfn.XLOOKUP(A1831, Brent!A:A, Brent!B:B, "")</f>
        <v>86.56</v>
      </c>
      <c r="E1831">
        <f>_xlfn.XLOOKUP(
  A1831,
  Repo!A:A,
  Repo!B:B,
  "",
  -1
)</f>
        <v>6.5</v>
      </c>
      <c r="F1831" s="10">
        <f>_xlfn.XLOOKUP(
  A1831,
  CPI!D:D,
  CPI!C:C,
  "",
  -1
)</f>
        <v>4.7</v>
      </c>
      <c r="G1831">
        <v>60366</v>
      </c>
    </row>
    <row r="1832" spans="1:7">
      <c r="A1832" s="1">
        <v>45027</v>
      </c>
      <c r="B1832">
        <v>60281</v>
      </c>
      <c r="C1832">
        <f>_xlfn.XLOOKUP(A1832, USD!A:A, USD!B:B, "")</f>
        <v>82.04</v>
      </c>
      <c r="D1832">
        <f>_xlfn.XLOOKUP(A1832, Brent!A:A, Brent!B:B, "")</f>
        <v>87.32</v>
      </c>
      <c r="E1832">
        <f>_xlfn.XLOOKUP(
  A1832,
  Repo!A:A,
  Repo!B:B,
  "",
  -1
)</f>
        <v>6.5</v>
      </c>
      <c r="F1832" s="10">
        <f>_xlfn.XLOOKUP(
  A1832,
  CPI!D:D,
  CPI!C:C,
  "",
  -1
)</f>
        <v>4.7</v>
      </c>
      <c r="G1832">
        <v>60276</v>
      </c>
    </row>
    <row r="1833" spans="1:7">
      <c r="A1833" s="1">
        <v>45028</v>
      </c>
      <c r="B1833">
        <v>60404</v>
      </c>
      <c r="C1833">
        <f>_xlfn.XLOOKUP(A1833, USD!A:A, USD!B:B, "")</f>
        <v>81.93</v>
      </c>
      <c r="D1833">
        <f>_xlfn.XLOOKUP(A1833, Brent!A:A, Brent!B:B, "")</f>
        <v>88.31</v>
      </c>
      <c r="E1833">
        <f>_xlfn.XLOOKUP(
  A1833,
  Repo!A:A,
  Repo!B:B,
  "",
  -1
)</f>
        <v>6.5</v>
      </c>
      <c r="F1833" s="10">
        <f>_xlfn.XLOOKUP(
  A1833,
  CPI!D:D,
  CPI!C:C,
  "",
  -1
)</f>
        <v>4.7</v>
      </c>
      <c r="G1833">
        <v>60281</v>
      </c>
    </row>
    <row r="1834" spans="1:7">
      <c r="A1834" s="1">
        <v>45029</v>
      </c>
      <c r="B1834">
        <v>60987</v>
      </c>
      <c r="C1834">
        <f>_xlfn.XLOOKUP(A1834, USD!A:A, USD!B:B, "")</f>
        <v>81.650000000000006</v>
      </c>
      <c r="D1834">
        <f>_xlfn.XLOOKUP(A1834, Brent!A:A, Brent!B:B, "")</f>
        <v>86.51</v>
      </c>
      <c r="E1834">
        <f>_xlfn.XLOOKUP(
  A1834,
  Repo!A:A,
  Repo!B:B,
  "",
  -1
)</f>
        <v>6.5</v>
      </c>
      <c r="F1834" s="10">
        <f>_xlfn.XLOOKUP(
  A1834,
  CPI!D:D,
  CPI!C:C,
  "",
  -1
)</f>
        <v>4.7</v>
      </c>
      <c r="G1834">
        <v>60404</v>
      </c>
    </row>
    <row r="1835" spans="1:7">
      <c r="A1835" s="1">
        <v>45030</v>
      </c>
      <c r="B1835">
        <v>60145</v>
      </c>
      <c r="C1835">
        <f>_xlfn.XLOOKUP(A1835, USD!A:A, USD!B:B, "")</f>
        <v>81.819999999999993</v>
      </c>
      <c r="D1835">
        <f>_xlfn.XLOOKUP(A1835, Brent!A:A, Brent!B:B, "")</f>
        <v>87.31</v>
      </c>
      <c r="E1835">
        <f>_xlfn.XLOOKUP(
  A1835,
  Repo!A:A,
  Repo!B:B,
  "",
  -1
)</f>
        <v>6.5</v>
      </c>
      <c r="F1835" s="10">
        <f>_xlfn.XLOOKUP(
  A1835,
  CPI!D:D,
  CPI!C:C,
  "",
  -1
)</f>
        <v>4.7</v>
      </c>
      <c r="G1835">
        <v>60987</v>
      </c>
    </row>
    <row r="1836" spans="1:7">
      <c r="A1836" s="1">
        <v>45033</v>
      </c>
      <c r="B1836">
        <v>60051</v>
      </c>
      <c r="C1836">
        <f>_xlfn.XLOOKUP(A1836, USD!A:A, USD!B:B, "")</f>
        <v>81.98</v>
      </c>
      <c r="D1836">
        <f>_xlfn.XLOOKUP(A1836, Brent!A:A, Brent!B:B, "")</f>
        <v>85.63</v>
      </c>
      <c r="E1836">
        <f>_xlfn.XLOOKUP(
  A1836,
  Repo!A:A,
  Repo!B:B,
  "",
  -1
)</f>
        <v>6.5</v>
      </c>
      <c r="F1836" s="10">
        <f>_xlfn.XLOOKUP(
  A1836,
  CPI!D:D,
  CPI!C:C,
  "",
  -1
)</f>
        <v>4.7</v>
      </c>
      <c r="G1836">
        <v>60145</v>
      </c>
    </row>
    <row r="1837" spans="1:7">
      <c r="A1837" s="1">
        <v>45034</v>
      </c>
      <c r="B1837">
        <v>60331</v>
      </c>
      <c r="C1837">
        <f>_xlfn.XLOOKUP(A1837, USD!A:A, USD!B:B, "")</f>
        <v>82.08</v>
      </c>
      <c r="D1837">
        <f>_xlfn.XLOOKUP(A1837, Brent!A:A, Brent!B:B, "")</f>
        <v>85.48</v>
      </c>
      <c r="E1837">
        <f>_xlfn.XLOOKUP(
  A1837,
  Repo!A:A,
  Repo!B:B,
  "",
  -1
)</f>
        <v>6.5</v>
      </c>
      <c r="F1837" s="10">
        <f>_xlfn.XLOOKUP(
  A1837,
  CPI!D:D,
  CPI!C:C,
  "",
  -1
)</f>
        <v>4.7</v>
      </c>
      <c r="G1837">
        <v>60051</v>
      </c>
    </row>
    <row r="1838" spans="1:7">
      <c r="A1838" s="1">
        <v>45035</v>
      </c>
      <c r="B1838">
        <v>60172</v>
      </c>
      <c r="C1838">
        <f>_xlfn.XLOOKUP(A1838, USD!A:A, USD!B:B, "")</f>
        <v>82.265000000000001</v>
      </c>
      <c r="D1838">
        <f>_xlfn.XLOOKUP(A1838, Brent!A:A, Brent!B:B, "")</f>
        <v>85.34</v>
      </c>
      <c r="E1838">
        <f>_xlfn.XLOOKUP(
  A1838,
  Repo!A:A,
  Repo!B:B,
  "",
  -1
)</f>
        <v>6.5</v>
      </c>
      <c r="F1838" s="10">
        <f>_xlfn.XLOOKUP(
  A1838,
  CPI!D:D,
  CPI!C:C,
  "",
  -1
)</f>
        <v>4.7</v>
      </c>
      <c r="G1838">
        <v>60331</v>
      </c>
    </row>
    <row r="1839" spans="1:7">
      <c r="A1839" s="1">
        <v>45036</v>
      </c>
      <c r="B1839">
        <v>60389</v>
      </c>
      <c r="C1839">
        <f>_xlfn.XLOOKUP(A1839, USD!A:A, USD!B:B, "")</f>
        <v>82.12</v>
      </c>
      <c r="D1839">
        <f>_xlfn.XLOOKUP(A1839, Brent!A:A, Brent!B:B, "")</f>
        <v>83.29</v>
      </c>
      <c r="E1839">
        <f>_xlfn.XLOOKUP(
  A1839,
  Repo!A:A,
  Repo!B:B,
  "",
  -1
)</f>
        <v>6.5</v>
      </c>
      <c r="F1839" s="10">
        <f>_xlfn.XLOOKUP(
  A1839,
  CPI!D:D,
  CPI!C:C,
  "",
  -1
)</f>
        <v>4.7</v>
      </c>
      <c r="G1839">
        <v>60172</v>
      </c>
    </row>
    <row r="1840" spans="1:7">
      <c r="A1840" s="1">
        <v>45037</v>
      </c>
      <c r="B1840">
        <v>59810</v>
      </c>
      <c r="C1840">
        <f>_xlfn.XLOOKUP(A1840, USD!A:A, USD!B:B, "")</f>
        <v>82.03</v>
      </c>
      <c r="D1840">
        <f>_xlfn.XLOOKUP(A1840, Brent!A:A, Brent!B:B, "")</f>
        <v>83.36</v>
      </c>
      <c r="E1840">
        <f>_xlfn.XLOOKUP(
  A1840,
  Repo!A:A,
  Repo!B:B,
  "",
  -1
)</f>
        <v>6.5</v>
      </c>
      <c r="F1840" s="10">
        <f>_xlfn.XLOOKUP(
  A1840,
  CPI!D:D,
  CPI!C:C,
  "",
  -1
)</f>
        <v>4.7</v>
      </c>
      <c r="G1840">
        <v>60389</v>
      </c>
    </row>
    <row r="1841" spans="1:7">
      <c r="A1841" s="1">
        <v>45040</v>
      </c>
      <c r="B1841">
        <v>59928</v>
      </c>
      <c r="C1841">
        <f>_xlfn.XLOOKUP(A1841, USD!A:A, USD!B:B, "")</f>
        <v>81.95</v>
      </c>
      <c r="D1841">
        <f>_xlfn.XLOOKUP(A1841, Brent!A:A, Brent!B:B, "")</f>
        <v>84.23</v>
      </c>
      <c r="E1841">
        <f>_xlfn.XLOOKUP(
  A1841,
  Repo!A:A,
  Repo!B:B,
  "",
  -1
)</f>
        <v>6.5</v>
      </c>
      <c r="F1841" s="10">
        <f>_xlfn.XLOOKUP(
  A1841,
  CPI!D:D,
  CPI!C:C,
  "",
  -1
)</f>
        <v>4.7</v>
      </c>
      <c r="G1841">
        <v>59810</v>
      </c>
    </row>
    <row r="1842" spans="1:7">
      <c r="A1842" s="1">
        <v>45041</v>
      </c>
      <c r="B1842">
        <v>60123</v>
      </c>
      <c r="C1842">
        <f>_xlfn.XLOOKUP(A1842, USD!A:A, USD!B:B, "")</f>
        <v>81.965000000000003</v>
      </c>
      <c r="D1842">
        <f>_xlfn.XLOOKUP(A1842, Brent!A:A, Brent!B:B, "")</f>
        <v>82.13</v>
      </c>
      <c r="E1842">
        <f>_xlfn.XLOOKUP(
  A1842,
  Repo!A:A,
  Repo!B:B,
  "",
  -1
)</f>
        <v>6.5</v>
      </c>
      <c r="F1842" s="10">
        <f>_xlfn.XLOOKUP(
  A1842,
  CPI!D:D,
  CPI!C:C,
  "",
  -1
)</f>
        <v>4.7</v>
      </c>
      <c r="G1842">
        <v>59928</v>
      </c>
    </row>
    <row r="1843" spans="1:7">
      <c r="A1843" s="1">
        <v>45042</v>
      </c>
      <c r="B1843">
        <v>59849</v>
      </c>
      <c r="C1843">
        <f>_xlfn.XLOOKUP(A1843, USD!A:A, USD!B:B, "")</f>
        <v>81.739999999999995</v>
      </c>
      <c r="D1843">
        <f>_xlfn.XLOOKUP(A1843, Brent!A:A, Brent!B:B, "")</f>
        <v>79.19</v>
      </c>
      <c r="E1843">
        <f>_xlfn.XLOOKUP(
  A1843,
  Repo!A:A,
  Repo!B:B,
  "",
  -1
)</f>
        <v>6.5</v>
      </c>
      <c r="F1843" s="10">
        <f>_xlfn.XLOOKUP(
  A1843,
  CPI!D:D,
  CPI!C:C,
  "",
  -1
)</f>
        <v>4.7</v>
      </c>
      <c r="G1843">
        <v>60123</v>
      </c>
    </row>
    <row r="1844" spans="1:7">
      <c r="A1844" s="1">
        <v>45043</v>
      </c>
      <c r="B1844">
        <v>59913</v>
      </c>
      <c r="C1844">
        <f>_xlfn.XLOOKUP(A1844, USD!A:A, USD!B:B, "")</f>
        <v>81.694999999999993</v>
      </c>
      <c r="D1844">
        <f>_xlfn.XLOOKUP(A1844, Brent!A:A, Brent!B:B, "")</f>
        <v>80.11</v>
      </c>
      <c r="E1844">
        <f>_xlfn.XLOOKUP(
  A1844,
  Repo!A:A,
  Repo!B:B,
  "",
  -1
)</f>
        <v>6.5</v>
      </c>
      <c r="F1844" s="10">
        <f>_xlfn.XLOOKUP(
  A1844,
  CPI!D:D,
  CPI!C:C,
  "",
  -1
)</f>
        <v>4.7</v>
      </c>
      <c r="G1844">
        <v>59849</v>
      </c>
    </row>
    <row r="1845" spans="1:7">
      <c r="A1845" s="1">
        <v>45044</v>
      </c>
      <c r="B1845">
        <v>60057</v>
      </c>
      <c r="C1845">
        <f>_xlfn.XLOOKUP(A1845, USD!A:A, USD!B:B, "")</f>
        <v>81.72</v>
      </c>
      <c r="D1845">
        <f>_xlfn.XLOOKUP(A1845, Brent!A:A, Brent!B:B, "")</f>
        <v>81.319999999999993</v>
      </c>
      <c r="E1845">
        <f>_xlfn.XLOOKUP(
  A1845,
  Repo!A:A,
  Repo!B:B,
  "",
  -1
)</f>
        <v>6.5</v>
      </c>
      <c r="F1845" s="10">
        <f>_xlfn.XLOOKUP(
  A1845,
  CPI!D:D,
  CPI!C:C,
  "",
  -1
)</f>
        <v>4.7</v>
      </c>
      <c r="G1845">
        <v>59913</v>
      </c>
    </row>
    <row r="1846" spans="1:7">
      <c r="A1846" s="1">
        <v>45048</v>
      </c>
      <c r="B1846">
        <v>60787</v>
      </c>
      <c r="C1846">
        <f>_xlfn.XLOOKUP(A1846, USD!A:A, USD!B:B, "")</f>
        <v>81.75</v>
      </c>
      <c r="D1846">
        <f>_xlfn.XLOOKUP(A1846, Brent!A:A, Brent!B:B, "")</f>
        <v>76.709999999999994</v>
      </c>
      <c r="E1846">
        <f>_xlfn.XLOOKUP(
  A1846,
  Repo!A:A,
  Repo!B:B,
  "",
  -1
)</f>
        <v>6.5</v>
      </c>
      <c r="F1846" s="10">
        <f>_xlfn.XLOOKUP(
  A1846,
  CPI!D:D,
  CPI!C:C,
  "",
  -1
)</f>
        <v>4.3099999999999996</v>
      </c>
      <c r="G1846">
        <v>60057</v>
      </c>
    </row>
    <row r="1847" spans="1:7">
      <c r="A1847" s="1">
        <v>45049</v>
      </c>
      <c r="B1847">
        <v>61073</v>
      </c>
      <c r="C1847">
        <f>_xlfn.XLOOKUP(A1847, USD!A:A, USD!B:B, "")</f>
        <v>81.754999999999995</v>
      </c>
      <c r="D1847">
        <f>_xlfn.XLOOKUP(A1847, Brent!A:A, Brent!B:B, "")</f>
        <v>72.91</v>
      </c>
      <c r="E1847">
        <f>_xlfn.XLOOKUP(
  A1847,
  Repo!A:A,
  Repo!B:B,
  "",
  -1
)</f>
        <v>6.5</v>
      </c>
      <c r="F1847" s="10">
        <f>_xlfn.XLOOKUP(
  A1847,
  CPI!D:D,
  CPI!C:C,
  "",
  -1
)</f>
        <v>4.3099999999999996</v>
      </c>
      <c r="G1847">
        <v>60787</v>
      </c>
    </row>
    <row r="1848" spans="1:7">
      <c r="A1848" s="1">
        <v>45050</v>
      </c>
      <c r="B1848">
        <v>61683</v>
      </c>
      <c r="C1848">
        <f>_xlfn.XLOOKUP(A1848, USD!A:A, USD!B:B, "")</f>
        <v>81.709999999999994</v>
      </c>
      <c r="D1848">
        <f>_xlfn.XLOOKUP(A1848, Brent!A:A, Brent!B:B, "")</f>
        <v>73</v>
      </c>
      <c r="E1848">
        <f>_xlfn.XLOOKUP(
  A1848,
  Repo!A:A,
  Repo!B:B,
  "",
  -1
)</f>
        <v>6.5</v>
      </c>
      <c r="F1848" s="10">
        <f>_xlfn.XLOOKUP(
  A1848,
  CPI!D:D,
  CPI!C:C,
  "",
  -1
)</f>
        <v>4.3099999999999996</v>
      </c>
      <c r="G1848">
        <v>61073</v>
      </c>
    </row>
    <row r="1849" spans="1:7">
      <c r="A1849" s="1">
        <v>45051</v>
      </c>
      <c r="B1849">
        <v>60799</v>
      </c>
      <c r="C1849">
        <f>_xlfn.XLOOKUP(A1849, USD!A:A, USD!B:B, "")</f>
        <v>81.7</v>
      </c>
      <c r="D1849">
        <f>_xlfn.XLOOKUP(A1849, Brent!A:A, Brent!B:B, "")</f>
        <v>75.849999999999994</v>
      </c>
      <c r="E1849">
        <f>_xlfn.XLOOKUP(
  A1849,
  Repo!A:A,
  Repo!B:B,
  "",
  -1
)</f>
        <v>6.5</v>
      </c>
      <c r="F1849" s="10">
        <f>_xlfn.XLOOKUP(
  A1849,
  CPI!D:D,
  CPI!C:C,
  "",
  -1
)</f>
        <v>4.3099999999999996</v>
      </c>
      <c r="G1849">
        <v>61683</v>
      </c>
    </row>
    <row r="1850" spans="1:7">
      <c r="A1850" s="1">
        <v>45055</v>
      </c>
      <c r="B1850">
        <v>61359</v>
      </c>
      <c r="C1850">
        <f>_xlfn.XLOOKUP(A1850, USD!A:A, USD!B:B, "")</f>
        <v>82.1</v>
      </c>
      <c r="D1850">
        <f>_xlfn.XLOOKUP(A1850, Brent!A:A, Brent!B:B, "")</f>
        <v>77.760000000000005</v>
      </c>
      <c r="E1850">
        <f>_xlfn.XLOOKUP(
  A1850,
  Repo!A:A,
  Repo!B:B,
  "",
  -1
)</f>
        <v>6.5</v>
      </c>
      <c r="F1850" s="10">
        <f>_xlfn.XLOOKUP(
  A1850,
  CPI!D:D,
  CPI!C:C,
  "",
  -1
)</f>
        <v>4.3099999999999996</v>
      </c>
      <c r="G1850">
        <v>60799</v>
      </c>
    </row>
    <row r="1851" spans="1:7">
      <c r="A1851" s="1">
        <v>45056</v>
      </c>
      <c r="B1851">
        <v>61207</v>
      </c>
      <c r="C1851">
        <f>_xlfn.XLOOKUP(A1851, USD!A:A, USD!B:B, "")</f>
        <v>81.900000000000006</v>
      </c>
      <c r="D1851">
        <f>_xlfn.XLOOKUP(A1851, Brent!A:A, Brent!B:B, "")</f>
        <v>76.7</v>
      </c>
      <c r="E1851">
        <f>_xlfn.XLOOKUP(
  A1851,
  Repo!A:A,
  Repo!B:B,
  "",
  -1
)</f>
        <v>6.5</v>
      </c>
      <c r="F1851" s="10">
        <f>_xlfn.XLOOKUP(
  A1851,
  CPI!D:D,
  CPI!C:C,
  "",
  -1
)</f>
        <v>4.3099999999999996</v>
      </c>
      <c r="G1851">
        <v>61359</v>
      </c>
    </row>
    <row r="1852" spans="1:7">
      <c r="A1852" s="1">
        <v>45057</v>
      </c>
      <c r="B1852">
        <v>60886</v>
      </c>
      <c r="C1852">
        <f>_xlfn.XLOOKUP(A1852, USD!A:A, USD!B:B, "")</f>
        <v>82.09</v>
      </c>
      <c r="D1852">
        <f>_xlfn.XLOOKUP(A1852, Brent!A:A, Brent!B:B, "")</f>
        <v>75.319999999999993</v>
      </c>
      <c r="E1852">
        <f>_xlfn.XLOOKUP(
  A1852,
  Repo!A:A,
  Repo!B:B,
  "",
  -1
)</f>
        <v>6.5</v>
      </c>
      <c r="F1852" s="10">
        <f>_xlfn.XLOOKUP(
  A1852,
  CPI!D:D,
  CPI!C:C,
  "",
  -1
)</f>
        <v>4.3099999999999996</v>
      </c>
      <c r="G1852">
        <v>61207</v>
      </c>
    </row>
    <row r="1853" spans="1:7">
      <c r="A1853" s="1">
        <v>45058</v>
      </c>
      <c r="B1853">
        <v>60843</v>
      </c>
      <c r="C1853">
        <f>_xlfn.XLOOKUP(A1853, USD!A:A, USD!B:B, "")</f>
        <v>82.173000000000002</v>
      </c>
      <c r="D1853">
        <f>_xlfn.XLOOKUP(A1853, Brent!A:A, Brent!B:B, "")</f>
        <v>74.540000000000006</v>
      </c>
      <c r="E1853">
        <f>_xlfn.XLOOKUP(
  A1853,
  Repo!A:A,
  Repo!B:B,
  "",
  -1
)</f>
        <v>6.5</v>
      </c>
      <c r="F1853" s="10">
        <f>_xlfn.XLOOKUP(
  A1853,
  CPI!D:D,
  CPI!C:C,
  "",
  -1
)</f>
        <v>4.3099999999999996</v>
      </c>
      <c r="G1853">
        <v>60886</v>
      </c>
    </row>
    <row r="1854" spans="1:7">
      <c r="A1854" s="1">
        <v>45061</v>
      </c>
      <c r="B1854">
        <v>60987</v>
      </c>
      <c r="C1854">
        <f>_xlfn.XLOOKUP(A1854, USD!A:A, USD!B:B, "")</f>
        <v>82.236999999999995</v>
      </c>
      <c r="D1854">
        <f>_xlfn.XLOOKUP(A1854, Brent!A:A, Brent!B:B, "")</f>
        <v>75.459999999999994</v>
      </c>
      <c r="E1854">
        <f>_xlfn.XLOOKUP(
  A1854,
  Repo!A:A,
  Repo!B:B,
  "",
  -1
)</f>
        <v>6.5</v>
      </c>
      <c r="F1854" s="10">
        <f>_xlfn.XLOOKUP(
  A1854,
  CPI!D:D,
  CPI!C:C,
  "",
  -1
)</f>
        <v>4.3099999999999996</v>
      </c>
      <c r="G1854">
        <v>60843</v>
      </c>
    </row>
    <row r="1855" spans="1:7">
      <c r="A1855" s="1">
        <v>45062</v>
      </c>
      <c r="B1855">
        <v>60280</v>
      </c>
      <c r="C1855">
        <f>_xlfn.XLOOKUP(A1855, USD!A:A, USD!B:B, "")</f>
        <v>82.263999999999996</v>
      </c>
      <c r="D1855">
        <f>_xlfn.XLOOKUP(A1855, Brent!A:A, Brent!B:B, "")</f>
        <v>75.150000000000006</v>
      </c>
      <c r="E1855">
        <f>_xlfn.XLOOKUP(
  A1855,
  Repo!A:A,
  Repo!B:B,
  "",
  -1
)</f>
        <v>6.5</v>
      </c>
      <c r="F1855" s="10">
        <f>_xlfn.XLOOKUP(
  A1855,
  CPI!D:D,
  CPI!C:C,
  "",
  -1
)</f>
        <v>4.3099999999999996</v>
      </c>
      <c r="G1855">
        <v>60987</v>
      </c>
    </row>
    <row r="1856" spans="1:7">
      <c r="A1856" s="1">
        <v>45063</v>
      </c>
      <c r="B1856">
        <v>60189</v>
      </c>
      <c r="C1856">
        <f>_xlfn.XLOOKUP(A1856, USD!A:A, USD!B:B, "")</f>
        <v>82.4</v>
      </c>
      <c r="D1856">
        <f>_xlfn.XLOOKUP(A1856, Brent!A:A, Brent!B:B, "")</f>
        <v>76.98</v>
      </c>
      <c r="E1856">
        <f>_xlfn.XLOOKUP(
  A1856,
  Repo!A:A,
  Repo!B:B,
  "",
  -1
)</f>
        <v>6.5</v>
      </c>
      <c r="F1856" s="10">
        <f>_xlfn.XLOOKUP(
  A1856,
  CPI!D:D,
  CPI!C:C,
  "",
  -1
)</f>
        <v>4.3099999999999996</v>
      </c>
      <c r="G1856">
        <v>60280</v>
      </c>
    </row>
    <row r="1857" spans="1:7">
      <c r="A1857" s="1">
        <v>45064</v>
      </c>
      <c r="B1857">
        <v>59758</v>
      </c>
      <c r="C1857">
        <f>_xlfn.XLOOKUP(A1857, USD!A:A, USD!B:B, "")</f>
        <v>82.72</v>
      </c>
      <c r="D1857">
        <f>_xlfn.XLOOKUP(A1857, Brent!A:A, Brent!B:B, "")</f>
        <v>75.75</v>
      </c>
      <c r="E1857">
        <f>_xlfn.XLOOKUP(
  A1857,
  Repo!A:A,
  Repo!B:B,
  "",
  -1
)</f>
        <v>6.5</v>
      </c>
      <c r="F1857" s="10">
        <f>_xlfn.XLOOKUP(
  A1857,
  CPI!D:D,
  CPI!C:C,
  "",
  -1
)</f>
        <v>4.3099999999999996</v>
      </c>
      <c r="G1857">
        <v>60189</v>
      </c>
    </row>
    <row r="1858" spans="1:7">
      <c r="A1858" s="1">
        <v>45065</v>
      </c>
      <c r="B1858">
        <v>60389</v>
      </c>
      <c r="C1858">
        <f>_xlfn.XLOOKUP(A1858, USD!A:A, USD!B:B, "")</f>
        <v>82.878</v>
      </c>
      <c r="D1858">
        <f>_xlfn.XLOOKUP(A1858, Brent!A:A, Brent!B:B, "")</f>
        <v>75.42</v>
      </c>
      <c r="E1858">
        <f>_xlfn.XLOOKUP(
  A1858,
  Repo!A:A,
  Repo!B:B,
  "",
  -1
)</f>
        <v>6.5</v>
      </c>
      <c r="F1858" s="10">
        <f>_xlfn.XLOOKUP(
  A1858,
  CPI!D:D,
  CPI!C:C,
  "",
  -1
)</f>
        <v>4.3099999999999996</v>
      </c>
      <c r="G1858">
        <v>59758</v>
      </c>
    </row>
    <row r="1859" spans="1:7">
      <c r="A1859" s="1">
        <v>45068</v>
      </c>
      <c r="B1859">
        <v>60271</v>
      </c>
      <c r="C1859">
        <f>_xlfn.XLOOKUP(A1859, USD!A:A, USD!B:B, "")</f>
        <v>82.84</v>
      </c>
      <c r="D1859">
        <f>_xlfn.XLOOKUP(A1859, Brent!A:A, Brent!B:B, "")</f>
        <v>75.77</v>
      </c>
      <c r="E1859">
        <f>_xlfn.XLOOKUP(
  A1859,
  Repo!A:A,
  Repo!B:B,
  "",
  -1
)</f>
        <v>6.5</v>
      </c>
      <c r="F1859" s="10">
        <f>_xlfn.XLOOKUP(
  A1859,
  CPI!D:D,
  CPI!C:C,
  "",
  -1
)</f>
        <v>4.3099999999999996</v>
      </c>
      <c r="G1859">
        <v>60389</v>
      </c>
    </row>
    <row r="1860" spans="1:7">
      <c r="A1860" s="1">
        <v>45069</v>
      </c>
      <c r="B1860">
        <v>60220</v>
      </c>
      <c r="C1860">
        <f>_xlfn.XLOOKUP(A1860, USD!A:A, USD!B:B, "")</f>
        <v>82.83</v>
      </c>
      <c r="D1860">
        <f>_xlfn.XLOOKUP(A1860, Brent!A:A, Brent!B:B, "")</f>
        <v>76.66</v>
      </c>
      <c r="E1860">
        <f>_xlfn.XLOOKUP(
  A1860,
  Repo!A:A,
  Repo!B:B,
  "",
  -1
)</f>
        <v>6.5</v>
      </c>
      <c r="F1860" s="10">
        <f>_xlfn.XLOOKUP(
  A1860,
  CPI!D:D,
  CPI!C:C,
  "",
  -1
)</f>
        <v>4.3099999999999996</v>
      </c>
      <c r="G1860">
        <v>60271</v>
      </c>
    </row>
    <row r="1861" spans="1:7">
      <c r="A1861" s="1">
        <v>45070</v>
      </c>
      <c r="B1861">
        <v>59918</v>
      </c>
      <c r="C1861">
        <f>_xlfn.XLOOKUP(A1861, USD!A:A, USD!B:B, "")</f>
        <v>82.67</v>
      </c>
      <c r="D1861">
        <f>_xlfn.XLOOKUP(A1861, Brent!A:A, Brent!B:B, "")</f>
        <v>77.989999999999995</v>
      </c>
      <c r="E1861">
        <f>_xlfn.XLOOKUP(
  A1861,
  Repo!A:A,
  Repo!B:B,
  "",
  -1
)</f>
        <v>6.5</v>
      </c>
      <c r="F1861" s="10">
        <f>_xlfn.XLOOKUP(
  A1861,
  CPI!D:D,
  CPI!C:C,
  "",
  -1
)</f>
        <v>4.3099999999999996</v>
      </c>
      <c r="G1861">
        <v>60220</v>
      </c>
    </row>
    <row r="1862" spans="1:7">
      <c r="A1862" s="1">
        <v>45071</v>
      </c>
      <c r="B1862">
        <v>59493</v>
      </c>
      <c r="C1862">
        <f>_xlfn.XLOOKUP(A1862, USD!A:A, USD!B:B, "")</f>
        <v>82.733000000000004</v>
      </c>
      <c r="D1862">
        <f>_xlfn.XLOOKUP(A1862, Brent!A:A, Brent!B:B, "")</f>
        <v>75.66</v>
      </c>
      <c r="E1862">
        <f>_xlfn.XLOOKUP(
  A1862,
  Repo!A:A,
  Repo!B:B,
  "",
  -1
)</f>
        <v>6.5</v>
      </c>
      <c r="F1862" s="10">
        <f>_xlfn.XLOOKUP(
  A1862,
  CPI!D:D,
  CPI!C:C,
  "",
  -1
)</f>
        <v>4.3099999999999996</v>
      </c>
      <c r="G1862">
        <v>59918</v>
      </c>
    </row>
    <row r="1863" spans="1:7">
      <c r="A1863" s="1">
        <v>45072</v>
      </c>
      <c r="B1863">
        <v>59430</v>
      </c>
      <c r="C1863">
        <f>_xlfn.XLOOKUP(A1863, USD!A:A, USD!B:B, "")</f>
        <v>82.57</v>
      </c>
      <c r="D1863">
        <f>_xlfn.XLOOKUP(A1863, Brent!A:A, Brent!B:B, "")</f>
        <v>76.33</v>
      </c>
      <c r="E1863">
        <f>_xlfn.XLOOKUP(
  A1863,
  Repo!A:A,
  Repo!B:B,
  "",
  -1
)</f>
        <v>6.5</v>
      </c>
      <c r="F1863" s="10">
        <f>_xlfn.XLOOKUP(
  A1863,
  CPI!D:D,
  CPI!C:C,
  "",
  -1
)</f>
        <v>4.3099999999999996</v>
      </c>
      <c r="G1863">
        <v>59493</v>
      </c>
    </row>
    <row r="1864" spans="1:7">
      <c r="A1864" s="1">
        <v>45076</v>
      </c>
      <c r="B1864">
        <v>59845</v>
      </c>
      <c r="C1864">
        <f>_xlfn.XLOOKUP(A1864, USD!A:A, USD!B:B, "")</f>
        <v>82.665000000000006</v>
      </c>
      <c r="D1864">
        <f>_xlfn.XLOOKUP(A1864, Brent!A:A, Brent!B:B, "")</f>
        <v>73.38</v>
      </c>
      <c r="E1864">
        <f>_xlfn.XLOOKUP(
  A1864,
  Repo!A:A,
  Repo!B:B,
  "",
  -1
)</f>
        <v>6.5</v>
      </c>
      <c r="F1864" s="10">
        <f>_xlfn.XLOOKUP(
  A1864,
  CPI!D:D,
  CPI!C:C,
  "",
  -1
)</f>
        <v>4.3099999999999996</v>
      </c>
      <c r="G1864">
        <v>59430</v>
      </c>
    </row>
    <row r="1865" spans="1:7">
      <c r="A1865" s="1">
        <v>45077</v>
      </c>
      <c r="B1865">
        <v>60252</v>
      </c>
      <c r="C1865">
        <f>_xlfn.XLOOKUP(A1865, USD!A:A, USD!B:B, "")</f>
        <v>82.68</v>
      </c>
      <c r="D1865">
        <f>_xlfn.XLOOKUP(A1865, Brent!A:A, Brent!B:B, "")</f>
        <v>71.98</v>
      </c>
      <c r="E1865">
        <f>_xlfn.XLOOKUP(
  A1865,
  Repo!A:A,
  Repo!B:B,
  "",
  -1
)</f>
        <v>6.5</v>
      </c>
      <c r="F1865" s="10">
        <f>_xlfn.XLOOKUP(
  A1865,
  CPI!D:D,
  CPI!C:C,
  "",
  -1
)</f>
        <v>4.3099999999999996</v>
      </c>
      <c r="G1865">
        <v>59845</v>
      </c>
    </row>
    <row r="1866" spans="1:7">
      <c r="A1866" s="1">
        <v>45078</v>
      </c>
      <c r="B1866">
        <v>60033</v>
      </c>
      <c r="C1866">
        <f>_xlfn.XLOOKUP(A1866, USD!A:A, USD!B:B, "")</f>
        <v>82.266000000000005</v>
      </c>
      <c r="D1866">
        <f>_xlfn.XLOOKUP(A1866, Brent!A:A, Brent!B:B, "")</f>
        <v>74.180000000000007</v>
      </c>
      <c r="E1866">
        <f>_xlfn.XLOOKUP(
  A1866,
  Repo!A:A,
  Repo!B:B,
  "",
  -1
)</f>
        <v>6.5</v>
      </c>
      <c r="F1866" s="10">
        <f>_xlfn.XLOOKUP(
  A1866,
  CPI!D:D,
  CPI!C:C,
  "",
  -1
)</f>
        <v>4.87</v>
      </c>
      <c r="G1866">
        <v>60252</v>
      </c>
    </row>
    <row r="1867" spans="1:7">
      <c r="A1867" s="1">
        <v>45079</v>
      </c>
      <c r="B1867">
        <v>59656</v>
      </c>
      <c r="C1867">
        <f>_xlfn.XLOOKUP(A1867, USD!A:A, USD!B:B, "")</f>
        <v>82.397999999999996</v>
      </c>
      <c r="D1867">
        <f>_xlfn.XLOOKUP(A1867, Brent!A:A, Brent!B:B, "")</f>
        <v>76</v>
      </c>
      <c r="E1867">
        <f>_xlfn.XLOOKUP(
  A1867,
  Repo!A:A,
  Repo!B:B,
  "",
  -1
)</f>
        <v>6.5</v>
      </c>
      <c r="F1867" s="10">
        <f>_xlfn.XLOOKUP(
  A1867,
  CPI!D:D,
  CPI!C:C,
  "",
  -1
)</f>
        <v>4.87</v>
      </c>
      <c r="G1867">
        <v>60033</v>
      </c>
    </row>
    <row r="1868" spans="1:7">
      <c r="A1868" s="1">
        <v>45082</v>
      </c>
      <c r="B1868">
        <v>59805</v>
      </c>
      <c r="C1868">
        <f>_xlfn.XLOOKUP(A1868, USD!A:A, USD!B:B, "")</f>
        <v>82.52</v>
      </c>
      <c r="D1868">
        <f>_xlfn.XLOOKUP(A1868, Brent!A:A, Brent!B:B, "")</f>
        <v>76.61</v>
      </c>
      <c r="E1868">
        <f>_xlfn.XLOOKUP(
  A1868,
  Repo!A:A,
  Repo!B:B,
  "",
  -1
)</f>
        <v>6.5</v>
      </c>
      <c r="F1868" s="10">
        <f>_xlfn.XLOOKUP(
  A1868,
  CPI!D:D,
  CPI!C:C,
  "",
  -1
)</f>
        <v>4.87</v>
      </c>
      <c r="G1868">
        <v>59656</v>
      </c>
    </row>
    <row r="1869" spans="1:7">
      <c r="A1869" s="1">
        <v>45083</v>
      </c>
      <c r="B1869">
        <v>59902</v>
      </c>
      <c r="C1869">
        <f>_xlfn.XLOOKUP(A1869, USD!A:A, USD!B:B, "")</f>
        <v>82.51</v>
      </c>
      <c r="D1869">
        <f>_xlfn.XLOOKUP(A1869, Brent!A:A, Brent!B:B, "")</f>
        <v>76.22</v>
      </c>
      <c r="E1869">
        <f>_xlfn.XLOOKUP(
  A1869,
  Repo!A:A,
  Repo!B:B,
  "",
  -1
)</f>
        <v>6.5</v>
      </c>
      <c r="F1869" s="10">
        <f>_xlfn.XLOOKUP(
  A1869,
  CPI!D:D,
  CPI!C:C,
  "",
  -1
)</f>
        <v>4.87</v>
      </c>
      <c r="G1869">
        <v>59805</v>
      </c>
    </row>
    <row r="1870" spans="1:7">
      <c r="A1870" s="1">
        <v>45084</v>
      </c>
      <c r="B1870">
        <v>59511</v>
      </c>
      <c r="C1870">
        <f>_xlfn.XLOOKUP(A1870, USD!A:A, USD!B:B, "")</f>
        <v>82.5</v>
      </c>
      <c r="D1870">
        <f>_xlfn.XLOOKUP(A1870, Brent!A:A, Brent!B:B, "")</f>
        <v>76.849999999999994</v>
      </c>
      <c r="E1870">
        <f>_xlfn.XLOOKUP(
  A1870,
  Repo!A:A,
  Repo!B:B,
  "",
  -1
)</f>
        <v>6.5</v>
      </c>
      <c r="F1870" s="10">
        <f>_xlfn.XLOOKUP(
  A1870,
  CPI!D:D,
  CPI!C:C,
  "",
  -1
)</f>
        <v>4.87</v>
      </c>
      <c r="G1870">
        <v>59902</v>
      </c>
    </row>
    <row r="1871" spans="1:7">
      <c r="A1871" s="1">
        <v>45085</v>
      </c>
      <c r="B1871">
        <v>59809</v>
      </c>
      <c r="C1871">
        <f>_xlfn.XLOOKUP(A1871, USD!A:A, USD!B:B, "")</f>
        <v>82.488</v>
      </c>
      <c r="D1871">
        <f>_xlfn.XLOOKUP(A1871, Brent!A:A, Brent!B:B, "")</f>
        <v>75.88</v>
      </c>
      <c r="E1871">
        <f>_xlfn.XLOOKUP(
  A1871,
  Repo!A:A,
  Repo!B:B,
  "",
  -1
)</f>
        <v>6.5</v>
      </c>
      <c r="F1871" s="10">
        <f>_xlfn.XLOOKUP(
  A1871,
  CPI!D:D,
  CPI!C:C,
  "",
  -1
)</f>
        <v>4.87</v>
      </c>
      <c r="G1871">
        <v>59511</v>
      </c>
    </row>
    <row r="1872" spans="1:7">
      <c r="A1872" s="1">
        <v>45086</v>
      </c>
      <c r="B1872">
        <v>59777</v>
      </c>
      <c r="C1872">
        <f>_xlfn.XLOOKUP(A1872, USD!A:A, USD!B:B, "")</f>
        <v>82.44</v>
      </c>
      <c r="D1872">
        <f>_xlfn.XLOOKUP(A1872, Brent!A:A, Brent!B:B, "")</f>
        <v>74.739999999999995</v>
      </c>
      <c r="E1872">
        <f>_xlfn.XLOOKUP(
  A1872,
  Repo!A:A,
  Repo!B:B,
  "",
  -1
)</f>
        <v>6.5</v>
      </c>
      <c r="F1872" s="10">
        <f>_xlfn.XLOOKUP(
  A1872,
  CPI!D:D,
  CPI!C:C,
  "",
  -1
)</f>
        <v>4.87</v>
      </c>
      <c r="G1872">
        <v>59809</v>
      </c>
    </row>
    <row r="1873" spans="1:7">
      <c r="A1873" s="1">
        <v>45089</v>
      </c>
      <c r="B1873">
        <v>59595</v>
      </c>
      <c r="C1873">
        <f>_xlfn.XLOOKUP(A1873, USD!A:A, USD!B:B, "")</f>
        <v>82.39</v>
      </c>
      <c r="D1873">
        <f>_xlfn.XLOOKUP(A1873, Brent!A:A, Brent!B:B, "")</f>
        <v>71.8</v>
      </c>
      <c r="E1873">
        <f>_xlfn.XLOOKUP(
  A1873,
  Repo!A:A,
  Repo!B:B,
  "",
  -1
)</f>
        <v>6.5</v>
      </c>
      <c r="F1873" s="10">
        <f>_xlfn.XLOOKUP(
  A1873,
  CPI!D:D,
  CPI!C:C,
  "",
  -1
)</f>
        <v>4.87</v>
      </c>
      <c r="G1873">
        <v>59777</v>
      </c>
    </row>
    <row r="1874" spans="1:7">
      <c r="A1874" s="1">
        <v>45090</v>
      </c>
      <c r="B1874">
        <v>59222</v>
      </c>
      <c r="C1874">
        <f>_xlfn.XLOOKUP(A1874, USD!A:A, USD!B:B, "")</f>
        <v>82.228999999999999</v>
      </c>
      <c r="D1874">
        <f>_xlfn.XLOOKUP(A1874, Brent!A:A, Brent!B:B, "")</f>
        <v>74.239999999999995</v>
      </c>
      <c r="E1874">
        <f>_xlfn.XLOOKUP(
  A1874,
  Repo!A:A,
  Repo!B:B,
  "",
  -1
)</f>
        <v>6.5</v>
      </c>
      <c r="F1874" s="10">
        <f>_xlfn.XLOOKUP(
  A1874,
  CPI!D:D,
  CPI!C:C,
  "",
  -1
)</f>
        <v>4.87</v>
      </c>
      <c r="G1874">
        <v>59595</v>
      </c>
    </row>
    <row r="1875" spans="1:7">
      <c r="A1875" s="1">
        <v>45091</v>
      </c>
      <c r="B1875">
        <v>59249</v>
      </c>
      <c r="C1875">
        <f>_xlfn.XLOOKUP(A1875, USD!A:A, USD!B:B, "")</f>
        <v>81.95</v>
      </c>
      <c r="D1875">
        <f>_xlfn.XLOOKUP(A1875, Brent!A:A, Brent!B:B, "")</f>
        <v>73.39</v>
      </c>
      <c r="E1875">
        <f>_xlfn.XLOOKUP(
  A1875,
  Repo!A:A,
  Repo!B:B,
  "",
  -1
)</f>
        <v>6.5</v>
      </c>
      <c r="F1875" s="10">
        <f>_xlfn.XLOOKUP(
  A1875,
  CPI!D:D,
  CPI!C:C,
  "",
  -1
)</f>
        <v>4.87</v>
      </c>
      <c r="G1875">
        <v>59222</v>
      </c>
    </row>
    <row r="1876" spans="1:7">
      <c r="A1876" s="1">
        <v>45092</v>
      </c>
      <c r="B1876">
        <v>59249</v>
      </c>
      <c r="C1876">
        <f>_xlfn.XLOOKUP(A1876, USD!A:A, USD!B:B, "")</f>
        <v>81.900000000000006</v>
      </c>
      <c r="D1876">
        <f>_xlfn.XLOOKUP(A1876, Brent!A:A, Brent!B:B, "")</f>
        <v>75.75</v>
      </c>
      <c r="E1876">
        <f>_xlfn.XLOOKUP(
  A1876,
  Repo!A:A,
  Repo!B:B,
  "",
  -1
)</f>
        <v>6.5</v>
      </c>
      <c r="F1876" s="10">
        <f>_xlfn.XLOOKUP(
  A1876,
  CPI!D:D,
  CPI!C:C,
  "",
  -1
)</f>
        <v>4.87</v>
      </c>
      <c r="G1876">
        <v>59249</v>
      </c>
    </row>
    <row r="1877" spans="1:7">
      <c r="A1877" s="1">
        <v>45093</v>
      </c>
      <c r="B1877">
        <v>59249</v>
      </c>
      <c r="C1877">
        <f>_xlfn.XLOOKUP(A1877, USD!A:A, USD!B:B, "")</f>
        <v>81.91</v>
      </c>
      <c r="D1877">
        <f>_xlfn.XLOOKUP(A1877, Brent!A:A, Brent!B:B, "")</f>
        <v>76.760000000000005</v>
      </c>
      <c r="E1877">
        <f>_xlfn.XLOOKUP(
  A1877,
  Repo!A:A,
  Repo!B:B,
  "",
  -1
)</f>
        <v>6.5</v>
      </c>
      <c r="F1877" s="10">
        <f>_xlfn.XLOOKUP(
  A1877,
  CPI!D:D,
  CPI!C:C,
  "",
  -1
)</f>
        <v>4.87</v>
      </c>
      <c r="G1877">
        <v>59249</v>
      </c>
    </row>
    <row r="1878" spans="1:7">
      <c r="A1878" s="1">
        <v>45096</v>
      </c>
      <c r="B1878">
        <v>59043</v>
      </c>
      <c r="C1878">
        <f>_xlfn.XLOOKUP(A1878, USD!A:A, USD!B:B, "")</f>
        <v>81.91</v>
      </c>
      <c r="D1878">
        <f>_xlfn.XLOOKUP(A1878, Brent!A:A, Brent!B:B, "")</f>
        <v>76.09</v>
      </c>
      <c r="E1878">
        <f>_xlfn.XLOOKUP(
  A1878,
  Repo!A:A,
  Repo!B:B,
  "",
  -1
)</f>
        <v>6.5</v>
      </c>
      <c r="F1878" s="10">
        <f>_xlfn.XLOOKUP(
  A1878,
  CPI!D:D,
  CPI!C:C,
  "",
  -1
)</f>
        <v>4.87</v>
      </c>
      <c r="G1878">
        <v>59249</v>
      </c>
    </row>
    <row r="1879" spans="1:7">
      <c r="A1879" s="1">
        <v>45097</v>
      </c>
      <c r="B1879">
        <v>58721</v>
      </c>
      <c r="C1879">
        <f>_xlfn.XLOOKUP(A1879, USD!A:A, USD!B:B, "")</f>
        <v>82</v>
      </c>
      <c r="D1879">
        <f>_xlfn.XLOOKUP(A1879, Brent!A:A, Brent!B:B, "")</f>
        <v>75.790000000000006</v>
      </c>
      <c r="E1879">
        <f>_xlfn.XLOOKUP(
  A1879,
  Repo!A:A,
  Repo!B:B,
  "",
  -1
)</f>
        <v>6.5</v>
      </c>
      <c r="F1879" s="10">
        <f>_xlfn.XLOOKUP(
  A1879,
  CPI!D:D,
  CPI!C:C,
  "",
  -1
)</f>
        <v>4.87</v>
      </c>
      <c r="G1879">
        <v>59043</v>
      </c>
    </row>
    <row r="1880" spans="1:7">
      <c r="A1880" s="1">
        <v>45098</v>
      </c>
      <c r="B1880">
        <v>58630</v>
      </c>
      <c r="C1880">
        <f>_xlfn.XLOOKUP(A1880, USD!A:A, USD!B:B, "")</f>
        <v>81.93</v>
      </c>
      <c r="D1880">
        <f>_xlfn.XLOOKUP(A1880, Brent!A:A, Brent!B:B, "")</f>
        <v>76.92</v>
      </c>
      <c r="E1880">
        <f>_xlfn.XLOOKUP(
  A1880,
  Repo!A:A,
  Repo!B:B,
  "",
  -1
)</f>
        <v>6.5</v>
      </c>
      <c r="F1880" s="10">
        <f>_xlfn.XLOOKUP(
  A1880,
  CPI!D:D,
  CPI!C:C,
  "",
  -1
)</f>
        <v>4.87</v>
      </c>
      <c r="G1880">
        <v>58721</v>
      </c>
    </row>
    <row r="1881" spans="1:7">
      <c r="A1881" s="1">
        <v>45099</v>
      </c>
      <c r="B1881">
        <v>58144</v>
      </c>
      <c r="C1881">
        <f>_xlfn.XLOOKUP(A1881, USD!A:A, USD!B:B, "")</f>
        <v>81.95</v>
      </c>
      <c r="D1881">
        <f>_xlfn.XLOOKUP(A1881, Brent!A:A, Brent!B:B, "")</f>
        <v>73.930000000000007</v>
      </c>
      <c r="E1881">
        <f>_xlfn.XLOOKUP(
  A1881,
  Repo!A:A,
  Repo!B:B,
  "",
  -1
)</f>
        <v>6.5</v>
      </c>
      <c r="F1881" s="10">
        <f>_xlfn.XLOOKUP(
  A1881,
  CPI!D:D,
  CPI!C:C,
  "",
  -1
)</f>
        <v>4.87</v>
      </c>
      <c r="G1881">
        <v>58630</v>
      </c>
    </row>
    <row r="1882" spans="1:7">
      <c r="A1882" s="1">
        <v>45100</v>
      </c>
      <c r="B1882">
        <v>58188</v>
      </c>
      <c r="C1882">
        <f>_xlfn.XLOOKUP(A1882, USD!A:A, USD!B:B, "")</f>
        <v>81.98</v>
      </c>
      <c r="D1882">
        <f>_xlfn.XLOOKUP(A1882, Brent!A:A, Brent!B:B, "")</f>
        <v>73.56</v>
      </c>
      <c r="E1882">
        <f>_xlfn.XLOOKUP(
  A1882,
  Repo!A:A,
  Repo!B:B,
  "",
  -1
)</f>
        <v>6.5</v>
      </c>
      <c r="F1882" s="10">
        <f>_xlfn.XLOOKUP(
  A1882,
  CPI!D:D,
  CPI!C:C,
  "",
  -1
)</f>
        <v>4.87</v>
      </c>
      <c r="G1882">
        <v>58144</v>
      </c>
    </row>
    <row r="1883" spans="1:7">
      <c r="A1883" s="1">
        <v>45103</v>
      </c>
      <c r="B1883">
        <v>58256</v>
      </c>
      <c r="C1883">
        <f>_xlfn.XLOOKUP(A1883, USD!A:A, USD!B:B, "")</f>
        <v>81.97</v>
      </c>
      <c r="D1883">
        <f>_xlfn.XLOOKUP(A1883, Brent!A:A, Brent!B:B, "")</f>
        <v>73.86</v>
      </c>
      <c r="E1883">
        <f>_xlfn.XLOOKUP(
  A1883,
  Repo!A:A,
  Repo!B:B,
  "",
  -1
)</f>
        <v>6.5</v>
      </c>
      <c r="F1883" s="10">
        <f>_xlfn.XLOOKUP(
  A1883,
  CPI!D:D,
  CPI!C:C,
  "",
  -1
)</f>
        <v>4.87</v>
      </c>
      <c r="G1883">
        <v>58188</v>
      </c>
    </row>
    <row r="1884" spans="1:7">
      <c r="A1884" s="1">
        <v>45104</v>
      </c>
      <c r="B1884">
        <v>58015</v>
      </c>
      <c r="C1884">
        <f>_xlfn.XLOOKUP(A1884, USD!A:A, USD!B:B, "")</f>
        <v>81.983000000000004</v>
      </c>
      <c r="D1884">
        <f>_xlfn.XLOOKUP(A1884, Brent!A:A, Brent!B:B, "")</f>
        <v>71.88</v>
      </c>
      <c r="E1884">
        <f>_xlfn.XLOOKUP(
  A1884,
  Repo!A:A,
  Repo!B:B,
  "",
  -1
)</f>
        <v>6.5</v>
      </c>
      <c r="F1884" s="10">
        <f>_xlfn.XLOOKUP(
  A1884,
  CPI!D:D,
  CPI!C:C,
  "",
  -1
)</f>
        <v>4.87</v>
      </c>
      <c r="G1884">
        <v>58256</v>
      </c>
    </row>
    <row r="1885" spans="1:7">
      <c r="A1885" s="1">
        <v>45105</v>
      </c>
      <c r="B1885">
        <v>57796</v>
      </c>
      <c r="C1885">
        <f>_xlfn.XLOOKUP(A1885, USD!A:A, USD!B:B, "")</f>
        <v>82.02</v>
      </c>
      <c r="D1885">
        <f>_xlfn.XLOOKUP(A1885, Brent!A:A, Brent!B:B, "")</f>
        <v>73.64</v>
      </c>
      <c r="E1885">
        <f>_xlfn.XLOOKUP(
  A1885,
  Repo!A:A,
  Repo!B:B,
  "",
  -1
)</f>
        <v>6.5</v>
      </c>
      <c r="F1885" s="10">
        <f>_xlfn.XLOOKUP(
  A1885,
  CPI!D:D,
  CPI!C:C,
  "",
  -1
)</f>
        <v>4.87</v>
      </c>
      <c r="G1885">
        <v>58015</v>
      </c>
    </row>
    <row r="1886" spans="1:7">
      <c r="A1886" s="1">
        <v>45106</v>
      </c>
      <c r="B1886">
        <v>57578</v>
      </c>
      <c r="C1886">
        <f>_xlfn.XLOOKUP(A1886, USD!A:A, USD!B:B, "")</f>
        <v>82.1</v>
      </c>
      <c r="D1886">
        <f>_xlfn.XLOOKUP(A1886, Brent!A:A, Brent!B:B, "")</f>
        <v>73.86</v>
      </c>
      <c r="E1886">
        <f>_xlfn.XLOOKUP(
  A1886,
  Repo!A:A,
  Repo!B:B,
  "",
  -1
)</f>
        <v>6.5</v>
      </c>
      <c r="F1886" s="10">
        <f>_xlfn.XLOOKUP(
  A1886,
  CPI!D:D,
  CPI!C:C,
  "",
  -1
)</f>
        <v>4.87</v>
      </c>
      <c r="G1886">
        <v>57796</v>
      </c>
    </row>
    <row r="1887" spans="1:7">
      <c r="A1887" s="1">
        <v>45107</v>
      </c>
      <c r="B1887">
        <v>58020</v>
      </c>
      <c r="C1887">
        <f>_xlfn.XLOOKUP(A1887, USD!A:A, USD!B:B, "")</f>
        <v>82.090999999999994</v>
      </c>
      <c r="D1887">
        <f>_xlfn.XLOOKUP(A1887, Brent!A:A, Brent!B:B, "")</f>
        <v>74.510000000000005</v>
      </c>
      <c r="E1887">
        <f>_xlfn.XLOOKUP(
  A1887,
  Repo!A:A,
  Repo!B:B,
  "",
  -1
)</f>
        <v>6.5</v>
      </c>
      <c r="F1887" s="10">
        <f>_xlfn.XLOOKUP(
  A1887,
  CPI!D:D,
  CPI!C:C,
  "",
  -1
)</f>
        <v>4.87</v>
      </c>
      <c r="G1887">
        <v>57578</v>
      </c>
    </row>
    <row r="1888" spans="1:7">
      <c r="A1888" s="1">
        <v>45110</v>
      </c>
      <c r="B1888">
        <v>58119</v>
      </c>
      <c r="C1888">
        <f>_xlfn.XLOOKUP(A1888, USD!A:A, USD!B:B, "")</f>
        <v>81.94</v>
      </c>
      <c r="D1888">
        <f>_xlfn.XLOOKUP(A1888, Brent!A:A, Brent!B:B, "")</f>
        <v>74.52</v>
      </c>
      <c r="E1888">
        <f>_xlfn.XLOOKUP(
  A1888,
  Repo!A:A,
  Repo!B:B,
  "",
  -1
)</f>
        <v>6.5</v>
      </c>
      <c r="F1888" s="10">
        <f>_xlfn.XLOOKUP(
  A1888,
  CPI!D:D,
  CPI!C:C,
  "",
  -1
)</f>
        <v>7.44</v>
      </c>
      <c r="G1888">
        <v>58020</v>
      </c>
    </row>
    <row r="1889" spans="1:7">
      <c r="A1889" s="1">
        <v>45111</v>
      </c>
      <c r="B1889">
        <v>58194</v>
      </c>
      <c r="C1889">
        <f>_xlfn.XLOOKUP(A1889, USD!A:A, USD!B:B, "")</f>
        <v>81.945999999999998</v>
      </c>
      <c r="D1889">
        <f>_xlfn.XLOOKUP(A1889, Brent!A:A, Brent!B:B, "")</f>
        <v>76.23</v>
      </c>
      <c r="E1889">
        <f>_xlfn.XLOOKUP(
  A1889,
  Repo!A:A,
  Repo!B:B,
  "",
  -1
)</f>
        <v>6.5</v>
      </c>
      <c r="F1889" s="10">
        <f>_xlfn.XLOOKUP(
  A1889,
  CPI!D:D,
  CPI!C:C,
  "",
  -1
)</f>
        <v>7.44</v>
      </c>
      <c r="G1889">
        <v>58119</v>
      </c>
    </row>
    <row r="1890" spans="1:7">
      <c r="A1890" s="1">
        <v>45112</v>
      </c>
      <c r="B1890">
        <v>58308</v>
      </c>
      <c r="C1890">
        <f>_xlfn.XLOOKUP(A1890, USD!A:A, USD!B:B, "")</f>
        <v>82.397000000000006</v>
      </c>
      <c r="D1890">
        <f>_xlfn.XLOOKUP(A1890, Brent!A:A, Brent!B:B, "")</f>
        <v>76.739999999999995</v>
      </c>
      <c r="E1890">
        <f>_xlfn.XLOOKUP(
  A1890,
  Repo!A:A,
  Repo!B:B,
  "",
  -1
)</f>
        <v>6.5</v>
      </c>
      <c r="F1890" s="10">
        <f>_xlfn.XLOOKUP(
  A1890,
  CPI!D:D,
  CPI!C:C,
  "",
  -1
)</f>
        <v>7.44</v>
      </c>
      <c r="G1890">
        <v>58194</v>
      </c>
    </row>
    <row r="1891" spans="1:7">
      <c r="A1891" s="1">
        <v>45113</v>
      </c>
      <c r="B1891">
        <v>58385</v>
      </c>
      <c r="C1891">
        <f>_xlfn.XLOOKUP(A1891, USD!A:A, USD!B:B, "")</f>
        <v>82.757999999999996</v>
      </c>
      <c r="D1891">
        <f>_xlfn.XLOOKUP(A1891, Brent!A:A, Brent!B:B, "")</f>
        <v>76.72</v>
      </c>
      <c r="E1891">
        <f>_xlfn.XLOOKUP(
  A1891,
  Repo!A:A,
  Repo!B:B,
  "",
  -1
)</f>
        <v>6.5</v>
      </c>
      <c r="F1891" s="10">
        <f>_xlfn.XLOOKUP(
  A1891,
  CPI!D:D,
  CPI!C:C,
  "",
  -1
)</f>
        <v>7.44</v>
      </c>
      <c r="G1891">
        <v>58308</v>
      </c>
    </row>
    <row r="1892" spans="1:7">
      <c r="A1892" s="1">
        <v>45114</v>
      </c>
      <c r="B1892">
        <v>58747</v>
      </c>
      <c r="C1892">
        <f>_xlfn.XLOOKUP(A1892, USD!A:A, USD!B:B, "")</f>
        <v>82.61</v>
      </c>
      <c r="D1892">
        <f>_xlfn.XLOOKUP(A1892, Brent!A:A, Brent!B:B, "")</f>
        <v>78.77</v>
      </c>
      <c r="E1892">
        <f>_xlfn.XLOOKUP(
  A1892,
  Repo!A:A,
  Repo!B:B,
  "",
  -1
)</f>
        <v>6.5</v>
      </c>
      <c r="F1892" s="10">
        <f>_xlfn.XLOOKUP(
  A1892,
  CPI!D:D,
  CPI!C:C,
  "",
  -1
)</f>
        <v>7.44</v>
      </c>
      <c r="G1892">
        <v>58385</v>
      </c>
    </row>
    <row r="1893" spans="1:7">
      <c r="A1893" s="1">
        <v>45117</v>
      </c>
      <c r="B1893">
        <v>58635</v>
      </c>
      <c r="C1893">
        <f>_xlfn.XLOOKUP(A1893, USD!A:A, USD!B:B, "")</f>
        <v>82.52</v>
      </c>
      <c r="D1893">
        <f>_xlfn.XLOOKUP(A1893, Brent!A:A, Brent!B:B, "")</f>
        <v>77.83</v>
      </c>
      <c r="E1893">
        <f>_xlfn.XLOOKUP(
  A1893,
  Repo!A:A,
  Repo!B:B,
  "",
  -1
)</f>
        <v>6.5</v>
      </c>
      <c r="F1893" s="10">
        <f>_xlfn.XLOOKUP(
  A1893,
  CPI!D:D,
  CPI!C:C,
  "",
  -1
)</f>
        <v>7.44</v>
      </c>
      <c r="G1893">
        <v>58747</v>
      </c>
    </row>
    <row r="1894" spans="1:7">
      <c r="A1894" s="1">
        <v>45118</v>
      </c>
      <c r="B1894">
        <v>58737</v>
      </c>
      <c r="C1894">
        <f>_xlfn.XLOOKUP(A1894, USD!A:A, USD!B:B, "")</f>
        <v>82.39</v>
      </c>
      <c r="D1894">
        <f>_xlfn.XLOOKUP(A1894, Brent!A:A, Brent!B:B, "")</f>
        <v>79.540000000000006</v>
      </c>
      <c r="E1894">
        <f>_xlfn.XLOOKUP(
  A1894,
  Repo!A:A,
  Repo!B:B,
  "",
  -1
)</f>
        <v>6.5</v>
      </c>
      <c r="F1894" s="10">
        <f>_xlfn.XLOOKUP(
  A1894,
  CPI!D:D,
  CPI!C:C,
  "",
  -1
)</f>
        <v>7.44</v>
      </c>
      <c r="G1894">
        <v>58635</v>
      </c>
    </row>
    <row r="1895" spans="1:7">
      <c r="A1895" s="1">
        <v>45119</v>
      </c>
      <c r="B1895">
        <v>59113</v>
      </c>
      <c r="C1895">
        <f>_xlfn.XLOOKUP(A1895, USD!A:A, USD!B:B, "")</f>
        <v>81.98</v>
      </c>
      <c r="D1895">
        <f>_xlfn.XLOOKUP(A1895, Brent!A:A, Brent!B:B, "")</f>
        <v>80.349999999999994</v>
      </c>
      <c r="E1895">
        <f>_xlfn.XLOOKUP(
  A1895,
  Repo!A:A,
  Repo!B:B,
  "",
  -1
)</f>
        <v>6.5</v>
      </c>
      <c r="F1895" s="10">
        <f>_xlfn.XLOOKUP(
  A1895,
  CPI!D:D,
  CPI!C:C,
  "",
  -1
)</f>
        <v>7.44</v>
      </c>
      <c r="G1895">
        <v>58737</v>
      </c>
    </row>
    <row r="1896" spans="1:7">
      <c r="A1896" s="1">
        <v>45120</v>
      </c>
      <c r="B1896">
        <v>59185</v>
      </c>
      <c r="C1896">
        <f>_xlfn.XLOOKUP(A1896, USD!A:A, USD!B:B, "")</f>
        <v>82.04</v>
      </c>
      <c r="D1896">
        <f>_xlfn.XLOOKUP(A1896, Brent!A:A, Brent!B:B, "")</f>
        <v>81.31</v>
      </c>
      <c r="E1896">
        <f>_xlfn.XLOOKUP(
  A1896,
  Repo!A:A,
  Repo!B:B,
  "",
  -1
)</f>
        <v>6.5</v>
      </c>
      <c r="F1896" s="10">
        <f>_xlfn.XLOOKUP(
  A1896,
  CPI!D:D,
  CPI!C:C,
  "",
  -1
)</f>
        <v>7.44</v>
      </c>
      <c r="G1896">
        <v>59113</v>
      </c>
    </row>
    <row r="1897" spans="1:7">
      <c r="A1897" s="1">
        <v>45121</v>
      </c>
      <c r="B1897">
        <v>59229</v>
      </c>
      <c r="C1897">
        <f>_xlfn.XLOOKUP(A1897, USD!A:A, USD!B:B, "")</f>
        <v>82.049000000000007</v>
      </c>
      <c r="D1897">
        <f>_xlfn.XLOOKUP(A1897, Brent!A:A, Brent!B:B, "")</f>
        <v>79.900000000000006</v>
      </c>
      <c r="E1897">
        <f>_xlfn.XLOOKUP(
  A1897,
  Repo!A:A,
  Repo!B:B,
  "",
  -1
)</f>
        <v>6.5</v>
      </c>
      <c r="F1897" s="10">
        <f>_xlfn.XLOOKUP(
  A1897,
  CPI!D:D,
  CPI!C:C,
  "",
  -1
)</f>
        <v>7.44</v>
      </c>
      <c r="G1897">
        <v>59185</v>
      </c>
    </row>
    <row r="1898" spans="1:7">
      <c r="A1898" s="1">
        <v>45124</v>
      </c>
      <c r="B1898">
        <v>59061</v>
      </c>
      <c r="C1898">
        <f>_xlfn.XLOOKUP(A1898, USD!A:A, USD!B:B, "")</f>
        <v>82.04</v>
      </c>
      <c r="D1898">
        <f>_xlfn.XLOOKUP(A1898, Brent!A:A, Brent!B:B, "")</f>
        <v>77.8</v>
      </c>
      <c r="E1898">
        <f>_xlfn.XLOOKUP(
  A1898,
  Repo!A:A,
  Repo!B:B,
  "",
  -1
)</f>
        <v>6.5</v>
      </c>
      <c r="F1898" s="10">
        <f>_xlfn.XLOOKUP(
  A1898,
  CPI!D:D,
  CPI!C:C,
  "",
  -1
)</f>
        <v>7.44</v>
      </c>
      <c r="G1898">
        <v>59229</v>
      </c>
    </row>
    <row r="1899" spans="1:7">
      <c r="A1899" s="1">
        <v>45125</v>
      </c>
      <c r="B1899">
        <v>59633</v>
      </c>
      <c r="C1899">
        <f>_xlfn.XLOOKUP(A1899, USD!A:A, USD!B:B, "")</f>
        <v>82.06</v>
      </c>
      <c r="D1899">
        <f>_xlfn.XLOOKUP(A1899, Brent!A:A, Brent!B:B, "")</f>
        <v>79.540000000000006</v>
      </c>
      <c r="E1899">
        <f>_xlfn.XLOOKUP(
  A1899,
  Repo!A:A,
  Repo!B:B,
  "",
  -1
)</f>
        <v>6.5</v>
      </c>
      <c r="F1899" s="10">
        <f>_xlfn.XLOOKUP(
  A1899,
  CPI!D:D,
  CPI!C:C,
  "",
  -1
)</f>
        <v>7.44</v>
      </c>
      <c r="G1899">
        <v>59061</v>
      </c>
    </row>
    <row r="1900" spans="1:7">
      <c r="A1900" s="1">
        <v>45126</v>
      </c>
      <c r="B1900">
        <v>59683</v>
      </c>
      <c r="C1900">
        <f>_xlfn.XLOOKUP(A1900, USD!A:A, USD!B:B, "")</f>
        <v>82.05</v>
      </c>
      <c r="D1900">
        <f>_xlfn.XLOOKUP(A1900, Brent!A:A, Brent!B:B, "")</f>
        <v>79.38</v>
      </c>
      <c r="E1900">
        <f>_xlfn.XLOOKUP(
  A1900,
  Repo!A:A,
  Repo!B:B,
  "",
  -1
)</f>
        <v>6.5</v>
      </c>
      <c r="F1900" s="10">
        <f>_xlfn.XLOOKUP(
  A1900,
  CPI!D:D,
  CPI!C:C,
  "",
  -1
)</f>
        <v>7.44</v>
      </c>
      <c r="G1900">
        <v>59633</v>
      </c>
    </row>
    <row r="1901" spans="1:7">
      <c r="A1901" s="1">
        <v>45127</v>
      </c>
      <c r="B1901">
        <v>59459</v>
      </c>
      <c r="C1901">
        <f>_xlfn.XLOOKUP(A1901, USD!A:A, USD!B:B, "")</f>
        <v>82.07</v>
      </c>
      <c r="D1901">
        <f>_xlfn.XLOOKUP(A1901, Brent!A:A, Brent!B:B, "")</f>
        <v>79.62</v>
      </c>
      <c r="E1901">
        <f>_xlfn.XLOOKUP(
  A1901,
  Repo!A:A,
  Repo!B:B,
  "",
  -1
)</f>
        <v>6.5</v>
      </c>
      <c r="F1901" s="10">
        <f>_xlfn.XLOOKUP(
  A1901,
  CPI!D:D,
  CPI!C:C,
  "",
  -1
)</f>
        <v>7.44</v>
      </c>
      <c r="G1901">
        <v>59683</v>
      </c>
    </row>
    <row r="1902" spans="1:7">
      <c r="A1902" s="1">
        <v>45128</v>
      </c>
      <c r="B1902">
        <v>59221</v>
      </c>
      <c r="C1902">
        <f>_xlfn.XLOOKUP(A1902, USD!A:A, USD!B:B, "")</f>
        <v>81.98</v>
      </c>
      <c r="D1902">
        <f>_xlfn.XLOOKUP(A1902, Brent!A:A, Brent!B:B, "")</f>
        <v>81.06</v>
      </c>
      <c r="E1902">
        <f>_xlfn.XLOOKUP(
  A1902,
  Repo!A:A,
  Repo!B:B,
  "",
  -1
)</f>
        <v>6.5</v>
      </c>
      <c r="F1902" s="10">
        <f>_xlfn.XLOOKUP(
  A1902,
  CPI!D:D,
  CPI!C:C,
  "",
  -1
)</f>
        <v>7.44</v>
      </c>
      <c r="G1902">
        <v>59459</v>
      </c>
    </row>
    <row r="1903" spans="1:7">
      <c r="A1903" s="1">
        <v>45131</v>
      </c>
      <c r="B1903">
        <v>59013</v>
      </c>
      <c r="C1903">
        <f>_xlfn.XLOOKUP(A1903, USD!A:A, USD!B:B, "")</f>
        <v>81.790000000000006</v>
      </c>
      <c r="D1903">
        <f>_xlfn.XLOOKUP(A1903, Brent!A:A, Brent!B:B, "")</f>
        <v>82.53</v>
      </c>
      <c r="E1903">
        <f>_xlfn.XLOOKUP(
  A1903,
  Repo!A:A,
  Repo!B:B,
  "",
  -1
)</f>
        <v>6.5</v>
      </c>
      <c r="F1903" s="10">
        <f>_xlfn.XLOOKUP(
  A1903,
  CPI!D:D,
  CPI!C:C,
  "",
  -1
)</f>
        <v>7.44</v>
      </c>
      <c r="G1903">
        <v>59221</v>
      </c>
    </row>
    <row r="1904" spans="1:7">
      <c r="A1904" s="1">
        <v>45132</v>
      </c>
      <c r="B1904">
        <v>59120</v>
      </c>
      <c r="C1904">
        <f>_xlfn.XLOOKUP(A1904, USD!A:A, USD!B:B, "")</f>
        <v>81.849999999999994</v>
      </c>
      <c r="D1904">
        <f>_xlfn.XLOOKUP(A1904, Brent!A:A, Brent!B:B, "")</f>
        <v>83.46</v>
      </c>
      <c r="E1904">
        <f>_xlfn.XLOOKUP(
  A1904,
  Repo!A:A,
  Repo!B:B,
  "",
  -1
)</f>
        <v>6.5</v>
      </c>
      <c r="F1904" s="10">
        <f>_xlfn.XLOOKUP(
  A1904,
  CPI!D:D,
  CPI!C:C,
  "",
  -1
)</f>
        <v>7.44</v>
      </c>
      <c r="G1904">
        <v>59013</v>
      </c>
    </row>
    <row r="1905" spans="1:7">
      <c r="A1905" s="1">
        <v>45133</v>
      </c>
      <c r="B1905">
        <v>59347</v>
      </c>
      <c r="C1905">
        <f>_xlfn.XLOOKUP(A1905, USD!A:A, USD!B:B, "")</f>
        <v>81.95</v>
      </c>
      <c r="D1905">
        <f>_xlfn.XLOOKUP(A1905, Brent!A:A, Brent!B:B, "")</f>
        <v>82.98</v>
      </c>
      <c r="E1905">
        <f>_xlfn.XLOOKUP(
  A1905,
  Repo!A:A,
  Repo!B:B,
  "",
  -1
)</f>
        <v>6.5</v>
      </c>
      <c r="F1905" s="10">
        <f>_xlfn.XLOOKUP(
  A1905,
  CPI!D:D,
  CPI!C:C,
  "",
  -1
)</f>
        <v>7.44</v>
      </c>
      <c r="G1905">
        <v>59120</v>
      </c>
    </row>
    <row r="1906" spans="1:7">
      <c r="A1906" s="1">
        <v>45134</v>
      </c>
      <c r="B1906">
        <v>58878</v>
      </c>
      <c r="C1906">
        <f>_xlfn.XLOOKUP(A1906, USD!A:A, USD!B:B, "")</f>
        <v>82.15</v>
      </c>
      <c r="D1906">
        <f>_xlfn.XLOOKUP(A1906, Brent!A:A, Brent!B:B, "")</f>
        <v>84.28</v>
      </c>
      <c r="E1906">
        <f>_xlfn.XLOOKUP(
  A1906,
  Repo!A:A,
  Repo!B:B,
  "",
  -1
)</f>
        <v>6.5</v>
      </c>
      <c r="F1906" s="10">
        <f>_xlfn.XLOOKUP(
  A1906,
  CPI!D:D,
  CPI!C:C,
  "",
  -1
)</f>
        <v>7.44</v>
      </c>
      <c r="G1906">
        <v>59347</v>
      </c>
    </row>
    <row r="1907" spans="1:7">
      <c r="A1907" s="1">
        <v>45135</v>
      </c>
      <c r="B1907">
        <v>59288</v>
      </c>
      <c r="C1907">
        <f>_xlfn.XLOOKUP(A1907, USD!A:A, USD!B:B, "")</f>
        <v>82.224999999999994</v>
      </c>
      <c r="D1907">
        <f>_xlfn.XLOOKUP(A1907, Brent!A:A, Brent!B:B, "")</f>
        <v>84.49</v>
      </c>
      <c r="E1907">
        <f>_xlfn.XLOOKUP(
  A1907,
  Repo!A:A,
  Repo!B:B,
  "",
  -1
)</f>
        <v>6.5</v>
      </c>
      <c r="F1907" s="10">
        <f>_xlfn.XLOOKUP(
  A1907,
  CPI!D:D,
  CPI!C:C,
  "",
  -1
)</f>
        <v>7.44</v>
      </c>
      <c r="G1907">
        <v>58878</v>
      </c>
    </row>
    <row r="1908" spans="1:7">
      <c r="A1908" s="1">
        <v>45138</v>
      </c>
      <c r="B1908">
        <v>59628</v>
      </c>
      <c r="C1908">
        <f>_xlfn.XLOOKUP(A1908, USD!A:A, USD!B:B, "")</f>
        <v>82.24</v>
      </c>
      <c r="D1908">
        <f>_xlfn.XLOOKUP(A1908, Brent!A:A, Brent!B:B, "")</f>
        <v>85.22</v>
      </c>
      <c r="E1908">
        <f>_xlfn.XLOOKUP(
  A1908,
  Repo!A:A,
  Repo!B:B,
  "",
  -1
)</f>
        <v>6.5</v>
      </c>
      <c r="F1908" s="10">
        <f>_xlfn.XLOOKUP(
  A1908,
  CPI!D:D,
  CPI!C:C,
  "",
  -1
)</f>
        <v>7.44</v>
      </c>
      <c r="G1908">
        <v>59288</v>
      </c>
    </row>
    <row r="1909" spans="1:7">
      <c r="A1909" s="1">
        <v>45139</v>
      </c>
      <c r="B1909">
        <v>59048</v>
      </c>
      <c r="C1909">
        <f>_xlfn.XLOOKUP(A1909, USD!A:A, USD!B:B, "")</f>
        <v>82.34</v>
      </c>
      <c r="D1909">
        <f>_xlfn.XLOOKUP(A1909, Brent!A:A, Brent!B:B, "")</f>
        <v>85.34</v>
      </c>
      <c r="E1909">
        <f>_xlfn.XLOOKUP(
  A1909,
  Repo!A:A,
  Repo!B:B,
  "",
  -1
)</f>
        <v>6.5</v>
      </c>
      <c r="F1909" s="10">
        <f>_xlfn.XLOOKUP(
  A1909,
  CPI!D:D,
  CPI!C:C,
  "",
  -1
)</f>
        <v>6.83</v>
      </c>
      <c r="G1909">
        <v>59628</v>
      </c>
    </row>
    <row r="1910" spans="1:7">
      <c r="A1910" s="1">
        <v>45140</v>
      </c>
      <c r="B1910">
        <v>59117</v>
      </c>
      <c r="C1910">
        <f>_xlfn.XLOOKUP(A1910, USD!A:A, USD!B:B, "")</f>
        <v>82.73</v>
      </c>
      <c r="D1910">
        <f>_xlfn.XLOOKUP(A1910, Brent!A:A, Brent!B:B, "")</f>
        <v>84.01</v>
      </c>
      <c r="E1910">
        <f>_xlfn.XLOOKUP(
  A1910,
  Repo!A:A,
  Repo!B:B,
  "",
  -1
)</f>
        <v>6.5</v>
      </c>
      <c r="F1910" s="10">
        <f>_xlfn.XLOOKUP(
  A1910,
  CPI!D:D,
  CPI!C:C,
  "",
  -1
)</f>
        <v>6.83</v>
      </c>
      <c r="G1910">
        <v>59048</v>
      </c>
    </row>
    <row r="1911" spans="1:7">
      <c r="A1911" s="1">
        <v>45141</v>
      </c>
      <c r="B1911">
        <v>59078</v>
      </c>
      <c r="C1911">
        <f>_xlfn.XLOOKUP(A1911, USD!A:A, USD!B:B, "")</f>
        <v>82.75</v>
      </c>
      <c r="D1911">
        <f>_xlfn.XLOOKUP(A1911, Brent!A:A, Brent!B:B, "")</f>
        <v>86.19</v>
      </c>
      <c r="E1911">
        <f>_xlfn.XLOOKUP(
  A1911,
  Repo!A:A,
  Repo!B:B,
  "",
  -1
)</f>
        <v>6.5</v>
      </c>
      <c r="F1911" s="10">
        <f>_xlfn.XLOOKUP(
  A1911,
  CPI!D:D,
  CPI!C:C,
  "",
  -1
)</f>
        <v>6.83</v>
      </c>
      <c r="G1911">
        <v>59117</v>
      </c>
    </row>
    <row r="1912" spans="1:7">
      <c r="A1912" s="1">
        <v>45142</v>
      </c>
      <c r="B1912">
        <v>59124</v>
      </c>
      <c r="C1912">
        <f>_xlfn.XLOOKUP(A1912, USD!A:A, USD!B:B, "")</f>
        <v>82.668000000000006</v>
      </c>
      <c r="D1912">
        <f>_xlfn.XLOOKUP(A1912, Brent!A:A, Brent!B:B, "")</f>
        <v>87.38</v>
      </c>
      <c r="E1912">
        <f>_xlfn.XLOOKUP(
  A1912,
  Repo!A:A,
  Repo!B:B,
  "",
  -1
)</f>
        <v>6.5</v>
      </c>
      <c r="F1912" s="10">
        <f>_xlfn.XLOOKUP(
  A1912,
  CPI!D:D,
  CPI!C:C,
  "",
  -1
)</f>
        <v>6.83</v>
      </c>
      <c r="G1912">
        <v>59078</v>
      </c>
    </row>
    <row r="1913" spans="1:7">
      <c r="A1913" s="1">
        <v>45145</v>
      </c>
      <c r="B1913">
        <v>59201</v>
      </c>
      <c r="C1913">
        <f>_xlfn.XLOOKUP(A1913, USD!A:A, USD!B:B, "")</f>
        <v>82.75</v>
      </c>
      <c r="D1913">
        <f>_xlfn.XLOOKUP(A1913, Brent!A:A, Brent!B:B, "")</f>
        <v>86.47</v>
      </c>
      <c r="E1913">
        <f>_xlfn.XLOOKUP(
  A1913,
  Repo!A:A,
  Repo!B:B,
  "",
  -1
)</f>
        <v>6.5</v>
      </c>
      <c r="F1913" s="10">
        <f>_xlfn.XLOOKUP(
  A1913,
  CPI!D:D,
  CPI!C:C,
  "",
  -1
)</f>
        <v>6.83</v>
      </c>
      <c r="G1913">
        <v>59124</v>
      </c>
    </row>
    <row r="1914" spans="1:7">
      <c r="A1914" s="1">
        <v>45146</v>
      </c>
      <c r="B1914">
        <v>58997</v>
      </c>
      <c r="C1914">
        <f>_xlfn.XLOOKUP(A1914, USD!A:A, USD!B:B, "")</f>
        <v>82.852999999999994</v>
      </c>
      <c r="D1914">
        <f>_xlfn.XLOOKUP(A1914, Brent!A:A, Brent!B:B, "")</f>
        <v>88</v>
      </c>
      <c r="E1914">
        <f>_xlfn.XLOOKUP(
  A1914,
  Repo!A:A,
  Repo!B:B,
  "",
  -1
)</f>
        <v>6.5</v>
      </c>
      <c r="F1914" s="10">
        <f>_xlfn.XLOOKUP(
  A1914,
  CPI!D:D,
  CPI!C:C,
  "",
  -1
)</f>
        <v>6.83</v>
      </c>
      <c r="G1914">
        <v>59201</v>
      </c>
    </row>
    <row r="1915" spans="1:7">
      <c r="A1915" s="1">
        <v>45147</v>
      </c>
      <c r="B1915">
        <v>58719</v>
      </c>
      <c r="C1915">
        <f>_xlfn.XLOOKUP(A1915, USD!A:A, USD!B:B, "")</f>
        <v>82.843999999999994</v>
      </c>
      <c r="D1915">
        <f>_xlfn.XLOOKUP(A1915, Brent!A:A, Brent!B:B, "")</f>
        <v>89.31</v>
      </c>
      <c r="E1915">
        <f>_xlfn.XLOOKUP(
  A1915,
  Repo!A:A,
  Repo!B:B,
  "",
  -1
)</f>
        <v>6.5</v>
      </c>
      <c r="F1915" s="10">
        <f>_xlfn.XLOOKUP(
  A1915,
  CPI!D:D,
  CPI!C:C,
  "",
  -1
)</f>
        <v>6.83</v>
      </c>
      <c r="G1915">
        <v>58997</v>
      </c>
    </row>
    <row r="1916" spans="1:7">
      <c r="A1916" s="1">
        <v>45148</v>
      </c>
      <c r="B1916">
        <v>58605</v>
      </c>
      <c r="C1916">
        <f>_xlfn.XLOOKUP(A1916, USD!A:A, USD!B:B, "")</f>
        <v>82.616</v>
      </c>
      <c r="D1916">
        <f>_xlfn.XLOOKUP(A1916, Brent!A:A, Brent!B:B, "")</f>
        <v>87.44</v>
      </c>
      <c r="E1916">
        <f>_xlfn.XLOOKUP(
  A1916,
  Repo!A:A,
  Repo!B:B,
  "",
  -1
)</f>
        <v>6.5</v>
      </c>
      <c r="F1916" s="10">
        <f>_xlfn.XLOOKUP(
  A1916,
  CPI!D:D,
  CPI!C:C,
  "",
  -1
)</f>
        <v>6.83</v>
      </c>
      <c r="G1916">
        <v>58719</v>
      </c>
    </row>
    <row r="1917" spans="1:7">
      <c r="A1917" s="1">
        <v>45149</v>
      </c>
      <c r="B1917">
        <v>58629</v>
      </c>
      <c r="C1917">
        <f>_xlfn.XLOOKUP(A1917, USD!A:A, USD!B:B, "")</f>
        <v>82.87</v>
      </c>
      <c r="D1917">
        <f>_xlfn.XLOOKUP(A1917, Brent!A:A, Brent!B:B, "")</f>
        <v>87.93</v>
      </c>
      <c r="E1917">
        <f>_xlfn.XLOOKUP(
  A1917,
  Repo!A:A,
  Repo!B:B,
  "",
  -1
)</f>
        <v>6.5</v>
      </c>
      <c r="F1917" s="10">
        <f>_xlfn.XLOOKUP(
  A1917,
  CPI!D:D,
  CPI!C:C,
  "",
  -1
)</f>
        <v>6.83</v>
      </c>
      <c r="G1917">
        <v>58605</v>
      </c>
    </row>
    <row r="1918" spans="1:7">
      <c r="A1918" s="1">
        <v>45152</v>
      </c>
      <c r="B1918">
        <v>58663</v>
      </c>
      <c r="C1918">
        <f>_xlfn.XLOOKUP(A1918, USD!A:A, USD!B:B, "")</f>
        <v>83.17</v>
      </c>
      <c r="D1918">
        <f>_xlfn.XLOOKUP(A1918, Brent!A:A, Brent!B:B, "")</f>
        <v>87.4</v>
      </c>
      <c r="E1918">
        <f>_xlfn.XLOOKUP(
  A1918,
  Repo!A:A,
  Repo!B:B,
  "",
  -1
)</f>
        <v>6.5</v>
      </c>
      <c r="F1918" s="10">
        <f>_xlfn.XLOOKUP(
  A1918,
  CPI!D:D,
  CPI!C:C,
  "",
  -1
)</f>
        <v>6.83</v>
      </c>
      <c r="G1918">
        <v>58629</v>
      </c>
    </row>
    <row r="1919" spans="1:7">
      <c r="A1919" s="1">
        <v>45154</v>
      </c>
      <c r="B1919">
        <v>58413</v>
      </c>
      <c r="C1919">
        <f>_xlfn.XLOOKUP(A1919, USD!A:A, USD!B:B, "")</f>
        <v>83.209000000000003</v>
      </c>
      <c r="D1919">
        <f>_xlfn.XLOOKUP(A1919, Brent!A:A, Brent!B:B, "")</f>
        <v>84.49</v>
      </c>
      <c r="E1919">
        <f>_xlfn.XLOOKUP(
  A1919,
  Repo!A:A,
  Repo!B:B,
  "",
  -1
)</f>
        <v>6.5</v>
      </c>
      <c r="F1919" s="10">
        <f>_xlfn.XLOOKUP(
  A1919,
  CPI!D:D,
  CPI!C:C,
  "",
  -1
)</f>
        <v>6.83</v>
      </c>
      <c r="G1919">
        <v>58663</v>
      </c>
    </row>
    <row r="1920" spans="1:7">
      <c r="A1920" s="1">
        <v>45155</v>
      </c>
      <c r="B1920">
        <v>58027</v>
      </c>
      <c r="C1920">
        <f>_xlfn.XLOOKUP(A1920, USD!A:A, USD!B:B, "")</f>
        <v>83.13</v>
      </c>
      <c r="D1920">
        <f>_xlfn.XLOOKUP(A1920, Brent!A:A, Brent!B:B, "")</f>
        <v>85.24</v>
      </c>
      <c r="E1920">
        <f>_xlfn.XLOOKUP(
  A1920,
  Repo!A:A,
  Repo!B:B,
  "",
  -1
)</f>
        <v>6.5</v>
      </c>
      <c r="F1920" s="10">
        <f>_xlfn.XLOOKUP(
  A1920,
  CPI!D:D,
  CPI!C:C,
  "",
  -1
)</f>
        <v>6.83</v>
      </c>
      <c r="G1920">
        <v>58413</v>
      </c>
    </row>
    <row r="1921" spans="1:7">
      <c r="A1921" s="1">
        <v>45156</v>
      </c>
      <c r="B1921">
        <v>58098</v>
      </c>
      <c r="C1921">
        <f>_xlfn.XLOOKUP(A1921, USD!A:A, USD!B:B, "")</f>
        <v>83.14</v>
      </c>
      <c r="D1921">
        <f>_xlfn.XLOOKUP(A1921, Brent!A:A, Brent!B:B, "")</f>
        <v>85.92</v>
      </c>
      <c r="E1921">
        <f>_xlfn.XLOOKUP(
  A1921,
  Repo!A:A,
  Repo!B:B,
  "",
  -1
)</f>
        <v>6.5</v>
      </c>
      <c r="F1921" s="10">
        <f>_xlfn.XLOOKUP(
  A1921,
  CPI!D:D,
  CPI!C:C,
  "",
  -1
)</f>
        <v>6.83</v>
      </c>
      <c r="G1921">
        <v>58027</v>
      </c>
    </row>
    <row r="1922" spans="1:7">
      <c r="A1922" s="1">
        <v>45159</v>
      </c>
      <c r="B1922">
        <v>58164</v>
      </c>
      <c r="C1922">
        <f>_xlfn.XLOOKUP(A1922, USD!A:A, USD!B:B, "")</f>
        <v>83.09</v>
      </c>
      <c r="D1922">
        <f>_xlfn.XLOOKUP(A1922, Brent!A:A, Brent!B:B, "")</f>
        <v>85.44</v>
      </c>
      <c r="E1922">
        <f>_xlfn.XLOOKUP(
  A1922,
  Repo!A:A,
  Repo!B:B,
  "",
  -1
)</f>
        <v>6.5</v>
      </c>
      <c r="F1922" s="10">
        <f>_xlfn.XLOOKUP(
  A1922,
  CPI!D:D,
  CPI!C:C,
  "",
  -1
)</f>
        <v>6.83</v>
      </c>
      <c r="G1922">
        <v>58098</v>
      </c>
    </row>
    <row r="1923" spans="1:7">
      <c r="A1923" s="1">
        <v>45160</v>
      </c>
      <c r="B1923">
        <v>58221</v>
      </c>
      <c r="C1923">
        <f>_xlfn.XLOOKUP(A1923, USD!A:A, USD!B:B, "")</f>
        <v>83.04</v>
      </c>
      <c r="D1923">
        <f>_xlfn.XLOOKUP(A1923, Brent!A:A, Brent!B:B, "")</f>
        <v>84.7</v>
      </c>
      <c r="E1923">
        <f>_xlfn.XLOOKUP(
  A1923,
  Repo!A:A,
  Repo!B:B,
  "",
  -1
)</f>
        <v>6.5</v>
      </c>
      <c r="F1923" s="10">
        <f>_xlfn.XLOOKUP(
  A1923,
  CPI!D:D,
  CPI!C:C,
  "",
  -1
)</f>
        <v>6.83</v>
      </c>
      <c r="G1923">
        <v>58164</v>
      </c>
    </row>
    <row r="1924" spans="1:7">
      <c r="A1924" s="1">
        <v>45161</v>
      </c>
      <c r="B1924">
        <v>58430</v>
      </c>
      <c r="C1924">
        <f>_xlfn.XLOOKUP(A1924, USD!A:A, USD!B:B, "")</f>
        <v>82.507999999999996</v>
      </c>
      <c r="D1924">
        <f>_xlfn.XLOOKUP(A1924, Brent!A:A, Brent!B:B, "")</f>
        <v>83.94</v>
      </c>
      <c r="E1924">
        <f>_xlfn.XLOOKUP(
  A1924,
  Repo!A:A,
  Repo!B:B,
  "",
  -1
)</f>
        <v>6.5</v>
      </c>
      <c r="F1924" s="10">
        <f>_xlfn.XLOOKUP(
  A1924,
  CPI!D:D,
  CPI!C:C,
  "",
  -1
)</f>
        <v>6.83</v>
      </c>
      <c r="G1924">
        <v>58221</v>
      </c>
    </row>
    <row r="1925" spans="1:7">
      <c r="A1925" s="1">
        <v>45162</v>
      </c>
      <c r="B1925">
        <v>58436</v>
      </c>
      <c r="C1925">
        <f>_xlfn.XLOOKUP(A1925, USD!A:A, USD!B:B, "")</f>
        <v>82.58</v>
      </c>
      <c r="D1925">
        <f>_xlfn.XLOOKUP(A1925, Brent!A:A, Brent!B:B, "")</f>
        <v>84.07</v>
      </c>
      <c r="E1925">
        <f>_xlfn.XLOOKUP(
  A1925,
  Repo!A:A,
  Repo!B:B,
  "",
  -1
)</f>
        <v>6.5</v>
      </c>
      <c r="F1925" s="10">
        <f>_xlfn.XLOOKUP(
  A1925,
  CPI!D:D,
  CPI!C:C,
  "",
  -1
)</f>
        <v>6.83</v>
      </c>
      <c r="G1925">
        <v>58430</v>
      </c>
    </row>
    <row r="1926" spans="1:7">
      <c r="A1926" s="1">
        <v>45163</v>
      </c>
      <c r="B1926">
        <v>58273</v>
      </c>
      <c r="C1926">
        <f>_xlfn.XLOOKUP(A1926, USD!A:A, USD!B:B, "")</f>
        <v>82.637</v>
      </c>
      <c r="D1926">
        <f>_xlfn.XLOOKUP(A1926, Brent!A:A, Brent!B:B, "")</f>
        <v>85.42</v>
      </c>
      <c r="E1926">
        <f>_xlfn.XLOOKUP(
  A1926,
  Repo!A:A,
  Repo!B:B,
  "",
  -1
)</f>
        <v>6.5</v>
      </c>
      <c r="F1926" s="10">
        <f>_xlfn.XLOOKUP(
  A1926,
  CPI!D:D,
  CPI!C:C,
  "",
  -1
)</f>
        <v>6.83</v>
      </c>
      <c r="G1926">
        <v>58436</v>
      </c>
    </row>
    <row r="1927" spans="1:7">
      <c r="A1927" s="1">
        <v>45167</v>
      </c>
      <c r="B1927">
        <v>58843</v>
      </c>
      <c r="C1927">
        <f>_xlfn.XLOOKUP(A1927, USD!A:A, USD!B:B, "")</f>
        <v>82.573999999999998</v>
      </c>
      <c r="D1927">
        <f>_xlfn.XLOOKUP(A1927, Brent!A:A, Brent!B:B, "")</f>
        <v>86.37</v>
      </c>
      <c r="E1927">
        <f>_xlfn.XLOOKUP(
  A1927,
  Repo!A:A,
  Repo!B:B,
  "",
  -1
)</f>
        <v>6.5</v>
      </c>
      <c r="F1927" s="10">
        <f>_xlfn.XLOOKUP(
  A1927,
  CPI!D:D,
  CPI!C:C,
  "",
  -1
)</f>
        <v>6.83</v>
      </c>
      <c r="G1927">
        <v>58273</v>
      </c>
    </row>
    <row r="1928" spans="1:7">
      <c r="A1928" s="1">
        <v>45168</v>
      </c>
      <c r="B1928">
        <v>59117</v>
      </c>
      <c r="C1928">
        <f>_xlfn.XLOOKUP(A1928, USD!A:A, USD!B:B, "")</f>
        <v>82.606999999999999</v>
      </c>
      <c r="D1928">
        <f>_xlfn.XLOOKUP(A1928, Brent!A:A, Brent!B:B, "")</f>
        <v>86.62</v>
      </c>
      <c r="E1928">
        <f>_xlfn.XLOOKUP(
  A1928,
  Repo!A:A,
  Repo!B:B,
  "",
  -1
)</f>
        <v>6.5</v>
      </c>
      <c r="F1928" s="10">
        <f>_xlfn.XLOOKUP(
  A1928,
  CPI!D:D,
  CPI!C:C,
  "",
  -1
)</f>
        <v>6.83</v>
      </c>
      <c r="G1928">
        <v>58843</v>
      </c>
    </row>
    <row r="1929" spans="1:7">
      <c r="A1929" s="1">
        <v>45169</v>
      </c>
      <c r="B1929">
        <v>59113</v>
      </c>
      <c r="C1929">
        <f>_xlfn.XLOOKUP(A1929, USD!A:A, USD!B:B, "")</f>
        <v>82.701999999999998</v>
      </c>
      <c r="D1929">
        <f>_xlfn.XLOOKUP(A1929, Brent!A:A, Brent!B:B, "")</f>
        <v>87.29</v>
      </c>
      <c r="E1929">
        <f>_xlfn.XLOOKUP(
  A1929,
  Repo!A:A,
  Repo!B:B,
  "",
  -1
)</f>
        <v>6.5</v>
      </c>
      <c r="F1929" s="10">
        <f>_xlfn.XLOOKUP(
  A1929,
  CPI!D:D,
  CPI!C:C,
  "",
  -1
)</f>
        <v>6.83</v>
      </c>
      <c r="G1929">
        <v>59117</v>
      </c>
    </row>
    <row r="1930" spans="1:7">
      <c r="A1930" s="1">
        <v>45170</v>
      </c>
      <c r="B1930">
        <v>59106</v>
      </c>
      <c r="C1930">
        <f>_xlfn.XLOOKUP(A1930, USD!A:A, USD!B:B, "")</f>
        <v>82.688999999999993</v>
      </c>
      <c r="D1930">
        <f>_xlfn.XLOOKUP(A1930, Brent!A:A, Brent!B:B, "")</f>
        <v>89.98</v>
      </c>
      <c r="E1930">
        <f>_xlfn.XLOOKUP(
  A1930,
  Repo!A:A,
  Repo!B:B,
  "",
  -1
)</f>
        <v>6.5</v>
      </c>
      <c r="F1930" s="10">
        <f>_xlfn.XLOOKUP(
  A1930,
  CPI!D:D,
  CPI!C:C,
  "",
  -1
)</f>
        <v>5.0199999999999996</v>
      </c>
      <c r="G1930">
        <v>59113</v>
      </c>
    </row>
    <row r="1931" spans="1:7">
      <c r="A1931" s="1">
        <v>45173</v>
      </c>
      <c r="B1931">
        <v>59385</v>
      </c>
      <c r="C1931">
        <f>_xlfn.XLOOKUP(A1931, USD!A:A, USD!B:B, "")</f>
        <v>82.715000000000003</v>
      </c>
      <c r="D1931">
        <f>_xlfn.XLOOKUP(A1931, Brent!A:A, Brent!B:B, "")</f>
        <v>90.42</v>
      </c>
      <c r="E1931">
        <f>_xlfn.XLOOKUP(
  A1931,
  Repo!A:A,
  Repo!B:B,
  "",
  -1
)</f>
        <v>6.5</v>
      </c>
      <c r="F1931" s="10">
        <f>_xlfn.XLOOKUP(
  A1931,
  CPI!D:D,
  CPI!C:C,
  "",
  -1
)</f>
        <v>5.0199999999999996</v>
      </c>
      <c r="G1931">
        <v>59106</v>
      </c>
    </row>
    <row r="1932" spans="1:7">
      <c r="A1932" s="1">
        <v>45174</v>
      </c>
      <c r="B1932">
        <v>59301</v>
      </c>
      <c r="C1932">
        <f>_xlfn.XLOOKUP(A1932, USD!A:A, USD!B:B, "")</f>
        <v>83.033000000000001</v>
      </c>
      <c r="D1932">
        <f>_xlfn.XLOOKUP(A1932, Brent!A:A, Brent!B:B, "")</f>
        <v>91.25</v>
      </c>
      <c r="E1932">
        <f>_xlfn.XLOOKUP(
  A1932,
  Repo!A:A,
  Repo!B:B,
  "",
  -1
)</f>
        <v>6.5</v>
      </c>
      <c r="F1932" s="10">
        <f>_xlfn.XLOOKUP(
  A1932,
  CPI!D:D,
  CPI!C:C,
  "",
  -1
)</f>
        <v>5.0199999999999996</v>
      </c>
      <c r="G1932">
        <v>59385</v>
      </c>
    </row>
    <row r="1933" spans="1:7">
      <c r="A1933" s="1">
        <v>45175</v>
      </c>
      <c r="B1933">
        <v>59111</v>
      </c>
      <c r="C1933">
        <f>_xlfn.XLOOKUP(A1933, USD!A:A, USD!B:B, "")</f>
        <v>83.197000000000003</v>
      </c>
      <c r="D1933">
        <f>_xlfn.XLOOKUP(A1933, Brent!A:A, Brent!B:B, "")</f>
        <v>91.79</v>
      </c>
      <c r="E1933">
        <f>_xlfn.XLOOKUP(
  A1933,
  Repo!A:A,
  Repo!B:B,
  "",
  -1
)</f>
        <v>6.5</v>
      </c>
      <c r="F1933" s="10">
        <f>_xlfn.XLOOKUP(
  A1933,
  CPI!D:D,
  CPI!C:C,
  "",
  -1
)</f>
        <v>5.0199999999999996</v>
      </c>
      <c r="G1933">
        <v>59301</v>
      </c>
    </row>
    <row r="1934" spans="1:7">
      <c r="A1934" s="1">
        <v>45176</v>
      </c>
      <c r="B1934">
        <v>59016</v>
      </c>
      <c r="C1934">
        <f>_xlfn.XLOOKUP(A1934, USD!A:A, USD!B:B, "")</f>
        <v>83.15</v>
      </c>
      <c r="D1934">
        <f>_xlfn.XLOOKUP(A1934, Brent!A:A, Brent!B:B, "")</f>
        <v>91.16</v>
      </c>
      <c r="E1934">
        <f>_xlfn.XLOOKUP(
  A1934,
  Repo!A:A,
  Repo!B:B,
  "",
  -1
)</f>
        <v>6.5</v>
      </c>
      <c r="F1934" s="10">
        <f>_xlfn.XLOOKUP(
  A1934,
  CPI!D:D,
  CPI!C:C,
  "",
  -1
)</f>
        <v>5.0199999999999996</v>
      </c>
      <c r="G1934">
        <v>59111</v>
      </c>
    </row>
    <row r="1935" spans="1:7">
      <c r="A1935" s="1">
        <v>45177</v>
      </c>
      <c r="B1935">
        <v>58905</v>
      </c>
      <c r="C1935">
        <f>_xlfn.XLOOKUP(A1935, USD!A:A, USD!B:B, "")</f>
        <v>83.004000000000005</v>
      </c>
      <c r="D1935">
        <f>_xlfn.XLOOKUP(A1935, Brent!A:A, Brent!B:B, "")</f>
        <v>91.85</v>
      </c>
      <c r="E1935">
        <f>_xlfn.XLOOKUP(
  A1935,
  Repo!A:A,
  Repo!B:B,
  "",
  -1
)</f>
        <v>6.5</v>
      </c>
      <c r="F1935" s="10">
        <f>_xlfn.XLOOKUP(
  A1935,
  CPI!D:D,
  CPI!C:C,
  "",
  -1
)</f>
        <v>5.0199999999999996</v>
      </c>
      <c r="G1935">
        <v>59016</v>
      </c>
    </row>
    <row r="1936" spans="1:7">
      <c r="A1936" s="1">
        <v>45180</v>
      </c>
      <c r="B1936">
        <v>58941</v>
      </c>
      <c r="C1936">
        <f>_xlfn.XLOOKUP(A1936, USD!A:A, USD!B:B, "")</f>
        <v>82.9</v>
      </c>
      <c r="D1936">
        <f>_xlfn.XLOOKUP(A1936, Brent!A:A, Brent!B:B, "")</f>
        <v>91.97</v>
      </c>
      <c r="E1936">
        <f>_xlfn.XLOOKUP(
  A1936,
  Repo!A:A,
  Repo!B:B,
  "",
  -1
)</f>
        <v>6.5</v>
      </c>
      <c r="F1936" s="10">
        <f>_xlfn.XLOOKUP(
  A1936,
  CPI!D:D,
  CPI!C:C,
  "",
  -1
)</f>
        <v>5.0199999999999996</v>
      </c>
      <c r="G1936">
        <v>58905</v>
      </c>
    </row>
    <row r="1937" spans="1:7">
      <c r="A1937" s="1">
        <v>45181</v>
      </c>
      <c r="B1937">
        <v>58642</v>
      </c>
      <c r="C1937">
        <f>_xlfn.XLOOKUP(A1937, USD!A:A, USD!B:B, "")</f>
        <v>82.85</v>
      </c>
      <c r="D1937">
        <f>_xlfn.XLOOKUP(A1937, Brent!A:A, Brent!B:B, "")</f>
        <v>93.58</v>
      </c>
      <c r="E1937">
        <f>_xlfn.XLOOKUP(
  A1937,
  Repo!A:A,
  Repo!B:B,
  "",
  -1
)</f>
        <v>6.5</v>
      </c>
      <c r="F1937" s="10">
        <f>_xlfn.XLOOKUP(
  A1937,
  CPI!D:D,
  CPI!C:C,
  "",
  -1
)</f>
        <v>5.0199999999999996</v>
      </c>
      <c r="G1937">
        <v>58941</v>
      </c>
    </row>
    <row r="1938" spans="1:7">
      <c r="A1938" s="1">
        <v>45182</v>
      </c>
      <c r="B1938">
        <v>58610</v>
      </c>
      <c r="C1938">
        <f>_xlfn.XLOOKUP(A1938, USD!A:A, USD!B:B, "")</f>
        <v>82.933999999999997</v>
      </c>
      <c r="D1938">
        <f>_xlfn.XLOOKUP(A1938, Brent!A:A, Brent!B:B, "")</f>
        <v>93.04</v>
      </c>
      <c r="E1938">
        <f>_xlfn.XLOOKUP(
  A1938,
  Repo!A:A,
  Repo!B:B,
  "",
  -1
)</f>
        <v>6.5</v>
      </c>
      <c r="F1938" s="10">
        <f>_xlfn.XLOOKUP(
  A1938,
  CPI!D:D,
  CPI!C:C,
  "",
  -1
)</f>
        <v>5.0199999999999996</v>
      </c>
      <c r="G1938">
        <v>58642</v>
      </c>
    </row>
    <row r="1939" spans="1:7">
      <c r="A1939" s="1">
        <v>45183</v>
      </c>
      <c r="B1939">
        <v>58608</v>
      </c>
      <c r="C1939">
        <f>_xlfn.XLOOKUP(A1939, USD!A:A, USD!B:B, "")</f>
        <v>83.01</v>
      </c>
      <c r="D1939">
        <f>_xlfn.XLOOKUP(A1939, Brent!A:A, Brent!B:B, "")</f>
        <v>95.2</v>
      </c>
      <c r="E1939">
        <f>_xlfn.XLOOKUP(
  A1939,
  Repo!A:A,
  Repo!B:B,
  "",
  -1
)</f>
        <v>6.5</v>
      </c>
      <c r="F1939" s="10">
        <f>_xlfn.XLOOKUP(
  A1939,
  CPI!D:D,
  CPI!C:C,
  "",
  -1
)</f>
        <v>5.0199999999999996</v>
      </c>
      <c r="G1939">
        <v>58610</v>
      </c>
    </row>
    <row r="1940" spans="1:7">
      <c r="A1940" s="1">
        <v>45184</v>
      </c>
      <c r="B1940">
        <v>58992</v>
      </c>
      <c r="C1940">
        <f>_xlfn.XLOOKUP(A1940, USD!A:A, USD!B:B, "")</f>
        <v>83.069000000000003</v>
      </c>
      <c r="D1940">
        <f>_xlfn.XLOOKUP(A1940, Brent!A:A, Brent!B:B, "")</f>
        <v>95.55</v>
      </c>
      <c r="E1940">
        <f>_xlfn.XLOOKUP(
  A1940,
  Repo!A:A,
  Repo!B:B,
  "",
  -1
)</f>
        <v>6.5</v>
      </c>
      <c r="F1940" s="10">
        <f>_xlfn.XLOOKUP(
  A1940,
  CPI!D:D,
  CPI!C:C,
  "",
  -1
)</f>
        <v>5.0199999999999996</v>
      </c>
      <c r="G1940">
        <v>58608</v>
      </c>
    </row>
    <row r="1941" spans="1:7">
      <c r="A1941" s="1">
        <v>45187</v>
      </c>
      <c r="B1941">
        <v>59212</v>
      </c>
      <c r="C1941">
        <f>_xlfn.XLOOKUP(A1941, USD!A:A, USD!B:B, "")</f>
        <v>83.27</v>
      </c>
      <c r="D1941">
        <f>_xlfn.XLOOKUP(A1941, Brent!A:A, Brent!B:B, "")</f>
        <v>95.95</v>
      </c>
      <c r="E1941">
        <f>_xlfn.XLOOKUP(
  A1941,
  Repo!A:A,
  Repo!B:B,
  "",
  -1
)</f>
        <v>6.5</v>
      </c>
      <c r="F1941" s="10">
        <f>_xlfn.XLOOKUP(
  A1941,
  CPI!D:D,
  CPI!C:C,
  "",
  -1
)</f>
        <v>5.0199999999999996</v>
      </c>
      <c r="G1941">
        <v>58992</v>
      </c>
    </row>
    <row r="1942" spans="1:7">
      <c r="A1942" s="1">
        <v>45188</v>
      </c>
      <c r="B1942">
        <v>59265</v>
      </c>
      <c r="C1942">
        <f>_xlfn.XLOOKUP(A1942, USD!A:A, USD!B:B, "")</f>
        <v>83.31</v>
      </c>
      <c r="D1942">
        <f>_xlfn.XLOOKUP(A1942, Brent!A:A, Brent!B:B, "")</f>
        <v>96.11</v>
      </c>
      <c r="E1942">
        <f>_xlfn.XLOOKUP(
  A1942,
  Repo!A:A,
  Repo!B:B,
  "",
  -1
)</f>
        <v>6.5</v>
      </c>
      <c r="F1942" s="10">
        <f>_xlfn.XLOOKUP(
  A1942,
  CPI!D:D,
  CPI!C:C,
  "",
  -1
)</f>
        <v>5.0199999999999996</v>
      </c>
      <c r="G1942">
        <v>59212</v>
      </c>
    </row>
    <row r="1943" spans="1:7">
      <c r="A1943" s="1">
        <v>45189</v>
      </c>
      <c r="B1943">
        <v>59363</v>
      </c>
      <c r="C1943">
        <f>_xlfn.XLOOKUP(A1943, USD!A:A, USD!B:B, "")</f>
        <v>82.92</v>
      </c>
      <c r="D1943">
        <f>_xlfn.XLOOKUP(A1943, Brent!A:A, Brent!B:B, "")</f>
        <v>94.56</v>
      </c>
      <c r="E1943">
        <f>_xlfn.XLOOKUP(
  A1943,
  Repo!A:A,
  Repo!B:B,
  "",
  -1
)</f>
        <v>6.5</v>
      </c>
      <c r="F1943" s="10">
        <f>_xlfn.XLOOKUP(
  A1943,
  CPI!D:D,
  CPI!C:C,
  "",
  -1
)</f>
        <v>5.0199999999999996</v>
      </c>
      <c r="G1943">
        <v>59265</v>
      </c>
    </row>
    <row r="1944" spans="1:7">
      <c r="A1944" s="1">
        <v>45190</v>
      </c>
      <c r="B1944">
        <v>58853</v>
      </c>
      <c r="C1944">
        <f>_xlfn.XLOOKUP(A1944, USD!A:A, USD!B:B, "")</f>
        <v>83.102000000000004</v>
      </c>
      <c r="D1944">
        <f>_xlfn.XLOOKUP(A1944, Brent!A:A, Brent!B:B, "")</f>
        <v>93.7</v>
      </c>
      <c r="E1944">
        <f>_xlfn.XLOOKUP(
  A1944,
  Repo!A:A,
  Repo!B:B,
  "",
  -1
)</f>
        <v>6.5</v>
      </c>
      <c r="F1944" s="10">
        <f>_xlfn.XLOOKUP(
  A1944,
  CPI!D:D,
  CPI!C:C,
  "",
  -1
)</f>
        <v>5.0199999999999996</v>
      </c>
      <c r="G1944">
        <v>59363</v>
      </c>
    </row>
    <row r="1945" spans="1:7">
      <c r="A1945" s="1">
        <v>45191</v>
      </c>
      <c r="B1945">
        <v>58896</v>
      </c>
      <c r="C1945">
        <f>_xlfn.XLOOKUP(A1945, USD!A:A, USD!B:B, "")</f>
        <v>82.97</v>
      </c>
      <c r="D1945">
        <f>_xlfn.XLOOKUP(A1945, Brent!A:A, Brent!B:B, "")</f>
        <v>93.99</v>
      </c>
      <c r="E1945">
        <f>_xlfn.XLOOKUP(
  A1945,
  Repo!A:A,
  Repo!B:B,
  "",
  -1
)</f>
        <v>6.5</v>
      </c>
      <c r="F1945" s="10">
        <f>_xlfn.XLOOKUP(
  A1945,
  CPI!D:D,
  CPI!C:C,
  "",
  -1
)</f>
        <v>5.0199999999999996</v>
      </c>
      <c r="G1945">
        <v>58853</v>
      </c>
    </row>
    <row r="1946" spans="1:7">
      <c r="A1946" s="1">
        <v>45194</v>
      </c>
      <c r="B1946">
        <v>58707</v>
      </c>
      <c r="C1946">
        <f>_xlfn.XLOOKUP(A1946, USD!A:A, USD!B:B, "")</f>
        <v>83.13</v>
      </c>
      <c r="D1946">
        <f>_xlfn.XLOOKUP(A1946, Brent!A:A, Brent!B:B, "")</f>
        <v>94.01</v>
      </c>
      <c r="E1946">
        <f>_xlfn.XLOOKUP(
  A1946,
  Repo!A:A,
  Repo!B:B,
  "",
  -1
)</f>
        <v>6.5</v>
      </c>
      <c r="F1946" s="10">
        <f>_xlfn.XLOOKUP(
  A1946,
  CPI!D:D,
  CPI!C:C,
  "",
  -1
)</f>
        <v>5.0199999999999996</v>
      </c>
      <c r="G1946">
        <v>58896</v>
      </c>
    </row>
    <row r="1947" spans="1:7">
      <c r="A1947" s="1">
        <v>45195</v>
      </c>
      <c r="B1947">
        <v>58478</v>
      </c>
      <c r="C1947">
        <f>_xlfn.XLOOKUP(A1947, USD!A:A, USD!B:B, "")</f>
        <v>83.23</v>
      </c>
      <c r="D1947">
        <f>_xlfn.XLOOKUP(A1947, Brent!A:A, Brent!B:B, "")</f>
        <v>94.46</v>
      </c>
      <c r="E1947">
        <f>_xlfn.XLOOKUP(
  A1947,
  Repo!A:A,
  Repo!B:B,
  "",
  -1
)</f>
        <v>6.5</v>
      </c>
      <c r="F1947" s="10">
        <f>_xlfn.XLOOKUP(
  A1947,
  CPI!D:D,
  CPI!C:C,
  "",
  -1
)</f>
        <v>5.0199999999999996</v>
      </c>
      <c r="G1947">
        <v>58707</v>
      </c>
    </row>
    <row r="1948" spans="1:7">
      <c r="A1948" s="1">
        <v>45196</v>
      </c>
      <c r="B1948">
        <v>57759</v>
      </c>
      <c r="C1948">
        <f>_xlfn.XLOOKUP(A1948, USD!A:A, USD!B:B, "")</f>
        <v>83.180999999999997</v>
      </c>
      <c r="D1948">
        <f>_xlfn.XLOOKUP(A1948, Brent!A:A, Brent!B:B, "")</f>
        <v>97.1</v>
      </c>
      <c r="E1948">
        <f>_xlfn.XLOOKUP(
  A1948,
  Repo!A:A,
  Repo!B:B,
  "",
  -1
)</f>
        <v>6.5</v>
      </c>
      <c r="F1948" s="10">
        <f>_xlfn.XLOOKUP(
  A1948,
  CPI!D:D,
  CPI!C:C,
  "",
  -1
)</f>
        <v>5.0199999999999996</v>
      </c>
      <c r="G1948">
        <v>58478</v>
      </c>
    </row>
    <row r="1949" spans="1:7">
      <c r="A1949" s="1">
        <v>45197</v>
      </c>
      <c r="B1949">
        <v>57146</v>
      </c>
      <c r="C1949">
        <f>_xlfn.XLOOKUP(A1949, USD!A:A, USD!B:B, "")</f>
        <v>83.15</v>
      </c>
      <c r="D1949">
        <f>_xlfn.XLOOKUP(A1949, Brent!A:A, Brent!B:B, "")</f>
        <v>96.64</v>
      </c>
      <c r="E1949">
        <f>_xlfn.XLOOKUP(
  A1949,
  Repo!A:A,
  Repo!B:B,
  "",
  -1
)</f>
        <v>6.5</v>
      </c>
      <c r="F1949" s="10">
        <f>_xlfn.XLOOKUP(
  A1949,
  CPI!D:D,
  CPI!C:C,
  "",
  -1
)</f>
        <v>5.0199999999999996</v>
      </c>
      <c r="G1949">
        <v>57759</v>
      </c>
    </row>
    <row r="1950" spans="1:7">
      <c r="A1950" s="1">
        <v>45198</v>
      </c>
      <c r="B1950">
        <v>57061</v>
      </c>
      <c r="C1950">
        <f>_xlfn.XLOOKUP(A1950, USD!A:A, USD!B:B, "")</f>
        <v>83.03</v>
      </c>
      <c r="D1950">
        <f>_xlfn.XLOOKUP(A1950, Brent!A:A, Brent!B:B, "")</f>
        <v>95.86</v>
      </c>
      <c r="E1950">
        <f>_xlfn.XLOOKUP(
  A1950,
  Repo!A:A,
  Repo!B:B,
  "",
  -1
)</f>
        <v>6.5</v>
      </c>
      <c r="F1950" s="10">
        <f>_xlfn.XLOOKUP(
  A1950,
  CPI!D:D,
  CPI!C:C,
  "",
  -1
)</f>
        <v>5.0199999999999996</v>
      </c>
      <c r="G1950">
        <v>57146</v>
      </c>
    </row>
    <row r="1951" spans="1:7">
      <c r="A1951" s="1">
        <v>45202</v>
      </c>
      <c r="B1951">
        <v>56385</v>
      </c>
      <c r="C1951">
        <f>_xlfn.XLOOKUP(A1951, USD!A:A, USD!B:B, "")</f>
        <v>83.213999999999999</v>
      </c>
      <c r="D1951">
        <f>_xlfn.XLOOKUP(A1951, Brent!A:A, Brent!B:B, "")</f>
        <v>94.46</v>
      </c>
      <c r="E1951">
        <f>_xlfn.XLOOKUP(
  A1951,
  Repo!A:A,
  Repo!B:B,
  "",
  -1
)</f>
        <v>6.5</v>
      </c>
      <c r="F1951" s="10">
        <f>_xlfn.XLOOKUP(
  A1951,
  CPI!D:D,
  CPI!C:C,
  "",
  -1
)</f>
        <v>4.87</v>
      </c>
      <c r="G1951">
        <v>57061</v>
      </c>
    </row>
    <row r="1952" spans="1:7">
      <c r="A1952" s="1">
        <v>45203</v>
      </c>
      <c r="B1952">
        <v>56229</v>
      </c>
      <c r="C1952">
        <f>_xlfn.XLOOKUP(A1952, USD!A:A, USD!B:B, "")</f>
        <v>83.25</v>
      </c>
      <c r="D1952">
        <f>_xlfn.XLOOKUP(A1952, Brent!A:A, Brent!B:B, "")</f>
        <v>89.83</v>
      </c>
      <c r="E1952">
        <f>_xlfn.XLOOKUP(
  A1952,
  Repo!A:A,
  Repo!B:B,
  "",
  -1
)</f>
        <v>6.5</v>
      </c>
      <c r="F1952" s="10">
        <f>_xlfn.XLOOKUP(
  A1952,
  CPI!D:D,
  CPI!C:C,
  "",
  -1
)</f>
        <v>4.87</v>
      </c>
      <c r="G1952">
        <v>56385</v>
      </c>
    </row>
    <row r="1953" spans="1:7">
      <c r="A1953" s="1">
        <v>45204</v>
      </c>
      <c r="B1953">
        <v>56112</v>
      </c>
      <c r="C1953">
        <f>_xlfn.XLOOKUP(A1953, USD!A:A, USD!B:B, "")</f>
        <v>83.2</v>
      </c>
      <c r="D1953">
        <f>_xlfn.XLOOKUP(A1953, Brent!A:A, Brent!B:B, "")</f>
        <v>88.28</v>
      </c>
      <c r="E1953">
        <f>_xlfn.XLOOKUP(
  A1953,
  Repo!A:A,
  Repo!B:B,
  "",
  -1
)</f>
        <v>6.5</v>
      </c>
      <c r="F1953" s="10">
        <f>_xlfn.XLOOKUP(
  A1953,
  CPI!D:D,
  CPI!C:C,
  "",
  -1
)</f>
        <v>4.87</v>
      </c>
      <c r="G1953">
        <v>56229</v>
      </c>
    </row>
    <row r="1954" spans="1:7">
      <c r="A1954" s="1">
        <v>45205</v>
      </c>
      <c r="B1954">
        <v>56582</v>
      </c>
      <c r="C1954">
        <f>_xlfn.XLOOKUP(A1954, USD!A:A, USD!B:B, "")</f>
        <v>83.117999999999995</v>
      </c>
      <c r="D1954">
        <f>_xlfn.XLOOKUP(A1954, Brent!A:A, Brent!B:B, "")</f>
        <v>87.86</v>
      </c>
      <c r="E1954">
        <f>_xlfn.XLOOKUP(
  A1954,
  Repo!A:A,
  Repo!B:B,
  "",
  -1
)</f>
        <v>6.5</v>
      </c>
      <c r="F1954" s="10">
        <f>_xlfn.XLOOKUP(
  A1954,
  CPI!D:D,
  CPI!C:C,
  "",
  -1
)</f>
        <v>4.87</v>
      </c>
      <c r="G1954">
        <v>56112</v>
      </c>
    </row>
    <row r="1955" spans="1:7">
      <c r="A1955" s="1">
        <v>45208</v>
      </c>
      <c r="B1955">
        <v>57268</v>
      </c>
      <c r="C1955">
        <f>_xlfn.XLOOKUP(A1955, USD!A:A, USD!B:B, "")</f>
        <v>83.254000000000005</v>
      </c>
      <c r="D1955">
        <f>_xlfn.XLOOKUP(A1955, Brent!A:A, Brent!B:B, "")</f>
        <v>91.37</v>
      </c>
      <c r="E1955">
        <f>_xlfn.XLOOKUP(
  A1955,
  Repo!A:A,
  Repo!B:B,
  "",
  -1
)</f>
        <v>6.5</v>
      </c>
      <c r="F1955" s="10">
        <f>_xlfn.XLOOKUP(
  A1955,
  CPI!D:D,
  CPI!C:C,
  "",
  -1
)</f>
        <v>4.87</v>
      </c>
      <c r="G1955">
        <v>56582</v>
      </c>
    </row>
    <row r="1956" spans="1:7">
      <c r="A1956" s="1">
        <v>45209</v>
      </c>
      <c r="B1956">
        <v>57364</v>
      </c>
      <c r="C1956">
        <f>_xlfn.XLOOKUP(A1956, USD!A:A, USD!B:B, "")</f>
        <v>83.162000000000006</v>
      </c>
      <c r="D1956">
        <f>_xlfn.XLOOKUP(A1956, Brent!A:A, Brent!B:B, "")</f>
        <v>90.7</v>
      </c>
      <c r="E1956">
        <f>_xlfn.XLOOKUP(
  A1956,
  Repo!A:A,
  Repo!B:B,
  "",
  -1
)</f>
        <v>6.5</v>
      </c>
      <c r="F1956" s="10">
        <f>_xlfn.XLOOKUP(
  A1956,
  CPI!D:D,
  CPI!C:C,
  "",
  -1
)</f>
        <v>4.87</v>
      </c>
      <c r="G1956">
        <v>57268</v>
      </c>
    </row>
    <row r="1957" spans="1:7">
      <c r="A1957" s="1">
        <v>45210</v>
      </c>
      <c r="B1957">
        <v>57636</v>
      </c>
      <c r="C1957">
        <f>_xlfn.XLOOKUP(A1957, USD!A:A, USD!B:B, "")</f>
        <v>83.16</v>
      </c>
      <c r="D1957">
        <f>_xlfn.XLOOKUP(A1957, Brent!A:A, Brent!B:B, "")</f>
        <v>87.58</v>
      </c>
      <c r="E1957">
        <f>_xlfn.XLOOKUP(
  A1957,
  Repo!A:A,
  Repo!B:B,
  "",
  -1
)</f>
        <v>6.5</v>
      </c>
      <c r="F1957" s="10">
        <f>_xlfn.XLOOKUP(
  A1957,
  CPI!D:D,
  CPI!C:C,
  "",
  -1
)</f>
        <v>4.87</v>
      </c>
      <c r="G1957">
        <v>57364</v>
      </c>
    </row>
    <row r="1958" spans="1:7">
      <c r="A1958" s="1">
        <v>45211</v>
      </c>
      <c r="B1958">
        <v>57613</v>
      </c>
      <c r="C1958">
        <f>_xlfn.XLOOKUP(A1958, USD!A:A, USD!B:B, "")</f>
        <v>83.29</v>
      </c>
      <c r="D1958">
        <f>_xlfn.XLOOKUP(A1958, Brent!A:A, Brent!B:B, "")</f>
        <v>88.4</v>
      </c>
      <c r="E1958">
        <f>_xlfn.XLOOKUP(
  A1958,
  Repo!A:A,
  Repo!B:B,
  "",
  -1
)</f>
        <v>6.5</v>
      </c>
      <c r="F1958" s="10">
        <f>_xlfn.XLOOKUP(
  A1958,
  CPI!D:D,
  CPI!C:C,
  "",
  -1
)</f>
        <v>4.87</v>
      </c>
      <c r="G1958">
        <v>57636</v>
      </c>
    </row>
    <row r="1959" spans="1:7">
      <c r="A1959" s="1">
        <v>45212</v>
      </c>
      <c r="B1959">
        <v>58993</v>
      </c>
      <c r="C1959">
        <f>_xlfn.XLOOKUP(A1959, USD!A:A, USD!B:B, "")</f>
        <v>83.254999999999995</v>
      </c>
      <c r="D1959">
        <f>_xlfn.XLOOKUP(A1959, Brent!A:A, Brent!B:B, "")</f>
        <v>94.33</v>
      </c>
      <c r="E1959">
        <f>_xlfn.XLOOKUP(
  A1959,
  Repo!A:A,
  Repo!B:B,
  "",
  -1
)</f>
        <v>6.5</v>
      </c>
      <c r="F1959" s="10">
        <f>_xlfn.XLOOKUP(
  A1959,
  CPI!D:D,
  CPI!C:C,
  "",
  -1
)</f>
        <v>4.87</v>
      </c>
      <c r="G1959">
        <v>57613</v>
      </c>
    </row>
    <row r="1960" spans="1:7">
      <c r="A1960" s="1">
        <v>45215</v>
      </c>
      <c r="B1960">
        <v>58993</v>
      </c>
      <c r="C1960">
        <f>_xlfn.XLOOKUP(A1960, USD!A:A, USD!B:B, "")</f>
        <v>83.19</v>
      </c>
      <c r="D1960">
        <f>_xlfn.XLOOKUP(A1960, Brent!A:A, Brent!B:B, "")</f>
        <v>90.99</v>
      </c>
      <c r="E1960">
        <f>_xlfn.XLOOKUP(
  A1960,
  Repo!A:A,
  Repo!B:B,
  "",
  -1
)</f>
        <v>6.5</v>
      </c>
      <c r="F1960" s="10">
        <f>_xlfn.XLOOKUP(
  A1960,
  CPI!D:D,
  CPI!C:C,
  "",
  -1
)</f>
        <v>4.87</v>
      </c>
      <c r="G1960">
        <v>58993</v>
      </c>
    </row>
    <row r="1961" spans="1:7">
      <c r="A1961" s="1">
        <v>45216</v>
      </c>
      <c r="B1961">
        <v>58922</v>
      </c>
      <c r="C1961">
        <f>_xlfn.XLOOKUP(A1961, USD!A:A, USD!B:B, "")</f>
        <v>83.24</v>
      </c>
      <c r="D1961">
        <f>_xlfn.XLOOKUP(A1961, Brent!A:A, Brent!B:B, "")</f>
        <v>92.52</v>
      </c>
      <c r="E1961">
        <f>_xlfn.XLOOKUP(
  A1961,
  Repo!A:A,
  Repo!B:B,
  "",
  -1
)</f>
        <v>6.5</v>
      </c>
      <c r="F1961" s="10">
        <f>_xlfn.XLOOKUP(
  A1961,
  CPI!D:D,
  CPI!C:C,
  "",
  -1
)</f>
        <v>4.87</v>
      </c>
      <c r="G1961">
        <v>58993</v>
      </c>
    </row>
    <row r="1962" spans="1:7">
      <c r="A1962" s="1">
        <v>45217</v>
      </c>
      <c r="B1962">
        <v>59680</v>
      </c>
      <c r="C1962">
        <f>_xlfn.XLOOKUP(A1962, USD!A:A, USD!B:B, "")</f>
        <v>83.29</v>
      </c>
      <c r="D1962">
        <f>_xlfn.XLOOKUP(A1962, Brent!A:A, Brent!B:B, "")</f>
        <v>91.99</v>
      </c>
      <c r="E1962">
        <f>_xlfn.XLOOKUP(
  A1962,
  Repo!A:A,
  Repo!B:B,
  "",
  -1
)</f>
        <v>6.5</v>
      </c>
      <c r="F1962" s="10">
        <f>_xlfn.XLOOKUP(
  A1962,
  CPI!D:D,
  CPI!C:C,
  "",
  -1
)</f>
        <v>4.87</v>
      </c>
      <c r="G1962">
        <v>58922</v>
      </c>
    </row>
    <row r="1963" spans="1:7">
      <c r="A1963" s="1">
        <v>45218</v>
      </c>
      <c r="B1963">
        <v>59935</v>
      </c>
      <c r="C1963">
        <f>_xlfn.XLOOKUP(A1963, USD!A:A, USD!B:B, "")</f>
        <v>83.096999999999994</v>
      </c>
      <c r="D1963">
        <f>_xlfn.XLOOKUP(A1963, Brent!A:A, Brent!B:B, "")</f>
        <v>93.12</v>
      </c>
      <c r="E1963">
        <f>_xlfn.XLOOKUP(
  A1963,
  Repo!A:A,
  Repo!B:B,
  "",
  -1
)</f>
        <v>6.5</v>
      </c>
      <c r="F1963" s="10">
        <f>_xlfn.XLOOKUP(
  A1963,
  CPI!D:D,
  CPI!C:C,
  "",
  -1
)</f>
        <v>4.87</v>
      </c>
      <c r="G1963">
        <v>59680</v>
      </c>
    </row>
    <row r="1964" spans="1:7">
      <c r="A1964" s="1">
        <v>45219</v>
      </c>
      <c r="B1964">
        <v>60405</v>
      </c>
      <c r="C1964">
        <f>_xlfn.XLOOKUP(A1964, USD!A:A, USD!B:B, "")</f>
        <v>83.15</v>
      </c>
      <c r="D1964">
        <f>_xlfn.XLOOKUP(A1964, Brent!A:A, Brent!B:B, "")</f>
        <v>93.72</v>
      </c>
      <c r="E1964">
        <f>_xlfn.XLOOKUP(
  A1964,
  Repo!A:A,
  Repo!B:B,
  "",
  -1
)</f>
        <v>6.5</v>
      </c>
      <c r="F1964" s="10">
        <f>_xlfn.XLOOKUP(
  A1964,
  CPI!D:D,
  CPI!C:C,
  "",
  -1
)</f>
        <v>4.87</v>
      </c>
      <c r="G1964">
        <v>59935</v>
      </c>
    </row>
    <row r="1965" spans="1:7">
      <c r="A1965" s="1">
        <v>45222</v>
      </c>
      <c r="B1965">
        <v>60402</v>
      </c>
      <c r="C1965">
        <f>_xlfn.XLOOKUP(A1965, USD!A:A, USD!B:B, "")</f>
        <v>83.070999999999998</v>
      </c>
      <c r="D1965">
        <f>_xlfn.XLOOKUP(A1965, Brent!A:A, Brent!B:B, "")</f>
        <v>91.88</v>
      </c>
      <c r="E1965">
        <f>_xlfn.XLOOKUP(
  A1965,
  Repo!A:A,
  Repo!B:B,
  "",
  -1
)</f>
        <v>6.5</v>
      </c>
      <c r="F1965" s="10">
        <f>_xlfn.XLOOKUP(
  A1965,
  CPI!D:D,
  CPI!C:C,
  "",
  -1
)</f>
        <v>4.87</v>
      </c>
      <c r="G1965">
        <v>60405</v>
      </c>
    </row>
    <row r="1966" spans="1:7">
      <c r="A1966" s="1">
        <v>45223</v>
      </c>
      <c r="B1966">
        <v>60351</v>
      </c>
      <c r="C1966">
        <f>_xlfn.XLOOKUP(A1966, USD!A:A, USD!B:B, "")</f>
        <v>83.01</v>
      </c>
      <c r="D1966">
        <f>_xlfn.XLOOKUP(A1966, Brent!A:A, Brent!B:B, "")</f>
        <v>88</v>
      </c>
      <c r="E1966">
        <f>_xlfn.XLOOKUP(
  A1966,
  Repo!A:A,
  Repo!B:B,
  "",
  -1
)</f>
        <v>6.5</v>
      </c>
      <c r="F1966" s="10">
        <f>_xlfn.XLOOKUP(
  A1966,
  CPI!D:D,
  CPI!C:C,
  "",
  -1
)</f>
        <v>4.87</v>
      </c>
      <c r="G1966">
        <v>60402</v>
      </c>
    </row>
    <row r="1967" spans="1:7">
      <c r="A1967" s="1">
        <v>45224</v>
      </c>
      <c r="B1967">
        <v>60652</v>
      </c>
      <c r="C1967">
        <f>_xlfn.XLOOKUP(A1967, USD!A:A, USD!B:B, "")</f>
        <v>83.14</v>
      </c>
      <c r="D1967">
        <f>_xlfn.XLOOKUP(A1967, Brent!A:A, Brent!B:B, "")</f>
        <v>90.14</v>
      </c>
      <c r="E1967">
        <f>_xlfn.XLOOKUP(
  A1967,
  Repo!A:A,
  Repo!B:B,
  "",
  -1
)</f>
        <v>6.5</v>
      </c>
      <c r="F1967" s="10">
        <f>_xlfn.XLOOKUP(
  A1967,
  CPI!D:D,
  CPI!C:C,
  "",
  -1
)</f>
        <v>4.87</v>
      </c>
      <c r="G1967">
        <v>60351</v>
      </c>
    </row>
    <row r="1968" spans="1:7">
      <c r="A1968" s="1">
        <v>45225</v>
      </c>
      <c r="B1968">
        <v>60735</v>
      </c>
      <c r="C1968">
        <f>_xlfn.XLOOKUP(A1968, USD!A:A, USD!B:B, "")</f>
        <v>83.242999999999995</v>
      </c>
      <c r="D1968">
        <f>_xlfn.XLOOKUP(A1968, Brent!A:A, Brent!B:B, "")</f>
        <v>88.45</v>
      </c>
      <c r="E1968">
        <f>_xlfn.XLOOKUP(
  A1968,
  Repo!A:A,
  Repo!B:B,
  "",
  -1
)</f>
        <v>6.5</v>
      </c>
      <c r="F1968" s="10">
        <f>_xlfn.XLOOKUP(
  A1968,
  CPI!D:D,
  CPI!C:C,
  "",
  -1
)</f>
        <v>4.87</v>
      </c>
      <c r="G1968">
        <v>60652</v>
      </c>
    </row>
    <row r="1969" spans="1:7">
      <c r="A1969" s="1">
        <v>45226</v>
      </c>
      <c r="B1969">
        <v>60952</v>
      </c>
      <c r="C1969">
        <f>_xlfn.XLOOKUP(A1969, USD!A:A, USD!B:B, "")</f>
        <v>83.265000000000001</v>
      </c>
      <c r="D1969">
        <f>_xlfn.XLOOKUP(A1969, Brent!A:A, Brent!B:B, "")</f>
        <v>90.73</v>
      </c>
      <c r="E1969">
        <f>_xlfn.XLOOKUP(
  A1969,
  Repo!A:A,
  Repo!B:B,
  "",
  -1
)</f>
        <v>6.5</v>
      </c>
      <c r="F1969" s="10">
        <f>_xlfn.XLOOKUP(
  A1969,
  CPI!D:D,
  CPI!C:C,
  "",
  -1
)</f>
        <v>4.87</v>
      </c>
      <c r="G1969">
        <v>60735</v>
      </c>
    </row>
    <row r="1970" spans="1:7">
      <c r="A1970" s="1">
        <v>45229</v>
      </c>
      <c r="B1970">
        <v>61077</v>
      </c>
      <c r="C1970">
        <f>_xlfn.XLOOKUP(A1970, USD!A:A, USD!B:B, "")</f>
        <v>83.25</v>
      </c>
      <c r="D1970">
        <f>_xlfn.XLOOKUP(A1970, Brent!A:A, Brent!B:B, "")</f>
        <v>90.73</v>
      </c>
      <c r="E1970">
        <f>_xlfn.XLOOKUP(
  A1970,
  Repo!A:A,
  Repo!B:B,
  "",
  -1
)</f>
        <v>6.5</v>
      </c>
      <c r="F1970" s="10">
        <f>_xlfn.XLOOKUP(
  A1970,
  CPI!D:D,
  CPI!C:C,
  "",
  -1
)</f>
        <v>4.87</v>
      </c>
      <c r="G1970">
        <v>60952</v>
      </c>
    </row>
    <row r="1971" spans="1:7">
      <c r="A1971" s="1">
        <v>45230</v>
      </c>
      <c r="B1971">
        <v>60879</v>
      </c>
      <c r="C1971">
        <f>_xlfn.XLOOKUP(A1971, USD!A:A, USD!B:B, "")</f>
        <v>83.256</v>
      </c>
      <c r="D1971">
        <f>_xlfn.XLOOKUP(A1971, Brent!A:A, Brent!B:B, "")</f>
        <v>86.82</v>
      </c>
      <c r="E1971">
        <f>_xlfn.XLOOKUP(
  A1971,
  Repo!A:A,
  Repo!B:B,
  "",
  -1
)</f>
        <v>6.5</v>
      </c>
      <c r="F1971" s="10">
        <f>_xlfn.XLOOKUP(
  A1971,
  CPI!D:D,
  CPI!C:C,
  "",
  -1
)</f>
        <v>4.87</v>
      </c>
      <c r="G1971">
        <v>61077</v>
      </c>
    </row>
    <row r="1972" spans="1:7">
      <c r="A1972" s="1">
        <v>45231</v>
      </c>
      <c r="B1972">
        <v>60757</v>
      </c>
      <c r="C1972">
        <f>_xlfn.XLOOKUP(A1972, USD!A:A, USD!B:B, "")</f>
        <v>83.236999999999995</v>
      </c>
      <c r="D1972">
        <f>_xlfn.XLOOKUP(A1972, Brent!A:A, Brent!B:B, "")</f>
        <v>86.92</v>
      </c>
      <c r="E1972">
        <f>_xlfn.XLOOKUP(
  A1972,
  Repo!A:A,
  Repo!B:B,
  "",
  -1
)</f>
        <v>6.5</v>
      </c>
      <c r="F1972" s="10">
        <f>_xlfn.XLOOKUP(
  A1972,
  CPI!D:D,
  CPI!C:C,
  "",
  -1
)</f>
        <v>5.55</v>
      </c>
      <c r="G1972">
        <v>60879</v>
      </c>
    </row>
    <row r="1973" spans="1:7">
      <c r="A1973" s="1">
        <v>45232</v>
      </c>
      <c r="B1973">
        <v>60805</v>
      </c>
      <c r="C1973">
        <f>_xlfn.XLOOKUP(A1973, USD!A:A, USD!B:B, "")</f>
        <v>83.233999999999995</v>
      </c>
      <c r="D1973">
        <f>_xlfn.XLOOKUP(A1973, Brent!A:A, Brent!B:B, "")</f>
        <v>89.02</v>
      </c>
      <c r="E1973">
        <f>_xlfn.XLOOKUP(
  A1973,
  Repo!A:A,
  Repo!B:B,
  "",
  -1
)</f>
        <v>6.5</v>
      </c>
      <c r="F1973" s="10">
        <f>_xlfn.XLOOKUP(
  A1973,
  CPI!D:D,
  CPI!C:C,
  "",
  -1
)</f>
        <v>5.55</v>
      </c>
      <c r="G1973">
        <v>60757</v>
      </c>
    </row>
    <row r="1974" spans="1:7">
      <c r="A1974" s="1">
        <v>45233</v>
      </c>
      <c r="B1974">
        <v>60829</v>
      </c>
      <c r="C1974">
        <f>_xlfn.XLOOKUP(A1974, USD!A:A, USD!B:B, "")</f>
        <v>83.14</v>
      </c>
      <c r="D1974">
        <f>_xlfn.XLOOKUP(A1974, Brent!A:A, Brent!B:B, "")</f>
        <v>87.55</v>
      </c>
      <c r="E1974">
        <f>_xlfn.XLOOKUP(
  A1974,
  Repo!A:A,
  Repo!B:B,
  "",
  -1
)</f>
        <v>6.5</v>
      </c>
      <c r="F1974" s="10">
        <f>_xlfn.XLOOKUP(
  A1974,
  CPI!D:D,
  CPI!C:C,
  "",
  -1
)</f>
        <v>5.55</v>
      </c>
      <c r="G1974">
        <v>60805</v>
      </c>
    </row>
    <row r="1975" spans="1:7">
      <c r="A1975" s="1">
        <v>45236</v>
      </c>
      <c r="B1975">
        <v>60818</v>
      </c>
      <c r="C1975">
        <f>_xlfn.XLOOKUP(A1975, USD!A:A, USD!B:B, "")</f>
        <v>83.218000000000004</v>
      </c>
      <c r="D1975">
        <f>_xlfn.XLOOKUP(A1975, Brent!A:A, Brent!B:B, "")</f>
        <v>87.31</v>
      </c>
      <c r="E1975">
        <f>_xlfn.XLOOKUP(
  A1975,
  Repo!A:A,
  Repo!B:B,
  "",
  -1
)</f>
        <v>6.5</v>
      </c>
      <c r="F1975" s="10">
        <f>_xlfn.XLOOKUP(
  A1975,
  CPI!D:D,
  CPI!C:C,
  "",
  -1
)</f>
        <v>5.55</v>
      </c>
      <c r="G1975">
        <v>60829</v>
      </c>
    </row>
    <row r="1976" spans="1:7">
      <c r="A1976" s="1">
        <v>45237</v>
      </c>
      <c r="B1976">
        <v>60365</v>
      </c>
      <c r="C1976">
        <f>_xlfn.XLOOKUP(A1976, USD!A:A, USD!B:B, "")</f>
        <v>83.23</v>
      </c>
      <c r="D1976">
        <f>_xlfn.XLOOKUP(A1976, Brent!A:A, Brent!B:B, "")</f>
        <v>83.43</v>
      </c>
      <c r="E1976">
        <f>_xlfn.XLOOKUP(
  A1976,
  Repo!A:A,
  Repo!B:B,
  "",
  -1
)</f>
        <v>6.5</v>
      </c>
      <c r="F1976" s="10">
        <f>_xlfn.XLOOKUP(
  A1976,
  CPI!D:D,
  CPI!C:C,
  "",
  -1
)</f>
        <v>5.55</v>
      </c>
      <c r="G1976">
        <v>60818</v>
      </c>
    </row>
    <row r="1977" spans="1:7">
      <c r="A1977" s="1">
        <v>45238</v>
      </c>
      <c r="B1977">
        <v>60043</v>
      </c>
      <c r="C1977">
        <f>_xlfn.XLOOKUP(A1977, USD!A:A, USD!B:B, "")</f>
        <v>83.212999999999994</v>
      </c>
      <c r="D1977">
        <f>_xlfn.XLOOKUP(A1977, Brent!A:A, Brent!B:B, "")</f>
        <v>81.459999999999994</v>
      </c>
      <c r="E1977">
        <f>_xlfn.XLOOKUP(
  A1977,
  Repo!A:A,
  Repo!B:B,
  "",
  -1
)</f>
        <v>6.5</v>
      </c>
      <c r="F1977" s="10">
        <f>_xlfn.XLOOKUP(
  A1977,
  CPI!D:D,
  CPI!C:C,
  "",
  -1
)</f>
        <v>5.55</v>
      </c>
      <c r="G1977">
        <v>60365</v>
      </c>
    </row>
    <row r="1978" spans="1:7">
      <c r="A1978" s="1">
        <v>45239</v>
      </c>
      <c r="B1978">
        <v>60271</v>
      </c>
      <c r="C1978">
        <f>_xlfn.XLOOKUP(A1978, USD!A:A, USD!B:B, "")</f>
        <v>83.314999999999998</v>
      </c>
      <c r="D1978">
        <f>_xlfn.XLOOKUP(A1978, Brent!A:A, Brent!B:B, "")</f>
        <v>81.739999999999995</v>
      </c>
      <c r="E1978">
        <f>_xlfn.XLOOKUP(
  A1978,
  Repo!A:A,
  Repo!B:B,
  "",
  -1
)</f>
        <v>6.5</v>
      </c>
      <c r="F1978" s="10">
        <f>_xlfn.XLOOKUP(
  A1978,
  CPI!D:D,
  CPI!C:C,
  "",
  -1
)</f>
        <v>5.55</v>
      </c>
      <c r="G1978">
        <v>60043</v>
      </c>
    </row>
    <row r="1979" spans="1:7">
      <c r="A1979" s="1">
        <v>45240</v>
      </c>
      <c r="B1979">
        <v>59697</v>
      </c>
      <c r="C1979">
        <f>_xlfn.XLOOKUP(A1979, USD!A:A, USD!B:B, "")</f>
        <v>83.308999999999997</v>
      </c>
      <c r="D1979">
        <f>_xlfn.XLOOKUP(A1979, Brent!A:A, Brent!B:B, "")</f>
        <v>83.66</v>
      </c>
      <c r="E1979">
        <f>_xlfn.XLOOKUP(
  A1979,
  Repo!A:A,
  Repo!B:B,
  "",
  -1
)</f>
        <v>6.5</v>
      </c>
      <c r="F1979" s="10">
        <f>_xlfn.XLOOKUP(
  A1979,
  CPI!D:D,
  CPI!C:C,
  "",
  -1
)</f>
        <v>5.55</v>
      </c>
      <c r="G1979">
        <v>60271</v>
      </c>
    </row>
    <row r="1980" spans="1:7">
      <c r="A1980" s="1">
        <v>45243</v>
      </c>
      <c r="B1980">
        <v>59844</v>
      </c>
      <c r="C1980">
        <f>_xlfn.XLOOKUP(A1980, USD!A:A, USD!B:B, "")</f>
        <v>83.18</v>
      </c>
      <c r="D1980">
        <f>_xlfn.XLOOKUP(A1980, Brent!A:A, Brent!B:B, "")</f>
        <v>84.09</v>
      </c>
      <c r="E1980">
        <f>_xlfn.XLOOKUP(
  A1980,
  Repo!A:A,
  Repo!B:B,
  "",
  -1
)</f>
        <v>6.5</v>
      </c>
      <c r="F1980" s="10">
        <f>_xlfn.XLOOKUP(
  A1980,
  CPI!D:D,
  CPI!C:C,
  "",
  -1
)</f>
        <v>5.55</v>
      </c>
      <c r="G1980">
        <v>59697</v>
      </c>
    </row>
    <row r="1981" spans="1:7">
      <c r="A1981" s="1">
        <v>45244</v>
      </c>
      <c r="B1981">
        <v>60083</v>
      </c>
      <c r="C1981">
        <f>_xlfn.XLOOKUP(A1981, USD!A:A, USD!B:B, "")</f>
        <v>82.972999999999999</v>
      </c>
      <c r="D1981">
        <f>_xlfn.XLOOKUP(A1981, Brent!A:A, Brent!B:B, "")</f>
        <v>84.2</v>
      </c>
      <c r="E1981">
        <f>_xlfn.XLOOKUP(
  A1981,
  Repo!A:A,
  Repo!B:B,
  "",
  -1
)</f>
        <v>6.5</v>
      </c>
      <c r="F1981" s="10">
        <f>_xlfn.XLOOKUP(
  A1981,
  CPI!D:D,
  CPI!C:C,
  "",
  -1
)</f>
        <v>5.55</v>
      </c>
      <c r="G1981">
        <v>59844</v>
      </c>
    </row>
    <row r="1982" spans="1:7">
      <c r="A1982" s="1">
        <v>45245</v>
      </c>
      <c r="B1982">
        <v>60120</v>
      </c>
      <c r="C1982">
        <f>_xlfn.XLOOKUP(A1982, USD!A:A, USD!B:B, "")</f>
        <v>83.188000000000002</v>
      </c>
      <c r="D1982">
        <f>_xlfn.XLOOKUP(A1982, Brent!A:A, Brent!B:B, "")</f>
        <v>82.4</v>
      </c>
      <c r="E1982">
        <f>_xlfn.XLOOKUP(
  A1982,
  Repo!A:A,
  Repo!B:B,
  "",
  -1
)</f>
        <v>6.5</v>
      </c>
      <c r="F1982" s="10">
        <f>_xlfn.XLOOKUP(
  A1982,
  CPI!D:D,
  CPI!C:C,
  "",
  -1
)</f>
        <v>5.55</v>
      </c>
      <c r="G1982">
        <v>60083</v>
      </c>
    </row>
    <row r="1983" spans="1:7">
      <c r="A1983" s="1">
        <v>45246</v>
      </c>
      <c r="B1983">
        <v>60654</v>
      </c>
      <c r="C1983">
        <f>_xlfn.XLOOKUP(A1983, USD!A:A, USD!B:B, "")</f>
        <v>83.152000000000001</v>
      </c>
      <c r="D1983">
        <f>_xlfn.XLOOKUP(A1983, Brent!A:A, Brent!B:B, "")</f>
        <v>77.73</v>
      </c>
      <c r="E1983">
        <f>_xlfn.XLOOKUP(
  A1983,
  Repo!A:A,
  Repo!B:B,
  "",
  -1
)</f>
        <v>6.5</v>
      </c>
      <c r="F1983" s="10">
        <f>_xlfn.XLOOKUP(
  A1983,
  CPI!D:D,
  CPI!C:C,
  "",
  -1
)</f>
        <v>5.55</v>
      </c>
      <c r="G1983">
        <v>60120</v>
      </c>
    </row>
    <row r="1984" spans="1:7">
      <c r="A1984" s="1">
        <v>45247</v>
      </c>
      <c r="B1984">
        <v>60678</v>
      </c>
      <c r="C1984">
        <f>_xlfn.XLOOKUP(A1984, USD!A:A, USD!B:B, "")</f>
        <v>83.244</v>
      </c>
      <c r="D1984">
        <f>_xlfn.XLOOKUP(A1984, Brent!A:A, Brent!B:B, "")</f>
        <v>81.22</v>
      </c>
      <c r="E1984">
        <f>_xlfn.XLOOKUP(
  A1984,
  Repo!A:A,
  Repo!B:B,
  "",
  -1
)</f>
        <v>6.5</v>
      </c>
      <c r="F1984" s="10">
        <f>_xlfn.XLOOKUP(
  A1984,
  CPI!D:D,
  CPI!C:C,
  "",
  -1
)</f>
        <v>5.55</v>
      </c>
      <c r="G1984">
        <v>60654</v>
      </c>
    </row>
    <row r="1985" spans="1:7">
      <c r="A1985" s="1">
        <v>45250</v>
      </c>
      <c r="B1985">
        <v>60657</v>
      </c>
      <c r="C1985">
        <f>_xlfn.XLOOKUP(A1985, USD!A:A, USD!B:B, "")</f>
        <v>83.316999999999993</v>
      </c>
      <c r="D1985">
        <f>_xlfn.XLOOKUP(A1985, Brent!A:A, Brent!B:B, "")</f>
        <v>83.25</v>
      </c>
      <c r="E1985">
        <f>_xlfn.XLOOKUP(
  A1985,
  Repo!A:A,
  Repo!B:B,
  "",
  -1
)</f>
        <v>6.5</v>
      </c>
      <c r="F1985" s="10">
        <f>_xlfn.XLOOKUP(
  A1985,
  CPI!D:D,
  CPI!C:C,
  "",
  -1
)</f>
        <v>5.55</v>
      </c>
      <c r="G1985">
        <v>60678</v>
      </c>
    </row>
    <row r="1986" spans="1:7">
      <c r="A1986" s="1">
        <v>45251</v>
      </c>
      <c r="B1986">
        <v>61212</v>
      </c>
      <c r="C1986">
        <f>_xlfn.XLOOKUP(A1986, USD!A:A, USD!B:B, "")</f>
        <v>83.308000000000007</v>
      </c>
      <c r="D1986">
        <f>_xlfn.XLOOKUP(A1986, Brent!A:A, Brent!B:B, "")</f>
        <v>82.42</v>
      </c>
      <c r="E1986">
        <f>_xlfn.XLOOKUP(
  A1986,
  Repo!A:A,
  Repo!B:B,
  "",
  -1
)</f>
        <v>6.5</v>
      </c>
      <c r="F1986" s="10">
        <f>_xlfn.XLOOKUP(
  A1986,
  CPI!D:D,
  CPI!C:C,
  "",
  -1
)</f>
        <v>5.55</v>
      </c>
      <c r="G1986">
        <v>60657</v>
      </c>
    </row>
    <row r="1987" spans="1:7">
      <c r="A1987" s="1">
        <v>45252</v>
      </c>
      <c r="B1987">
        <v>61065</v>
      </c>
      <c r="C1987">
        <f>_xlfn.XLOOKUP(A1987, USD!A:A, USD!B:B, "")</f>
        <v>83.287000000000006</v>
      </c>
      <c r="D1987">
        <f>_xlfn.XLOOKUP(A1987, Brent!A:A, Brent!B:B, "")</f>
        <v>81.760000000000005</v>
      </c>
      <c r="E1987">
        <f>_xlfn.XLOOKUP(
  A1987,
  Repo!A:A,
  Repo!B:B,
  "",
  -1
)</f>
        <v>6.5</v>
      </c>
      <c r="F1987" s="10">
        <f>_xlfn.XLOOKUP(
  A1987,
  CPI!D:D,
  CPI!C:C,
  "",
  -1
)</f>
        <v>5.55</v>
      </c>
      <c r="G1987">
        <v>61212</v>
      </c>
    </row>
    <row r="1988" spans="1:7">
      <c r="A1988" s="1">
        <v>45253</v>
      </c>
      <c r="B1988">
        <v>61093</v>
      </c>
      <c r="C1988">
        <f>_xlfn.XLOOKUP(A1988, USD!A:A, USD!B:B, "")</f>
        <v>83.305000000000007</v>
      </c>
      <c r="D1988">
        <f>_xlfn.XLOOKUP(A1988, Brent!A:A, Brent!B:B, "")</f>
        <v>80.849999999999994</v>
      </c>
      <c r="E1988">
        <f>_xlfn.XLOOKUP(
  A1988,
  Repo!A:A,
  Repo!B:B,
  "",
  -1
)</f>
        <v>6.5</v>
      </c>
      <c r="F1988" s="10">
        <f>_xlfn.XLOOKUP(
  A1988,
  CPI!D:D,
  CPI!C:C,
  "",
  -1
)</f>
        <v>5.55</v>
      </c>
      <c r="G1988">
        <v>61065</v>
      </c>
    </row>
    <row r="1989" spans="1:7">
      <c r="A1989" s="1">
        <v>45254</v>
      </c>
      <c r="B1989">
        <v>61352</v>
      </c>
      <c r="C1989">
        <f>_xlfn.XLOOKUP(A1989, USD!A:A, USD!B:B, "")</f>
        <v>83.34</v>
      </c>
      <c r="D1989">
        <f>_xlfn.XLOOKUP(A1989, Brent!A:A, Brent!B:B, "")</f>
        <v>79.819999999999993</v>
      </c>
      <c r="E1989">
        <f>_xlfn.XLOOKUP(
  A1989,
  Repo!A:A,
  Repo!B:B,
  "",
  -1
)</f>
        <v>6.5</v>
      </c>
      <c r="F1989" s="10">
        <f>_xlfn.XLOOKUP(
  A1989,
  CPI!D:D,
  CPI!C:C,
  "",
  -1
)</f>
        <v>5.55</v>
      </c>
      <c r="G1989">
        <v>61093</v>
      </c>
    </row>
    <row r="1990" spans="1:7">
      <c r="A1990" s="1">
        <v>45257</v>
      </c>
      <c r="B1990">
        <v>61557</v>
      </c>
      <c r="C1990">
        <f>_xlfn.XLOOKUP(A1990, USD!A:A, USD!B:B, "")</f>
        <v>83.33</v>
      </c>
      <c r="D1990">
        <f>_xlfn.XLOOKUP(A1990, Brent!A:A, Brent!B:B, "")</f>
        <v>79.489999999999995</v>
      </c>
      <c r="E1990">
        <f>_xlfn.XLOOKUP(
  A1990,
  Repo!A:A,
  Repo!B:B,
  "",
  -1
)</f>
        <v>6.5</v>
      </c>
      <c r="F1990" s="10">
        <f>_xlfn.XLOOKUP(
  A1990,
  CPI!D:D,
  CPI!C:C,
  "",
  -1
)</f>
        <v>5.55</v>
      </c>
      <c r="G1990">
        <v>61352</v>
      </c>
    </row>
    <row r="1991" spans="1:7">
      <c r="A1991" s="1">
        <v>45258</v>
      </c>
      <c r="B1991">
        <v>62409</v>
      </c>
      <c r="C1991">
        <f>_xlfn.XLOOKUP(A1991, USD!A:A, USD!B:B, "")</f>
        <v>83.34</v>
      </c>
      <c r="D1991">
        <f>_xlfn.XLOOKUP(A1991, Brent!A:A, Brent!B:B, "")</f>
        <v>81.66</v>
      </c>
      <c r="E1991">
        <f>_xlfn.XLOOKUP(
  A1991,
  Repo!A:A,
  Repo!B:B,
  "",
  -1
)</f>
        <v>6.5</v>
      </c>
      <c r="F1991" s="10">
        <f>_xlfn.XLOOKUP(
  A1991,
  CPI!D:D,
  CPI!C:C,
  "",
  -1
)</f>
        <v>5.55</v>
      </c>
      <c r="G1991">
        <v>61557</v>
      </c>
    </row>
    <row r="1992" spans="1:7">
      <c r="A1992" s="1">
        <v>45259</v>
      </c>
      <c r="B1992">
        <v>62470</v>
      </c>
      <c r="C1992">
        <f>_xlfn.XLOOKUP(A1992, USD!A:A, USD!B:B, "")</f>
        <v>83.352000000000004</v>
      </c>
      <c r="D1992">
        <f>_xlfn.XLOOKUP(A1992, Brent!A:A, Brent!B:B, "")</f>
        <v>82.98</v>
      </c>
      <c r="E1992">
        <f>_xlfn.XLOOKUP(
  A1992,
  Repo!A:A,
  Repo!B:B,
  "",
  -1
)</f>
        <v>6.5</v>
      </c>
      <c r="F1992" s="10">
        <f>_xlfn.XLOOKUP(
  A1992,
  CPI!D:D,
  CPI!C:C,
  "",
  -1
)</f>
        <v>5.55</v>
      </c>
      <c r="G1992">
        <v>62409</v>
      </c>
    </row>
    <row r="1993" spans="1:7">
      <c r="A1993" s="1">
        <v>45260</v>
      </c>
      <c r="B1993">
        <v>62639</v>
      </c>
      <c r="C1993">
        <f>_xlfn.XLOOKUP(A1993, USD!A:A, USD!B:B, "")</f>
        <v>83.356999999999999</v>
      </c>
      <c r="D1993">
        <f>_xlfn.XLOOKUP(A1993, Brent!A:A, Brent!B:B, "")</f>
        <v>81.72</v>
      </c>
      <c r="E1993">
        <f>_xlfn.XLOOKUP(
  A1993,
  Repo!A:A,
  Repo!B:B,
  "",
  -1
)</f>
        <v>6.5</v>
      </c>
      <c r="F1993" s="10">
        <f>_xlfn.XLOOKUP(
  A1993,
  CPI!D:D,
  CPI!C:C,
  "",
  -1
)</f>
        <v>5.55</v>
      </c>
      <c r="G1993">
        <v>62470</v>
      </c>
    </row>
    <row r="1994" spans="1:7">
      <c r="A1994" s="1">
        <v>45261</v>
      </c>
      <c r="B1994">
        <v>62876</v>
      </c>
      <c r="C1994">
        <f>_xlfn.XLOOKUP(A1994, USD!A:A, USD!B:B, "")</f>
        <v>83.26</v>
      </c>
      <c r="D1994">
        <f>_xlfn.XLOOKUP(A1994, Brent!A:A, Brent!B:B, "")</f>
        <v>78.72</v>
      </c>
      <c r="E1994">
        <f>_xlfn.XLOOKUP(
  A1994,
  Repo!A:A,
  Repo!B:B,
  "",
  -1
)</f>
        <v>6.5</v>
      </c>
      <c r="F1994" s="10">
        <f>_xlfn.XLOOKUP(
  A1994,
  CPI!D:D,
  CPI!C:C,
  "",
  -1
)</f>
        <v>5.69</v>
      </c>
      <c r="G1994">
        <v>62639</v>
      </c>
    </row>
    <row r="1995" spans="1:7">
      <c r="A1995" s="1">
        <v>45264</v>
      </c>
      <c r="B1995">
        <v>62302</v>
      </c>
      <c r="C1995">
        <f>_xlfn.XLOOKUP(A1995, USD!A:A, USD!B:B, "")</f>
        <v>83.426000000000002</v>
      </c>
      <c r="D1995">
        <f>_xlfn.XLOOKUP(A1995, Brent!A:A, Brent!B:B, "")</f>
        <v>78.16</v>
      </c>
      <c r="E1995">
        <f>_xlfn.XLOOKUP(
  A1995,
  Repo!A:A,
  Repo!B:B,
  "",
  -1
)</f>
        <v>6.5</v>
      </c>
      <c r="F1995" s="10">
        <f>_xlfn.XLOOKUP(
  A1995,
  CPI!D:D,
  CPI!C:C,
  "",
  -1
)</f>
        <v>5.69</v>
      </c>
      <c r="G1995">
        <v>62876</v>
      </c>
    </row>
    <row r="1996" spans="1:7">
      <c r="A1996" s="1">
        <v>45265</v>
      </c>
      <c r="B1996">
        <v>62600</v>
      </c>
      <c r="C1996">
        <f>_xlfn.XLOOKUP(A1996, USD!A:A, USD!B:B, "")</f>
        <v>83.32</v>
      </c>
      <c r="D1996">
        <f>_xlfn.XLOOKUP(A1996, Brent!A:A, Brent!B:B, "")</f>
        <v>77.27</v>
      </c>
      <c r="E1996">
        <f>_xlfn.XLOOKUP(
  A1996,
  Repo!A:A,
  Repo!B:B,
  "",
  -1
)</f>
        <v>6.5</v>
      </c>
      <c r="F1996" s="10">
        <f>_xlfn.XLOOKUP(
  A1996,
  CPI!D:D,
  CPI!C:C,
  "",
  -1
)</f>
        <v>5.69</v>
      </c>
      <c r="G1996">
        <v>62302</v>
      </c>
    </row>
    <row r="1997" spans="1:7">
      <c r="A1997" s="1">
        <v>45266</v>
      </c>
      <c r="B1997">
        <v>62269</v>
      </c>
      <c r="C1997">
        <f>_xlfn.XLOOKUP(A1997, USD!A:A, USD!B:B, "")</f>
        <v>83.331999999999994</v>
      </c>
      <c r="D1997">
        <f>_xlfn.XLOOKUP(A1997, Brent!A:A, Brent!B:B, "")</f>
        <v>74.33</v>
      </c>
      <c r="E1997">
        <f>_xlfn.XLOOKUP(
  A1997,
  Repo!A:A,
  Repo!B:B,
  "",
  -1
)</f>
        <v>6.5</v>
      </c>
      <c r="F1997" s="10">
        <f>_xlfn.XLOOKUP(
  A1997,
  CPI!D:D,
  CPI!C:C,
  "",
  -1
)</f>
        <v>5.69</v>
      </c>
      <c r="G1997">
        <v>62600</v>
      </c>
    </row>
    <row r="1998" spans="1:7">
      <c r="A1998" s="1">
        <v>45267</v>
      </c>
      <c r="B1998">
        <v>62290</v>
      </c>
      <c r="C1998">
        <f>_xlfn.XLOOKUP(A1998, USD!A:A, USD!B:B, "")</f>
        <v>83.343000000000004</v>
      </c>
      <c r="D1998">
        <f>_xlfn.XLOOKUP(A1998, Brent!A:A, Brent!B:B, "")</f>
        <v>74.209999999999994</v>
      </c>
      <c r="E1998">
        <f>_xlfn.XLOOKUP(
  A1998,
  Repo!A:A,
  Repo!B:B,
  "",
  -1
)</f>
        <v>6.5</v>
      </c>
      <c r="F1998" s="10">
        <f>_xlfn.XLOOKUP(
  A1998,
  CPI!D:D,
  CPI!C:C,
  "",
  -1
)</f>
        <v>5.69</v>
      </c>
      <c r="G1998">
        <v>62269</v>
      </c>
    </row>
    <row r="1999" spans="1:7">
      <c r="A1999" s="1">
        <v>45268</v>
      </c>
      <c r="B1999">
        <v>61597</v>
      </c>
      <c r="C1999">
        <f>_xlfn.XLOOKUP(A1999, USD!A:A, USD!B:B, "")</f>
        <v>83.424999999999997</v>
      </c>
      <c r="D1999">
        <f>_xlfn.XLOOKUP(A1999, Brent!A:A, Brent!B:B, "")</f>
        <v>75.94</v>
      </c>
      <c r="E1999">
        <f>_xlfn.XLOOKUP(
  A1999,
  Repo!A:A,
  Repo!B:B,
  "",
  -1
)</f>
        <v>6.5</v>
      </c>
      <c r="F1999" s="10">
        <f>_xlfn.XLOOKUP(
  A1999,
  CPI!D:D,
  CPI!C:C,
  "",
  -1
)</f>
        <v>5.69</v>
      </c>
      <c r="G1999">
        <v>62290</v>
      </c>
    </row>
    <row r="2000" spans="1:7">
      <c r="A2000" s="1">
        <v>45271</v>
      </c>
      <c r="B2000">
        <v>60986</v>
      </c>
      <c r="C2000">
        <f>_xlfn.XLOOKUP(A2000, USD!A:A, USD!B:B, "")</f>
        <v>83.35</v>
      </c>
      <c r="D2000">
        <f>_xlfn.XLOOKUP(A2000, Brent!A:A, Brent!B:B, "")</f>
        <v>75.75</v>
      </c>
      <c r="E2000">
        <f>_xlfn.XLOOKUP(
  A2000,
  Repo!A:A,
  Repo!B:B,
  "",
  -1
)</f>
        <v>6.5</v>
      </c>
      <c r="F2000" s="10">
        <f>_xlfn.XLOOKUP(
  A2000,
  CPI!D:D,
  CPI!C:C,
  "",
  -1
)</f>
        <v>5.69</v>
      </c>
      <c r="G2000">
        <v>61597</v>
      </c>
    </row>
    <row r="2001" spans="1:7">
      <c r="A2001" s="1">
        <v>45272</v>
      </c>
      <c r="B2001">
        <v>60984</v>
      </c>
      <c r="C2001">
        <f>_xlfn.XLOOKUP(A2001, USD!A:A, USD!B:B, "")</f>
        <v>83.396000000000001</v>
      </c>
      <c r="D2001">
        <f>_xlfn.XLOOKUP(A2001, Brent!A:A, Brent!B:B, "")</f>
        <v>74.11</v>
      </c>
      <c r="E2001">
        <f>_xlfn.XLOOKUP(
  A2001,
  Repo!A:A,
  Repo!B:B,
  "",
  -1
)</f>
        <v>6.5</v>
      </c>
      <c r="F2001" s="10">
        <f>_xlfn.XLOOKUP(
  A2001,
  CPI!D:D,
  CPI!C:C,
  "",
  -1
)</f>
        <v>5.69</v>
      </c>
      <c r="G2001">
        <v>60986</v>
      </c>
    </row>
    <row r="2002" spans="1:7">
      <c r="A2002" s="1">
        <v>45273</v>
      </c>
      <c r="B2002">
        <v>60992</v>
      </c>
      <c r="C2002">
        <f>_xlfn.XLOOKUP(A2002, USD!A:A, USD!B:B, "")</f>
        <v>83.35</v>
      </c>
      <c r="D2002">
        <f>_xlfn.XLOOKUP(A2002, Brent!A:A, Brent!B:B, "")</f>
        <v>74.14</v>
      </c>
      <c r="E2002">
        <f>_xlfn.XLOOKUP(
  A2002,
  Repo!A:A,
  Repo!B:B,
  "",
  -1
)</f>
        <v>6.5</v>
      </c>
      <c r="F2002" s="10">
        <f>_xlfn.XLOOKUP(
  A2002,
  CPI!D:D,
  CPI!C:C,
  "",
  -1
)</f>
        <v>5.69</v>
      </c>
      <c r="G2002">
        <v>60984</v>
      </c>
    </row>
    <row r="2003" spans="1:7">
      <c r="A2003" s="1">
        <v>45274</v>
      </c>
      <c r="B2003">
        <v>62229</v>
      </c>
      <c r="C2003">
        <f>_xlfn.XLOOKUP(A2003, USD!A:A, USD!B:B, "")</f>
        <v>83.307000000000002</v>
      </c>
      <c r="D2003">
        <f>_xlfn.XLOOKUP(A2003, Brent!A:A, Brent!B:B, "")</f>
        <v>77.05</v>
      </c>
      <c r="E2003">
        <f>_xlfn.XLOOKUP(
  A2003,
  Repo!A:A,
  Repo!B:B,
  "",
  -1
)</f>
        <v>6.5</v>
      </c>
      <c r="F2003" s="10">
        <f>_xlfn.XLOOKUP(
  A2003,
  CPI!D:D,
  CPI!C:C,
  "",
  -1
)</f>
        <v>5.69</v>
      </c>
      <c r="G2003">
        <v>60992</v>
      </c>
    </row>
    <row r="2004" spans="1:7">
      <c r="A2004" s="1">
        <v>45275</v>
      </c>
      <c r="B2004">
        <v>61991</v>
      </c>
      <c r="C2004">
        <f>_xlfn.XLOOKUP(A2004, USD!A:A, USD!B:B, "")</f>
        <v>83.02</v>
      </c>
      <c r="D2004">
        <f>_xlfn.XLOOKUP(A2004, Brent!A:A, Brent!B:B, "")</f>
        <v>76.84</v>
      </c>
      <c r="E2004">
        <f>_xlfn.XLOOKUP(
  A2004,
  Repo!A:A,
  Repo!B:B,
  "",
  -1
)</f>
        <v>6.5</v>
      </c>
      <c r="F2004" s="10">
        <f>_xlfn.XLOOKUP(
  A2004,
  CPI!D:D,
  CPI!C:C,
  "",
  -1
)</f>
        <v>5.69</v>
      </c>
      <c r="G2004">
        <v>62229</v>
      </c>
    </row>
    <row r="2005" spans="1:7">
      <c r="A2005" s="1">
        <v>45278</v>
      </c>
      <c r="B2005">
        <v>62057</v>
      </c>
      <c r="C2005">
        <f>_xlfn.XLOOKUP(A2005, USD!A:A, USD!B:B, "")</f>
        <v>83.144000000000005</v>
      </c>
      <c r="D2005">
        <f>_xlfn.XLOOKUP(A2005, Brent!A:A, Brent!B:B, "")</f>
        <v>78.89</v>
      </c>
      <c r="E2005">
        <f>_xlfn.XLOOKUP(
  A2005,
  Repo!A:A,
  Repo!B:B,
  "",
  -1
)</f>
        <v>6.5</v>
      </c>
      <c r="F2005" s="10">
        <f>_xlfn.XLOOKUP(
  A2005,
  CPI!D:D,
  CPI!C:C,
  "",
  -1
)</f>
        <v>5.69</v>
      </c>
      <c r="G2005">
        <v>61991</v>
      </c>
    </row>
    <row r="2006" spans="1:7">
      <c r="A2006" s="1">
        <v>45279</v>
      </c>
      <c r="B2006">
        <v>62211</v>
      </c>
      <c r="C2006">
        <f>_xlfn.XLOOKUP(A2006, USD!A:A, USD!B:B, "")</f>
        <v>83.105999999999995</v>
      </c>
      <c r="D2006">
        <f>_xlfn.XLOOKUP(A2006, Brent!A:A, Brent!B:B, "")</f>
        <v>79.819999999999993</v>
      </c>
      <c r="E2006">
        <f>_xlfn.XLOOKUP(
  A2006,
  Repo!A:A,
  Repo!B:B,
  "",
  -1
)</f>
        <v>6.5</v>
      </c>
      <c r="F2006" s="10">
        <f>_xlfn.XLOOKUP(
  A2006,
  CPI!D:D,
  CPI!C:C,
  "",
  -1
)</f>
        <v>5.69</v>
      </c>
      <c r="G2006">
        <v>62057</v>
      </c>
    </row>
    <row r="2007" spans="1:7">
      <c r="A2007" s="1">
        <v>45280</v>
      </c>
      <c r="B2007">
        <v>62151</v>
      </c>
      <c r="C2007">
        <f>_xlfn.XLOOKUP(A2007, USD!A:A, USD!B:B, "")</f>
        <v>83.138999999999996</v>
      </c>
      <c r="D2007">
        <f>_xlfn.XLOOKUP(A2007, Brent!A:A, Brent!B:B, "")</f>
        <v>81.099999999999994</v>
      </c>
      <c r="E2007">
        <f>_xlfn.XLOOKUP(
  A2007,
  Repo!A:A,
  Repo!B:B,
  "",
  -1
)</f>
        <v>6.5</v>
      </c>
      <c r="F2007" s="10">
        <f>_xlfn.XLOOKUP(
  A2007,
  CPI!D:D,
  CPI!C:C,
  "",
  -1
)</f>
        <v>5.69</v>
      </c>
      <c r="G2007">
        <v>62211</v>
      </c>
    </row>
    <row r="2008" spans="1:7">
      <c r="A2008" s="1">
        <v>45281</v>
      </c>
      <c r="B2008">
        <v>62257</v>
      </c>
      <c r="C2008">
        <f>_xlfn.XLOOKUP(A2008, USD!A:A, USD!B:B, "")</f>
        <v>83.213999999999999</v>
      </c>
      <c r="D2008">
        <f>_xlfn.XLOOKUP(A2008, Brent!A:A, Brent!B:B, "")</f>
        <v>80.73</v>
      </c>
      <c r="E2008">
        <f>_xlfn.XLOOKUP(
  A2008,
  Repo!A:A,
  Repo!B:B,
  "",
  -1
)</f>
        <v>6.5</v>
      </c>
      <c r="F2008" s="10">
        <f>_xlfn.XLOOKUP(
  A2008,
  CPI!D:D,
  CPI!C:C,
  "",
  -1
)</f>
        <v>5.69</v>
      </c>
      <c r="G2008">
        <v>62151</v>
      </c>
    </row>
    <row r="2009" spans="1:7">
      <c r="A2009" s="1">
        <v>45282</v>
      </c>
      <c r="B2009">
        <v>62657</v>
      </c>
      <c r="C2009">
        <f>_xlfn.XLOOKUP(A2009, USD!A:A, USD!B:B, "")</f>
        <v>83.165999999999997</v>
      </c>
      <c r="D2009">
        <f>_xlfn.XLOOKUP(A2009, Brent!A:A, Brent!B:B, "")</f>
        <v>80.23</v>
      </c>
      <c r="E2009">
        <f>_xlfn.XLOOKUP(
  A2009,
  Repo!A:A,
  Repo!B:B,
  "",
  -1
)</f>
        <v>6.5</v>
      </c>
      <c r="F2009" s="10">
        <f>_xlfn.XLOOKUP(
  A2009,
  CPI!D:D,
  CPI!C:C,
  "",
  -1
)</f>
        <v>5.69</v>
      </c>
      <c r="G2009">
        <v>62257</v>
      </c>
    </row>
    <row r="2010" spans="1:7">
      <c r="A2010" s="1">
        <v>45287</v>
      </c>
      <c r="B2010">
        <v>63292</v>
      </c>
      <c r="C2010">
        <f>_xlfn.XLOOKUP(A2010, USD!A:A, USD!B:B, "")</f>
        <v>83.263000000000005</v>
      </c>
      <c r="D2010">
        <f>_xlfn.XLOOKUP(A2010, Brent!A:A, Brent!B:B, "")</f>
        <v>80.97</v>
      </c>
      <c r="E2010">
        <f>_xlfn.XLOOKUP(
  A2010,
  Repo!A:A,
  Repo!B:B,
  "",
  -1
)</f>
        <v>6.5</v>
      </c>
      <c r="F2010" s="10">
        <f>_xlfn.XLOOKUP(
  A2010,
  CPI!D:D,
  CPI!C:C,
  "",
  -1
)</f>
        <v>5.69</v>
      </c>
      <c r="G2010">
        <v>62657</v>
      </c>
    </row>
    <row r="2011" spans="1:7">
      <c r="A2011" s="1">
        <v>45288</v>
      </c>
      <c r="B2011">
        <v>63119</v>
      </c>
      <c r="C2011">
        <f>_xlfn.XLOOKUP(A2011, USD!A:A, USD!B:B, "")</f>
        <v>83.168999999999997</v>
      </c>
      <c r="D2011">
        <f>_xlfn.XLOOKUP(A2011, Brent!A:A, Brent!B:B, "")</f>
        <v>79.040000000000006</v>
      </c>
      <c r="E2011">
        <f>_xlfn.XLOOKUP(
  A2011,
  Repo!A:A,
  Repo!B:B,
  "",
  -1
)</f>
        <v>6.5</v>
      </c>
      <c r="F2011" s="10">
        <f>_xlfn.XLOOKUP(
  A2011,
  CPI!D:D,
  CPI!C:C,
  "",
  -1
)</f>
        <v>5.69</v>
      </c>
      <c r="G2011">
        <v>63292</v>
      </c>
    </row>
    <row r="2012" spans="1:7">
      <c r="A2012" s="1">
        <v>45289</v>
      </c>
      <c r="B2012">
        <v>62954</v>
      </c>
      <c r="C2012">
        <f>_xlfn.XLOOKUP(A2012, USD!A:A, USD!B:B, "")</f>
        <v>83.19</v>
      </c>
      <c r="D2012">
        <f>_xlfn.XLOOKUP(A2012, Brent!A:A, Brent!B:B, "")</f>
        <v>77.69</v>
      </c>
      <c r="E2012">
        <f>_xlfn.XLOOKUP(
  A2012,
  Repo!A:A,
  Repo!B:B,
  "",
  -1
)</f>
        <v>6.5</v>
      </c>
      <c r="F2012" s="10">
        <f>_xlfn.XLOOKUP(
  A2012,
  CPI!D:D,
  CPI!C:C,
  "",
  -1
)</f>
        <v>5.69</v>
      </c>
      <c r="G2012">
        <v>63119</v>
      </c>
    </row>
    <row r="2013" spans="1:7">
      <c r="A2013" s="1">
        <v>45293</v>
      </c>
      <c r="B2013">
        <v>63039</v>
      </c>
      <c r="C2013">
        <f>_xlfn.XLOOKUP(A2013, USD!A:A, USD!B:B, "")</f>
        <v>83.27</v>
      </c>
      <c r="D2013">
        <f>_xlfn.XLOOKUP(A2013, Brent!A:A, Brent!B:B, "")</f>
        <v>76.239999999999995</v>
      </c>
      <c r="E2013">
        <f>_xlfn.XLOOKUP(
  A2013,
  Repo!A:A,
  Repo!B:B,
  "",
  -1
)</f>
        <v>6.5</v>
      </c>
      <c r="F2013" s="10">
        <f>_xlfn.XLOOKUP(
  A2013,
  CPI!D:D,
  CPI!C:C,
  "",
  -1
)</f>
        <v>5.0999999999999996</v>
      </c>
      <c r="G2013">
        <v>62954</v>
      </c>
    </row>
    <row r="2014" spans="1:7">
      <c r="A2014" s="1">
        <v>45294</v>
      </c>
      <c r="B2014">
        <v>62294</v>
      </c>
      <c r="C2014">
        <f>_xlfn.XLOOKUP(A2014, USD!A:A, USD!B:B, "")</f>
        <v>83.281999999999996</v>
      </c>
      <c r="D2014">
        <f>_xlfn.XLOOKUP(A2014, Brent!A:A, Brent!B:B, "")</f>
        <v>77.180000000000007</v>
      </c>
      <c r="E2014">
        <f>_xlfn.XLOOKUP(
  A2014,
  Repo!A:A,
  Repo!B:B,
  "",
  -1
)</f>
        <v>6.5</v>
      </c>
      <c r="F2014" s="10">
        <f>_xlfn.XLOOKUP(
  A2014,
  CPI!D:D,
  CPI!C:C,
  "",
  -1
)</f>
        <v>5.0999999999999996</v>
      </c>
      <c r="G2014">
        <v>63039</v>
      </c>
    </row>
    <row r="2015" spans="1:7">
      <c r="A2015" s="1">
        <v>45295</v>
      </c>
      <c r="B2015">
        <v>62444</v>
      </c>
      <c r="C2015">
        <f>_xlfn.XLOOKUP(A2015, USD!A:A, USD!B:B, "")</f>
        <v>83.242999999999995</v>
      </c>
      <c r="D2015">
        <f>_xlfn.XLOOKUP(A2015, Brent!A:A, Brent!B:B, "")</f>
        <v>75.790000000000006</v>
      </c>
      <c r="E2015">
        <f>_xlfn.XLOOKUP(
  A2015,
  Repo!A:A,
  Repo!B:B,
  "",
  -1
)</f>
        <v>6.5</v>
      </c>
      <c r="F2015" s="10">
        <f>_xlfn.XLOOKUP(
  A2015,
  CPI!D:D,
  CPI!C:C,
  "",
  -1
)</f>
        <v>5.0999999999999996</v>
      </c>
      <c r="G2015">
        <v>62294</v>
      </c>
    </row>
    <row r="2016" spans="1:7">
      <c r="A2016" s="1">
        <v>45296</v>
      </c>
      <c r="B2016">
        <v>62627</v>
      </c>
      <c r="C2016">
        <f>_xlfn.XLOOKUP(A2016, USD!A:A, USD!B:B, "")</f>
        <v>83.102999999999994</v>
      </c>
      <c r="D2016">
        <f>_xlfn.XLOOKUP(A2016, Brent!A:A, Brent!B:B, "")</f>
        <v>78.31</v>
      </c>
      <c r="E2016">
        <f>_xlfn.XLOOKUP(
  A2016,
  Repo!A:A,
  Repo!B:B,
  "",
  -1
)</f>
        <v>6.5</v>
      </c>
      <c r="F2016" s="10">
        <f>_xlfn.XLOOKUP(
  A2016,
  CPI!D:D,
  CPI!C:C,
  "",
  -1
)</f>
        <v>5.0999999999999996</v>
      </c>
      <c r="G2016">
        <v>62444</v>
      </c>
    </row>
    <row r="2017" spans="1:7">
      <c r="A2017" s="1">
        <v>45299</v>
      </c>
      <c r="B2017">
        <v>62140</v>
      </c>
      <c r="C2017">
        <f>_xlfn.XLOOKUP(A2017, USD!A:A, USD!B:B, "")</f>
        <v>83.045000000000002</v>
      </c>
      <c r="D2017">
        <f>_xlfn.XLOOKUP(A2017, Brent!A:A, Brent!B:B, "")</f>
        <v>75.47</v>
      </c>
      <c r="E2017">
        <f>_xlfn.XLOOKUP(
  A2017,
  Repo!A:A,
  Repo!B:B,
  "",
  -1
)</f>
        <v>6.5</v>
      </c>
      <c r="F2017" s="10">
        <f>_xlfn.XLOOKUP(
  A2017,
  CPI!D:D,
  CPI!C:C,
  "",
  -1
)</f>
        <v>5.0999999999999996</v>
      </c>
      <c r="G2017">
        <v>62627</v>
      </c>
    </row>
    <row r="2018" spans="1:7">
      <c r="A2018" s="1">
        <v>45300</v>
      </c>
      <c r="B2018">
        <v>62211</v>
      </c>
      <c r="C2018">
        <f>_xlfn.XLOOKUP(A2018, USD!A:A, USD!B:B, "")</f>
        <v>83.108999999999995</v>
      </c>
      <c r="D2018">
        <f>_xlfn.XLOOKUP(A2018, Brent!A:A, Brent!B:B, "")</f>
        <v>77.97</v>
      </c>
      <c r="E2018">
        <f>_xlfn.XLOOKUP(
  A2018,
  Repo!A:A,
  Repo!B:B,
  "",
  -1
)</f>
        <v>6.5</v>
      </c>
      <c r="F2018" s="10">
        <f>_xlfn.XLOOKUP(
  A2018,
  CPI!D:D,
  CPI!C:C,
  "",
  -1
)</f>
        <v>5.0999999999999996</v>
      </c>
      <c r="G2018">
        <v>62140</v>
      </c>
    </row>
    <row r="2019" spans="1:7">
      <c r="A2019" s="1">
        <v>45301</v>
      </c>
      <c r="B2019">
        <v>62047</v>
      </c>
      <c r="C2019">
        <f>_xlfn.XLOOKUP(A2019, USD!A:A, USD!B:B, "")</f>
        <v>83.022999999999996</v>
      </c>
      <c r="D2019">
        <f>_xlfn.XLOOKUP(A2019, Brent!A:A, Brent!B:B, "")</f>
        <v>78.459999999999994</v>
      </c>
      <c r="E2019">
        <f>_xlfn.XLOOKUP(
  A2019,
  Repo!A:A,
  Repo!B:B,
  "",
  -1
)</f>
        <v>6.5</v>
      </c>
      <c r="F2019" s="10">
        <f>_xlfn.XLOOKUP(
  A2019,
  CPI!D:D,
  CPI!C:C,
  "",
  -1
)</f>
        <v>5.0999999999999996</v>
      </c>
      <c r="G2019">
        <v>62211</v>
      </c>
    </row>
    <row r="2020" spans="1:7">
      <c r="A2020" s="1">
        <v>45302</v>
      </c>
      <c r="B2020">
        <v>61830</v>
      </c>
      <c r="C2020">
        <f>_xlfn.XLOOKUP(A2020, USD!A:A, USD!B:B, "")</f>
        <v>83.063000000000002</v>
      </c>
      <c r="D2020">
        <f>_xlfn.XLOOKUP(A2020, Brent!A:A, Brent!B:B, "")</f>
        <v>80.209999999999994</v>
      </c>
      <c r="E2020">
        <f>_xlfn.XLOOKUP(
  A2020,
  Repo!A:A,
  Repo!B:B,
  "",
  -1
)</f>
        <v>6.5</v>
      </c>
      <c r="F2020" s="10">
        <f>_xlfn.XLOOKUP(
  A2020,
  CPI!D:D,
  CPI!C:C,
  "",
  -1
)</f>
        <v>5.0999999999999996</v>
      </c>
      <c r="G2020">
        <v>62047</v>
      </c>
    </row>
    <row r="2021" spans="1:7">
      <c r="A2021" s="1">
        <v>45303</v>
      </c>
      <c r="B2021">
        <v>62372</v>
      </c>
      <c r="C2021">
        <f>_xlfn.XLOOKUP(A2021, USD!A:A, USD!B:B, "")</f>
        <v>82.856999999999999</v>
      </c>
      <c r="D2021">
        <f>_xlfn.XLOOKUP(A2021, Brent!A:A, Brent!B:B, "")</f>
        <v>79.89</v>
      </c>
      <c r="E2021">
        <f>_xlfn.XLOOKUP(
  A2021,
  Repo!A:A,
  Repo!B:B,
  "",
  -1
)</f>
        <v>6.5</v>
      </c>
      <c r="F2021" s="10">
        <f>_xlfn.XLOOKUP(
  A2021,
  CPI!D:D,
  CPI!C:C,
  "",
  -1
)</f>
        <v>5.0999999999999996</v>
      </c>
      <c r="G2021">
        <v>61830</v>
      </c>
    </row>
    <row r="2022" spans="1:7">
      <c r="A2022" s="1">
        <v>45306</v>
      </c>
      <c r="B2022">
        <v>62567</v>
      </c>
      <c r="C2022">
        <f>_xlfn.XLOOKUP(A2022, USD!A:A, USD!B:B, "")</f>
        <v>82.826999999999998</v>
      </c>
      <c r="D2022">
        <f>_xlfn.XLOOKUP(A2022, Brent!A:A, Brent!B:B, "")</f>
        <v>79.760000000000005</v>
      </c>
      <c r="E2022">
        <f>_xlfn.XLOOKUP(
  A2022,
  Repo!A:A,
  Repo!B:B,
  "",
  -1
)</f>
        <v>6.5</v>
      </c>
      <c r="F2022" s="10">
        <f>_xlfn.XLOOKUP(
  A2022,
  CPI!D:D,
  CPI!C:C,
  "",
  -1
)</f>
        <v>5.0999999999999996</v>
      </c>
      <c r="G2022">
        <v>62372</v>
      </c>
    </row>
    <row r="2023" spans="1:7">
      <c r="A2023" s="1">
        <v>45307</v>
      </c>
      <c r="B2023">
        <v>62065</v>
      </c>
      <c r="C2023">
        <f>_xlfn.XLOOKUP(A2023, USD!A:A, USD!B:B, "")</f>
        <v>83.084000000000003</v>
      </c>
      <c r="D2023">
        <f>_xlfn.XLOOKUP(A2023, Brent!A:A, Brent!B:B, "")</f>
        <v>80.150000000000006</v>
      </c>
      <c r="E2023">
        <f>_xlfn.XLOOKUP(
  A2023,
  Repo!A:A,
  Repo!B:B,
  "",
  -1
)</f>
        <v>6.5</v>
      </c>
      <c r="F2023" s="10">
        <f>_xlfn.XLOOKUP(
  A2023,
  CPI!D:D,
  CPI!C:C,
  "",
  -1
)</f>
        <v>5.0999999999999996</v>
      </c>
      <c r="G2023">
        <v>62567</v>
      </c>
    </row>
    <row r="2024" spans="1:7">
      <c r="A2024" s="1">
        <v>45308</v>
      </c>
      <c r="B2024">
        <v>61561</v>
      </c>
      <c r="C2024">
        <f>_xlfn.XLOOKUP(A2024, USD!A:A, USD!B:B, "")</f>
        <v>83.182000000000002</v>
      </c>
      <c r="D2024">
        <f>_xlfn.XLOOKUP(A2024, Brent!A:A, Brent!B:B, "")</f>
        <v>78.88</v>
      </c>
      <c r="E2024">
        <f>_xlfn.XLOOKUP(
  A2024,
  Repo!A:A,
  Repo!B:B,
  "",
  -1
)</f>
        <v>6.5</v>
      </c>
      <c r="F2024" s="10">
        <f>_xlfn.XLOOKUP(
  A2024,
  CPI!D:D,
  CPI!C:C,
  "",
  -1
)</f>
        <v>5.0999999999999996</v>
      </c>
      <c r="G2024">
        <v>62065</v>
      </c>
    </row>
    <row r="2025" spans="1:7">
      <c r="A2025" s="1">
        <v>45309</v>
      </c>
      <c r="B2025">
        <v>61791</v>
      </c>
      <c r="C2025">
        <f>_xlfn.XLOOKUP(A2025, USD!A:A, USD!B:B, "")</f>
        <v>83.165000000000006</v>
      </c>
      <c r="D2025">
        <f>_xlfn.XLOOKUP(A2025, Brent!A:A, Brent!B:B, "")</f>
        <v>81.040000000000006</v>
      </c>
      <c r="E2025">
        <f>_xlfn.XLOOKUP(
  A2025,
  Repo!A:A,
  Repo!B:B,
  "",
  -1
)</f>
        <v>6.5</v>
      </c>
      <c r="F2025" s="10">
        <f>_xlfn.XLOOKUP(
  A2025,
  CPI!D:D,
  CPI!C:C,
  "",
  -1
)</f>
        <v>5.0999999999999996</v>
      </c>
      <c r="G2025">
        <v>61561</v>
      </c>
    </row>
    <row r="2026" spans="1:7">
      <c r="A2026" s="1">
        <v>45310</v>
      </c>
      <c r="B2026">
        <v>62021</v>
      </c>
      <c r="C2026">
        <f>_xlfn.XLOOKUP(A2026, USD!A:A, USD!B:B, "")</f>
        <v>83.085999999999999</v>
      </c>
      <c r="D2026">
        <f>_xlfn.XLOOKUP(A2026, Brent!A:A, Brent!B:B, "")</f>
        <v>80.709999999999994</v>
      </c>
      <c r="E2026">
        <f>_xlfn.XLOOKUP(
  A2026,
  Repo!A:A,
  Repo!B:B,
  "",
  -1
)</f>
        <v>6.5</v>
      </c>
      <c r="F2026" s="10">
        <f>_xlfn.XLOOKUP(
  A2026,
  CPI!D:D,
  CPI!C:C,
  "",
  -1
)</f>
        <v>5.0999999999999996</v>
      </c>
      <c r="G2026">
        <v>61791</v>
      </c>
    </row>
    <row r="2027" spans="1:7">
      <c r="A2027" s="1">
        <v>45313</v>
      </c>
      <c r="B2027">
        <v>61888</v>
      </c>
      <c r="C2027">
        <f>_xlfn.XLOOKUP(A2027, USD!A:A, USD!B:B, "")</f>
        <v>83.1</v>
      </c>
      <c r="D2027">
        <f>_xlfn.XLOOKUP(A2027, Brent!A:A, Brent!B:B, "")</f>
        <v>81.7</v>
      </c>
      <c r="E2027">
        <f>_xlfn.XLOOKUP(
  A2027,
  Repo!A:A,
  Repo!B:B,
  "",
  -1
)</f>
        <v>6.5</v>
      </c>
      <c r="F2027" s="10">
        <f>_xlfn.XLOOKUP(
  A2027,
  CPI!D:D,
  CPI!C:C,
  "",
  -1
)</f>
        <v>5.0999999999999996</v>
      </c>
      <c r="G2027">
        <v>62021</v>
      </c>
    </row>
    <row r="2028" spans="1:7">
      <c r="A2028" s="1">
        <v>45314</v>
      </c>
      <c r="B2028">
        <v>62003</v>
      </c>
      <c r="C2028">
        <f>_xlfn.XLOOKUP(A2028, USD!A:A, USD!B:B, "")</f>
        <v>83.15</v>
      </c>
      <c r="D2028">
        <f>_xlfn.XLOOKUP(A2028, Brent!A:A, Brent!B:B, "")</f>
        <v>82.04</v>
      </c>
      <c r="E2028">
        <f>_xlfn.XLOOKUP(
  A2028,
  Repo!A:A,
  Repo!B:B,
  "",
  -1
)</f>
        <v>6.5</v>
      </c>
      <c r="F2028" s="10">
        <f>_xlfn.XLOOKUP(
  A2028,
  CPI!D:D,
  CPI!C:C,
  "",
  -1
)</f>
        <v>5.0999999999999996</v>
      </c>
      <c r="G2028">
        <v>61888</v>
      </c>
    </row>
    <row r="2029" spans="1:7">
      <c r="A2029" s="1">
        <v>45315</v>
      </c>
      <c r="B2029">
        <v>62072</v>
      </c>
      <c r="C2029">
        <f>_xlfn.XLOOKUP(A2029, USD!A:A, USD!B:B, "")</f>
        <v>83.13</v>
      </c>
      <c r="D2029">
        <f>_xlfn.XLOOKUP(A2029, Brent!A:A, Brent!B:B, "")</f>
        <v>82.15</v>
      </c>
      <c r="E2029">
        <f>_xlfn.XLOOKUP(
  A2029,
  Repo!A:A,
  Repo!B:B,
  "",
  -1
)</f>
        <v>6.5</v>
      </c>
      <c r="F2029" s="10">
        <f>_xlfn.XLOOKUP(
  A2029,
  CPI!D:D,
  CPI!C:C,
  "",
  -1
)</f>
        <v>5.0999999999999996</v>
      </c>
      <c r="G2029">
        <v>62003</v>
      </c>
    </row>
    <row r="2030" spans="1:7">
      <c r="A2030" s="1">
        <v>45316</v>
      </c>
      <c r="B2030">
        <v>62036</v>
      </c>
      <c r="C2030">
        <f>_xlfn.XLOOKUP(A2030, USD!A:A, USD!B:B, "")</f>
        <v>83.144000000000005</v>
      </c>
      <c r="D2030">
        <f>_xlfn.XLOOKUP(A2030, Brent!A:A, Brent!B:B, "")</f>
        <v>82.33</v>
      </c>
      <c r="E2030">
        <f>_xlfn.XLOOKUP(
  A2030,
  Repo!A:A,
  Repo!B:B,
  "",
  -1
)</f>
        <v>6.5</v>
      </c>
      <c r="F2030" s="10">
        <f>_xlfn.XLOOKUP(
  A2030,
  CPI!D:D,
  CPI!C:C,
  "",
  -1
)</f>
        <v>5.0999999999999996</v>
      </c>
      <c r="G2030">
        <v>62072</v>
      </c>
    </row>
    <row r="2031" spans="1:7">
      <c r="A2031" s="1">
        <v>45320</v>
      </c>
      <c r="B2031">
        <v>62234</v>
      </c>
      <c r="C2031">
        <f>_xlfn.XLOOKUP(A2031, USD!A:A, USD!B:B, "")</f>
        <v>83.134</v>
      </c>
      <c r="D2031">
        <f>_xlfn.XLOOKUP(A2031, Brent!A:A, Brent!B:B, "")</f>
        <v>83.99</v>
      </c>
      <c r="E2031">
        <f>_xlfn.XLOOKUP(
  A2031,
  Repo!A:A,
  Repo!B:B,
  "",
  -1
)</f>
        <v>6.5</v>
      </c>
      <c r="F2031" s="10">
        <f>_xlfn.XLOOKUP(
  A2031,
  CPI!D:D,
  CPI!C:C,
  "",
  -1
)</f>
        <v>5.0999999999999996</v>
      </c>
      <c r="G2031">
        <v>62036</v>
      </c>
    </row>
    <row r="2032" spans="1:7">
      <c r="A2032" s="1">
        <v>45321</v>
      </c>
      <c r="B2032">
        <v>62371</v>
      </c>
      <c r="C2032">
        <f>_xlfn.XLOOKUP(A2032, USD!A:A, USD!B:B, "")</f>
        <v>83.12</v>
      </c>
      <c r="D2032">
        <f>_xlfn.XLOOKUP(A2032, Brent!A:A, Brent!B:B, "")</f>
        <v>84.14</v>
      </c>
      <c r="E2032">
        <f>_xlfn.XLOOKUP(
  A2032,
  Repo!A:A,
  Repo!B:B,
  "",
  -1
)</f>
        <v>6.5</v>
      </c>
      <c r="F2032" s="10">
        <f>_xlfn.XLOOKUP(
  A2032,
  CPI!D:D,
  CPI!C:C,
  "",
  -1
)</f>
        <v>5.0999999999999996</v>
      </c>
      <c r="G2032">
        <v>62234</v>
      </c>
    </row>
    <row r="2033" spans="1:7">
      <c r="A2033" s="1">
        <v>45322</v>
      </c>
      <c r="B2033">
        <v>62865</v>
      </c>
      <c r="C2033">
        <f>_xlfn.XLOOKUP(A2033, USD!A:A, USD!B:B, "")</f>
        <v>83.094999999999999</v>
      </c>
      <c r="D2033">
        <f>_xlfn.XLOOKUP(A2033, Brent!A:A, Brent!B:B, "")</f>
        <v>82.98</v>
      </c>
      <c r="E2033">
        <f>_xlfn.XLOOKUP(
  A2033,
  Repo!A:A,
  Repo!B:B,
  "",
  -1
)</f>
        <v>6.5</v>
      </c>
      <c r="F2033" s="10">
        <f>_xlfn.XLOOKUP(
  A2033,
  CPI!D:D,
  CPI!C:C,
  "",
  -1
)</f>
        <v>5.0999999999999996</v>
      </c>
      <c r="G2033">
        <v>62371</v>
      </c>
    </row>
    <row r="2034" spans="1:7">
      <c r="A2034" s="1">
        <v>45323</v>
      </c>
      <c r="B2034">
        <v>63079</v>
      </c>
      <c r="C2034">
        <f>_xlfn.XLOOKUP(A2034, USD!A:A, USD!B:B, "")</f>
        <v>82.947000000000003</v>
      </c>
      <c r="D2034">
        <f>_xlfn.XLOOKUP(A2034, Brent!A:A, Brent!B:B, "")</f>
        <v>82.2</v>
      </c>
      <c r="E2034">
        <f>_xlfn.XLOOKUP(
  A2034,
  Repo!A:A,
  Repo!B:B,
  "",
  -1
)</f>
        <v>6.5</v>
      </c>
      <c r="F2034" s="10">
        <f>_xlfn.XLOOKUP(
  A2034,
  CPI!D:D,
  CPI!C:C,
  "",
  -1
)</f>
        <v>5.09</v>
      </c>
      <c r="G2034">
        <v>62865</v>
      </c>
    </row>
    <row r="2035" spans="1:7">
      <c r="A2035" s="1">
        <v>45324</v>
      </c>
      <c r="B2035">
        <v>62639</v>
      </c>
      <c r="C2035">
        <f>_xlfn.XLOOKUP(A2035, USD!A:A, USD!B:B, "")</f>
        <v>82.998999999999995</v>
      </c>
      <c r="D2035">
        <f>_xlfn.XLOOKUP(A2035, Brent!A:A, Brent!B:B, "")</f>
        <v>79.540000000000006</v>
      </c>
      <c r="E2035">
        <f>_xlfn.XLOOKUP(
  A2035,
  Repo!A:A,
  Repo!B:B,
  "",
  -1
)</f>
        <v>6.5</v>
      </c>
      <c r="F2035" s="10">
        <f>_xlfn.XLOOKUP(
  A2035,
  CPI!D:D,
  CPI!C:C,
  "",
  -1
)</f>
        <v>5.09</v>
      </c>
      <c r="G2035">
        <v>63079</v>
      </c>
    </row>
    <row r="2036" spans="1:7">
      <c r="A2036" s="1">
        <v>45327</v>
      </c>
      <c r="B2036">
        <v>62542</v>
      </c>
      <c r="C2036">
        <f>_xlfn.XLOOKUP(A2036, USD!A:A, USD!B:B, "")</f>
        <v>83.036000000000001</v>
      </c>
      <c r="D2036">
        <f>_xlfn.XLOOKUP(A2036, Brent!A:A, Brent!B:B, "")</f>
        <v>79.3</v>
      </c>
      <c r="E2036">
        <f>_xlfn.XLOOKUP(
  A2036,
  Repo!A:A,
  Repo!B:B,
  "",
  -1
)</f>
        <v>6.5</v>
      </c>
      <c r="F2036" s="10">
        <f>_xlfn.XLOOKUP(
  A2036,
  CPI!D:D,
  CPI!C:C,
  "",
  -1
)</f>
        <v>5.09</v>
      </c>
      <c r="G2036">
        <v>62639</v>
      </c>
    </row>
    <row r="2037" spans="1:7">
      <c r="A2037" s="1">
        <v>45328</v>
      </c>
      <c r="B2037">
        <v>62322</v>
      </c>
      <c r="C2037">
        <f>_xlfn.XLOOKUP(A2037, USD!A:A, USD!B:B, "")</f>
        <v>83.061999999999998</v>
      </c>
      <c r="D2037">
        <f>_xlfn.XLOOKUP(A2037, Brent!A:A, Brent!B:B, "")</f>
        <v>80.459999999999994</v>
      </c>
      <c r="E2037">
        <f>_xlfn.XLOOKUP(
  A2037,
  Repo!A:A,
  Repo!B:B,
  "",
  -1
)</f>
        <v>6.5</v>
      </c>
      <c r="F2037" s="10">
        <f>_xlfn.XLOOKUP(
  A2037,
  CPI!D:D,
  CPI!C:C,
  "",
  -1
)</f>
        <v>5.09</v>
      </c>
      <c r="G2037">
        <v>62542</v>
      </c>
    </row>
    <row r="2038" spans="1:7">
      <c r="A2038" s="1">
        <v>45329</v>
      </c>
      <c r="B2038">
        <v>62305</v>
      </c>
      <c r="C2038">
        <f>_xlfn.XLOOKUP(A2038, USD!A:A, USD!B:B, "")</f>
        <v>82.977000000000004</v>
      </c>
      <c r="D2038">
        <f>_xlfn.XLOOKUP(A2038, Brent!A:A, Brent!B:B, "")</f>
        <v>81.180000000000007</v>
      </c>
      <c r="E2038">
        <f>_xlfn.XLOOKUP(
  A2038,
  Repo!A:A,
  Repo!B:B,
  "",
  -1
)</f>
        <v>6.5</v>
      </c>
      <c r="F2038" s="10">
        <f>_xlfn.XLOOKUP(
  A2038,
  CPI!D:D,
  CPI!C:C,
  "",
  -1
)</f>
        <v>5.09</v>
      </c>
      <c r="G2038">
        <v>62322</v>
      </c>
    </row>
    <row r="2039" spans="1:7">
      <c r="A2039" s="1">
        <v>45330</v>
      </c>
      <c r="B2039">
        <v>62219</v>
      </c>
      <c r="C2039">
        <f>_xlfn.XLOOKUP(A2039, USD!A:A, USD!B:B, "")</f>
        <v>82.977999999999994</v>
      </c>
      <c r="D2039">
        <f>_xlfn.XLOOKUP(A2039, Brent!A:A, Brent!B:B, "")</f>
        <v>83.01</v>
      </c>
      <c r="E2039">
        <f>_xlfn.XLOOKUP(
  A2039,
  Repo!A:A,
  Repo!B:B,
  "",
  -1
)</f>
        <v>6.5</v>
      </c>
      <c r="F2039" s="10">
        <f>_xlfn.XLOOKUP(
  A2039,
  CPI!D:D,
  CPI!C:C,
  "",
  -1
)</f>
        <v>5.09</v>
      </c>
      <c r="G2039">
        <v>62305</v>
      </c>
    </row>
    <row r="2040" spans="1:7">
      <c r="A2040" s="1">
        <v>45331</v>
      </c>
      <c r="B2040">
        <v>62105</v>
      </c>
      <c r="C2040">
        <f>_xlfn.XLOOKUP(A2040, USD!A:A, USD!B:B, "")</f>
        <v>83</v>
      </c>
      <c r="D2040">
        <f>_xlfn.XLOOKUP(A2040, Brent!A:A, Brent!B:B, "")</f>
        <v>83.58</v>
      </c>
      <c r="E2040">
        <f>_xlfn.XLOOKUP(
  A2040,
  Repo!A:A,
  Repo!B:B,
  "",
  -1
)</f>
        <v>6.5</v>
      </c>
      <c r="F2040" s="10">
        <f>_xlfn.XLOOKUP(
  A2040,
  CPI!D:D,
  CPI!C:C,
  "",
  -1
)</f>
        <v>5.09</v>
      </c>
      <c r="G2040">
        <v>62219</v>
      </c>
    </row>
    <row r="2041" spans="1:7">
      <c r="A2041" s="1">
        <v>45334</v>
      </c>
      <c r="B2041">
        <v>61856</v>
      </c>
      <c r="C2041">
        <f>_xlfn.XLOOKUP(A2041, USD!A:A, USD!B:B, "")</f>
        <v>82.97</v>
      </c>
      <c r="D2041">
        <f>_xlfn.XLOOKUP(A2041, Brent!A:A, Brent!B:B, "")</f>
        <v>83.88</v>
      </c>
      <c r="E2041">
        <f>_xlfn.XLOOKUP(
  A2041,
  Repo!A:A,
  Repo!B:B,
  "",
  -1
)</f>
        <v>6.5</v>
      </c>
      <c r="F2041" s="10">
        <f>_xlfn.XLOOKUP(
  A2041,
  CPI!D:D,
  CPI!C:C,
  "",
  -1
)</f>
        <v>5.09</v>
      </c>
      <c r="G2041">
        <v>62105</v>
      </c>
    </row>
    <row r="2042" spans="1:7">
      <c r="A2042" s="1">
        <v>45335</v>
      </c>
      <c r="B2042">
        <v>61267</v>
      </c>
      <c r="C2042">
        <f>_xlfn.XLOOKUP(A2042, USD!A:A, USD!B:B, "")</f>
        <v>83.097999999999999</v>
      </c>
      <c r="D2042">
        <f>_xlfn.XLOOKUP(A2042, Brent!A:A, Brent!B:B, "")</f>
        <v>84.72</v>
      </c>
      <c r="E2042">
        <f>_xlfn.XLOOKUP(
  A2042,
  Repo!A:A,
  Repo!B:B,
  "",
  -1
)</f>
        <v>6.5</v>
      </c>
      <c r="F2042" s="10">
        <f>_xlfn.XLOOKUP(
  A2042,
  CPI!D:D,
  CPI!C:C,
  "",
  -1
)</f>
        <v>5.09</v>
      </c>
      <c r="G2042">
        <v>61856</v>
      </c>
    </row>
    <row r="2043" spans="1:7">
      <c r="A2043" s="1">
        <v>45336</v>
      </c>
      <c r="B2043">
        <v>61170</v>
      </c>
      <c r="C2043">
        <f>_xlfn.XLOOKUP(A2043, USD!A:A, USD!B:B, "")</f>
        <v>83.034000000000006</v>
      </c>
      <c r="D2043">
        <f>_xlfn.XLOOKUP(A2043, Brent!A:A, Brent!B:B, "")</f>
        <v>84.41</v>
      </c>
      <c r="E2043">
        <f>_xlfn.XLOOKUP(
  A2043,
  Repo!A:A,
  Repo!B:B,
  "",
  -1
)</f>
        <v>6.5</v>
      </c>
      <c r="F2043" s="10">
        <f>_xlfn.XLOOKUP(
  A2043,
  CPI!D:D,
  CPI!C:C,
  "",
  -1
)</f>
        <v>5.09</v>
      </c>
      <c r="G2043">
        <v>61267</v>
      </c>
    </row>
    <row r="2044" spans="1:7">
      <c r="A2044" s="1">
        <v>45337</v>
      </c>
      <c r="B2044">
        <v>61306</v>
      </c>
      <c r="C2044">
        <f>_xlfn.XLOOKUP(A2044, USD!A:A, USD!B:B, "")</f>
        <v>82.988</v>
      </c>
      <c r="D2044">
        <f>_xlfn.XLOOKUP(A2044, Brent!A:A, Brent!B:B, "")</f>
        <v>84.33</v>
      </c>
      <c r="E2044">
        <f>_xlfn.XLOOKUP(
  A2044,
  Repo!A:A,
  Repo!B:B,
  "",
  -1
)</f>
        <v>6.5</v>
      </c>
      <c r="F2044" s="10">
        <f>_xlfn.XLOOKUP(
  A2044,
  CPI!D:D,
  CPI!C:C,
  "",
  -1
)</f>
        <v>5.09</v>
      </c>
      <c r="G2044">
        <v>61170</v>
      </c>
    </row>
    <row r="2045" spans="1:7">
      <c r="A2045" s="1">
        <v>45338</v>
      </c>
      <c r="B2045">
        <v>61498</v>
      </c>
      <c r="C2045">
        <f>_xlfn.XLOOKUP(A2045, USD!A:A, USD!B:B, "")</f>
        <v>83.013000000000005</v>
      </c>
      <c r="D2045">
        <f>_xlfn.XLOOKUP(A2045, Brent!A:A, Brent!B:B, "")</f>
        <v>84.88</v>
      </c>
      <c r="E2045">
        <f>_xlfn.XLOOKUP(
  A2045,
  Repo!A:A,
  Repo!B:B,
  "",
  -1
)</f>
        <v>6.5</v>
      </c>
      <c r="F2045" s="10">
        <f>_xlfn.XLOOKUP(
  A2045,
  CPI!D:D,
  CPI!C:C,
  "",
  -1
)</f>
        <v>5.09</v>
      </c>
      <c r="G2045">
        <v>61306</v>
      </c>
    </row>
    <row r="2046" spans="1:7">
      <c r="A2046" s="1">
        <v>45341</v>
      </c>
      <c r="B2046">
        <v>61641</v>
      </c>
      <c r="C2046">
        <f>_xlfn.XLOOKUP(A2046, USD!A:A, USD!B:B, "")</f>
        <v>83.025999999999996</v>
      </c>
      <c r="D2046">
        <f>_xlfn.XLOOKUP(A2046, Brent!A:A, Brent!B:B, "")</f>
        <v>85.52</v>
      </c>
      <c r="E2046">
        <f>_xlfn.XLOOKUP(
  A2046,
  Repo!A:A,
  Repo!B:B,
  "",
  -1
)</f>
        <v>6.5</v>
      </c>
      <c r="F2046" s="10">
        <f>_xlfn.XLOOKUP(
  A2046,
  CPI!D:D,
  CPI!C:C,
  "",
  -1
)</f>
        <v>5.09</v>
      </c>
      <c r="G2046">
        <v>61498</v>
      </c>
    </row>
    <row r="2047" spans="1:7">
      <c r="A2047" s="1">
        <v>45342</v>
      </c>
      <c r="B2047">
        <v>61810</v>
      </c>
      <c r="C2047">
        <f>_xlfn.XLOOKUP(A2047, USD!A:A, USD!B:B, "")</f>
        <v>82.89</v>
      </c>
      <c r="D2047">
        <f>_xlfn.XLOOKUP(A2047, Brent!A:A, Brent!B:B, "")</f>
        <v>84.78</v>
      </c>
      <c r="E2047">
        <f>_xlfn.XLOOKUP(
  A2047,
  Repo!A:A,
  Repo!B:B,
  "",
  -1
)</f>
        <v>6.5</v>
      </c>
      <c r="F2047" s="10">
        <f>_xlfn.XLOOKUP(
  A2047,
  CPI!D:D,
  CPI!C:C,
  "",
  -1
)</f>
        <v>5.09</v>
      </c>
      <c r="G2047">
        <v>61641</v>
      </c>
    </row>
    <row r="2048" spans="1:7">
      <c r="A2048" s="1">
        <v>45343</v>
      </c>
      <c r="B2048">
        <v>61744</v>
      </c>
      <c r="C2048">
        <f>_xlfn.XLOOKUP(A2048, USD!A:A, USD!B:B, "")</f>
        <v>82.93</v>
      </c>
      <c r="D2048">
        <f>_xlfn.XLOOKUP(A2048, Brent!A:A, Brent!B:B, "")</f>
        <v>84.77</v>
      </c>
      <c r="E2048">
        <f>_xlfn.XLOOKUP(
  A2048,
  Repo!A:A,
  Repo!B:B,
  "",
  -1
)</f>
        <v>6.5</v>
      </c>
      <c r="F2048" s="10">
        <f>_xlfn.XLOOKUP(
  A2048,
  CPI!D:D,
  CPI!C:C,
  "",
  -1
)</f>
        <v>5.09</v>
      </c>
      <c r="G2048">
        <v>61810</v>
      </c>
    </row>
    <row r="2049" spans="1:7">
      <c r="A2049" s="1">
        <v>45344</v>
      </c>
      <c r="B2049">
        <v>61661</v>
      </c>
      <c r="C2049">
        <f>_xlfn.XLOOKUP(A2049, USD!A:A, USD!B:B, "")</f>
        <v>82.837000000000003</v>
      </c>
      <c r="D2049">
        <f>_xlfn.XLOOKUP(A2049, Brent!A:A, Brent!B:B, "")</f>
        <v>85.84</v>
      </c>
      <c r="E2049">
        <f>_xlfn.XLOOKUP(
  A2049,
  Repo!A:A,
  Repo!B:B,
  "",
  -1
)</f>
        <v>6.5</v>
      </c>
      <c r="F2049" s="10">
        <f>_xlfn.XLOOKUP(
  A2049,
  CPI!D:D,
  CPI!C:C,
  "",
  -1
)</f>
        <v>5.09</v>
      </c>
      <c r="G2049">
        <v>61744</v>
      </c>
    </row>
    <row r="2050" spans="1:7">
      <c r="A2050" s="1">
        <v>45345</v>
      </c>
      <c r="B2050">
        <v>61910</v>
      </c>
      <c r="C2050">
        <f>_xlfn.XLOOKUP(A2050, USD!A:A, USD!B:B, "")</f>
        <v>82.858999999999995</v>
      </c>
      <c r="D2050">
        <f>_xlfn.XLOOKUP(A2050, Brent!A:A, Brent!B:B, "")</f>
        <v>84.18</v>
      </c>
      <c r="E2050">
        <f>_xlfn.XLOOKUP(
  A2050,
  Repo!A:A,
  Repo!B:B,
  "",
  -1
)</f>
        <v>6.5</v>
      </c>
      <c r="F2050" s="10">
        <f>_xlfn.XLOOKUP(
  A2050,
  CPI!D:D,
  CPI!C:C,
  "",
  -1
)</f>
        <v>5.09</v>
      </c>
      <c r="G2050">
        <v>61661</v>
      </c>
    </row>
    <row r="2051" spans="1:7">
      <c r="A2051" s="1">
        <v>45348</v>
      </c>
      <c r="B2051">
        <v>61766</v>
      </c>
      <c r="C2051">
        <f>_xlfn.XLOOKUP(A2051, USD!A:A, USD!B:B, "")</f>
        <v>82.846000000000004</v>
      </c>
      <c r="D2051">
        <f>_xlfn.XLOOKUP(A2051, Brent!A:A, Brent!B:B, "")</f>
        <v>84.01</v>
      </c>
      <c r="E2051">
        <f>_xlfn.XLOOKUP(
  A2051,
  Repo!A:A,
  Repo!B:B,
  "",
  -1
)</f>
        <v>6.5</v>
      </c>
      <c r="F2051" s="10">
        <f>_xlfn.XLOOKUP(
  A2051,
  CPI!D:D,
  CPI!C:C,
  "",
  -1
)</f>
        <v>5.09</v>
      </c>
      <c r="G2051">
        <v>61910</v>
      </c>
    </row>
    <row r="2052" spans="1:7">
      <c r="A2052" s="1">
        <v>45349</v>
      </c>
      <c r="B2052">
        <v>61839</v>
      </c>
      <c r="C2052">
        <f>_xlfn.XLOOKUP(A2052, USD!A:A, USD!B:B, "")</f>
        <v>82.876999999999995</v>
      </c>
      <c r="D2052">
        <f>_xlfn.XLOOKUP(A2052, Brent!A:A, Brent!B:B, "")</f>
        <v>83.8</v>
      </c>
      <c r="E2052">
        <f>_xlfn.XLOOKUP(
  A2052,
  Repo!A:A,
  Repo!B:B,
  "",
  -1
)</f>
        <v>6.5</v>
      </c>
      <c r="F2052" s="10">
        <f>_xlfn.XLOOKUP(
  A2052,
  CPI!D:D,
  CPI!C:C,
  "",
  -1
)</f>
        <v>5.09</v>
      </c>
      <c r="G2052">
        <v>61766</v>
      </c>
    </row>
    <row r="2053" spans="1:7">
      <c r="A2053" s="1">
        <v>45350</v>
      </c>
      <c r="B2053">
        <v>61792</v>
      </c>
      <c r="C2053">
        <f>_xlfn.XLOOKUP(A2053, USD!A:A, USD!B:B, "")</f>
        <v>82.9</v>
      </c>
      <c r="D2053">
        <f>_xlfn.XLOOKUP(A2053, Brent!A:A, Brent!B:B, "")</f>
        <v>84.08</v>
      </c>
      <c r="E2053">
        <f>_xlfn.XLOOKUP(
  A2053,
  Repo!A:A,
  Repo!B:B,
  "",
  -1
)</f>
        <v>6.5</v>
      </c>
      <c r="F2053" s="10">
        <f>_xlfn.XLOOKUP(
  A2053,
  CPI!D:D,
  CPI!C:C,
  "",
  -1
)</f>
        <v>5.09</v>
      </c>
      <c r="G2053">
        <v>61839</v>
      </c>
    </row>
    <row r="2054" spans="1:7">
      <c r="A2054" s="1">
        <v>45351</v>
      </c>
      <c r="B2054">
        <v>62293</v>
      </c>
      <c r="C2054">
        <f>_xlfn.XLOOKUP(A2054, USD!A:A, USD!B:B, "")</f>
        <v>82.9</v>
      </c>
      <c r="D2054">
        <f>_xlfn.XLOOKUP(A2054, Brent!A:A, Brent!B:B, "")</f>
        <v>84.57</v>
      </c>
      <c r="E2054">
        <f>_xlfn.XLOOKUP(
  A2054,
  Repo!A:A,
  Repo!B:B,
  "",
  -1
)</f>
        <v>6.5</v>
      </c>
      <c r="F2054" s="10">
        <f>_xlfn.XLOOKUP(
  A2054,
  CPI!D:D,
  CPI!C:C,
  "",
  -1
)</f>
        <v>5.09</v>
      </c>
      <c r="G2054">
        <v>61792</v>
      </c>
    </row>
    <row r="2055" spans="1:7">
      <c r="A2055" s="1">
        <v>45352</v>
      </c>
      <c r="B2055">
        <v>63135</v>
      </c>
      <c r="C2055">
        <f>_xlfn.XLOOKUP(A2055, USD!A:A, USD!B:B, "")</f>
        <v>82.840999999999994</v>
      </c>
      <c r="D2055">
        <f>_xlfn.XLOOKUP(A2055, Brent!A:A, Brent!B:B, "")</f>
        <v>84.82</v>
      </c>
      <c r="E2055">
        <f>_xlfn.XLOOKUP(
  A2055,
  Repo!A:A,
  Repo!B:B,
  "",
  -1
)</f>
        <v>6.5</v>
      </c>
      <c r="F2055" s="10">
        <f>_xlfn.XLOOKUP(
  A2055,
  CPI!D:D,
  CPI!C:C,
  "",
  -1
)</f>
        <v>4.8499999999999996</v>
      </c>
      <c r="G2055">
        <v>62293</v>
      </c>
    </row>
    <row r="2056" spans="1:7">
      <c r="A2056" s="1">
        <v>45355</v>
      </c>
      <c r="B2056">
        <v>63605</v>
      </c>
      <c r="C2056">
        <f>_xlfn.XLOOKUP(A2056, USD!A:A, USD!B:B, "")</f>
        <v>82.911000000000001</v>
      </c>
      <c r="D2056">
        <f>_xlfn.XLOOKUP(A2056, Brent!A:A, Brent!B:B, "")</f>
        <v>86.58</v>
      </c>
      <c r="E2056">
        <f>_xlfn.XLOOKUP(
  A2056,
  Repo!A:A,
  Repo!B:B,
  "",
  -1
)</f>
        <v>6.5</v>
      </c>
      <c r="F2056" s="10">
        <f>_xlfn.XLOOKUP(
  A2056,
  CPI!D:D,
  CPI!C:C,
  "",
  -1
)</f>
        <v>4.8499999999999996</v>
      </c>
      <c r="G2056">
        <v>63135</v>
      </c>
    </row>
    <row r="2057" spans="1:7">
      <c r="A2057" s="1">
        <v>45356</v>
      </c>
      <c r="B2057">
        <v>64193</v>
      </c>
      <c r="C2057">
        <f>_xlfn.XLOOKUP(A2057, USD!A:A, USD!B:B, "")</f>
        <v>82.891000000000005</v>
      </c>
      <c r="D2057">
        <f>_xlfn.XLOOKUP(A2057, Brent!A:A, Brent!B:B, "")</f>
        <v>85.82</v>
      </c>
      <c r="E2057">
        <f>_xlfn.XLOOKUP(
  A2057,
  Repo!A:A,
  Repo!B:B,
  "",
  -1
)</f>
        <v>6.5</v>
      </c>
      <c r="F2057" s="10">
        <f>_xlfn.XLOOKUP(
  A2057,
  CPI!D:D,
  CPI!C:C,
  "",
  -1
)</f>
        <v>4.8499999999999996</v>
      </c>
      <c r="G2057">
        <v>63605</v>
      </c>
    </row>
    <row r="2058" spans="1:7">
      <c r="A2058" s="1">
        <v>45357</v>
      </c>
      <c r="B2058">
        <v>65042</v>
      </c>
      <c r="C2058">
        <f>_xlfn.XLOOKUP(A2058, USD!A:A, USD!B:B, "")</f>
        <v>82.78</v>
      </c>
      <c r="D2058">
        <f>_xlfn.XLOOKUP(A2058, Brent!A:A, Brent!B:B, "")</f>
        <v>86.59</v>
      </c>
      <c r="E2058">
        <f>_xlfn.XLOOKUP(
  A2058,
  Repo!A:A,
  Repo!B:B,
  "",
  -1
)</f>
        <v>6.5</v>
      </c>
      <c r="F2058" s="10">
        <f>_xlfn.XLOOKUP(
  A2058,
  CPI!D:D,
  CPI!C:C,
  "",
  -1
)</f>
        <v>4.8499999999999996</v>
      </c>
      <c r="G2058">
        <v>64193</v>
      </c>
    </row>
    <row r="2059" spans="1:7">
      <c r="A2059" s="1">
        <v>45358</v>
      </c>
      <c r="B2059">
        <v>65246</v>
      </c>
      <c r="C2059">
        <f>_xlfn.XLOOKUP(A2059, USD!A:A, USD!B:B, "")</f>
        <v>82.707999999999998</v>
      </c>
      <c r="D2059">
        <f>_xlfn.XLOOKUP(A2059, Brent!A:A, Brent!B:B, "")</f>
        <v>84.88</v>
      </c>
      <c r="E2059">
        <f>_xlfn.XLOOKUP(
  A2059,
  Repo!A:A,
  Repo!B:B,
  "",
  -1
)</f>
        <v>6.5</v>
      </c>
      <c r="F2059" s="10">
        <f>_xlfn.XLOOKUP(
  A2059,
  CPI!D:D,
  CPI!C:C,
  "",
  -1
)</f>
        <v>4.8499999999999996</v>
      </c>
      <c r="G2059">
        <v>65042</v>
      </c>
    </row>
    <row r="2060" spans="1:7">
      <c r="A2060" s="1">
        <v>45359</v>
      </c>
      <c r="B2060">
        <v>65847</v>
      </c>
      <c r="C2060">
        <f>_xlfn.XLOOKUP(A2060, USD!A:A, USD!B:B, "")</f>
        <v>82.739000000000004</v>
      </c>
      <c r="D2060">
        <f>_xlfn.XLOOKUP(A2060, Brent!A:A, Brent!B:B, "")</f>
        <v>84.29</v>
      </c>
      <c r="E2060">
        <f>_xlfn.XLOOKUP(
  A2060,
  Repo!A:A,
  Repo!B:B,
  "",
  -1
)</f>
        <v>6.5</v>
      </c>
      <c r="F2060" s="10">
        <f>_xlfn.XLOOKUP(
  A2060,
  CPI!D:D,
  CPI!C:C,
  "",
  -1
)</f>
        <v>4.8499999999999996</v>
      </c>
      <c r="G2060">
        <v>65246</v>
      </c>
    </row>
    <row r="2061" spans="1:7">
      <c r="A2061" s="1">
        <v>45362</v>
      </c>
      <c r="B2061">
        <v>65872</v>
      </c>
      <c r="C2061">
        <f>_xlfn.XLOOKUP(A2061, USD!A:A, USD!B:B, "")</f>
        <v>82.72</v>
      </c>
      <c r="D2061">
        <f>_xlfn.XLOOKUP(A2061, Brent!A:A, Brent!B:B, "")</f>
        <v>83.44</v>
      </c>
      <c r="E2061">
        <f>_xlfn.XLOOKUP(
  A2061,
  Repo!A:A,
  Repo!B:B,
  "",
  -1
)</f>
        <v>6.5</v>
      </c>
      <c r="F2061" s="10">
        <f>_xlfn.XLOOKUP(
  A2061,
  CPI!D:D,
  CPI!C:C,
  "",
  -1
)</f>
        <v>4.8499999999999996</v>
      </c>
      <c r="G2061">
        <v>65847</v>
      </c>
    </row>
    <row r="2062" spans="1:7">
      <c r="A2062" s="1">
        <v>45363</v>
      </c>
      <c r="B2062">
        <v>65334</v>
      </c>
      <c r="C2062">
        <f>_xlfn.XLOOKUP(A2062, USD!A:A, USD!B:B, "")</f>
        <v>82.786000000000001</v>
      </c>
      <c r="D2062">
        <f>_xlfn.XLOOKUP(A2062, Brent!A:A, Brent!B:B, "")</f>
        <v>83.66</v>
      </c>
      <c r="E2062">
        <f>_xlfn.XLOOKUP(
  A2062,
  Repo!A:A,
  Repo!B:B,
  "",
  -1
)</f>
        <v>6.5</v>
      </c>
      <c r="F2062" s="10">
        <f>_xlfn.XLOOKUP(
  A2062,
  CPI!D:D,
  CPI!C:C,
  "",
  -1
)</f>
        <v>4.8499999999999996</v>
      </c>
      <c r="G2062">
        <v>65872</v>
      </c>
    </row>
    <row r="2063" spans="1:7">
      <c r="A2063" s="1">
        <v>45364</v>
      </c>
      <c r="B2063">
        <v>65717</v>
      </c>
      <c r="C2063">
        <f>_xlfn.XLOOKUP(A2063, USD!A:A, USD!B:B, "")</f>
        <v>82.82</v>
      </c>
      <c r="D2063">
        <f>_xlfn.XLOOKUP(A2063, Brent!A:A, Brent!B:B, "")</f>
        <v>83.95</v>
      </c>
      <c r="E2063">
        <f>_xlfn.XLOOKUP(
  A2063,
  Repo!A:A,
  Repo!B:B,
  "",
  -1
)</f>
        <v>6.5</v>
      </c>
      <c r="F2063" s="10">
        <f>_xlfn.XLOOKUP(
  A2063,
  CPI!D:D,
  CPI!C:C,
  "",
  -1
)</f>
        <v>4.8499999999999996</v>
      </c>
      <c r="G2063">
        <v>65334</v>
      </c>
    </row>
    <row r="2064" spans="1:7">
      <c r="A2064" s="1">
        <v>45365</v>
      </c>
      <c r="B2064">
        <v>65435</v>
      </c>
      <c r="C2064">
        <f>_xlfn.XLOOKUP(A2064, USD!A:A, USD!B:B, "")</f>
        <v>82.915000000000006</v>
      </c>
      <c r="D2064">
        <f>_xlfn.XLOOKUP(A2064, Brent!A:A, Brent!B:B, "")</f>
        <v>86.16</v>
      </c>
      <c r="E2064">
        <f>_xlfn.XLOOKUP(
  A2064,
  Repo!A:A,
  Repo!B:B,
  "",
  -1
)</f>
        <v>6.5</v>
      </c>
      <c r="F2064" s="10">
        <f>_xlfn.XLOOKUP(
  A2064,
  CPI!D:D,
  CPI!C:C,
  "",
  -1
)</f>
        <v>4.8499999999999996</v>
      </c>
      <c r="G2064">
        <v>65717</v>
      </c>
    </row>
    <row r="2065" spans="1:7">
      <c r="A2065" s="1">
        <v>45366</v>
      </c>
      <c r="B2065">
        <v>65367</v>
      </c>
      <c r="C2065">
        <f>_xlfn.XLOOKUP(A2065, USD!A:A, USD!B:B, "")</f>
        <v>82.882999999999996</v>
      </c>
      <c r="D2065">
        <f>_xlfn.XLOOKUP(A2065, Brent!A:A, Brent!B:B, "")</f>
        <v>85.39</v>
      </c>
      <c r="E2065">
        <f>_xlfn.XLOOKUP(
  A2065,
  Repo!A:A,
  Repo!B:B,
  "",
  -1
)</f>
        <v>6.5</v>
      </c>
      <c r="F2065" s="10">
        <f>_xlfn.XLOOKUP(
  A2065,
  CPI!D:D,
  CPI!C:C,
  "",
  -1
)</f>
        <v>4.8499999999999996</v>
      </c>
      <c r="G2065">
        <v>65435</v>
      </c>
    </row>
    <row r="2066" spans="1:7">
      <c r="A2066" s="1">
        <v>45369</v>
      </c>
      <c r="B2066">
        <v>65429</v>
      </c>
      <c r="C2066">
        <f>_xlfn.XLOOKUP(A2066, USD!A:A, USD!B:B, "")</f>
        <v>82.9</v>
      </c>
      <c r="D2066">
        <f>_xlfn.XLOOKUP(A2066, Brent!A:A, Brent!B:B, "")</f>
        <v>86.47</v>
      </c>
      <c r="E2066">
        <f>_xlfn.XLOOKUP(
  A2066,
  Repo!A:A,
  Repo!B:B,
  "",
  -1
)</f>
        <v>6.5</v>
      </c>
      <c r="F2066" s="10">
        <f>_xlfn.XLOOKUP(
  A2066,
  CPI!D:D,
  CPI!C:C,
  "",
  -1
)</f>
        <v>4.8499999999999996</v>
      </c>
      <c r="G2066">
        <v>65367</v>
      </c>
    </row>
    <row r="2067" spans="1:7">
      <c r="A2067" s="1">
        <v>45370</v>
      </c>
      <c r="B2067">
        <v>65431</v>
      </c>
      <c r="C2067">
        <f>_xlfn.XLOOKUP(A2067, USD!A:A, USD!B:B, "")</f>
        <v>83.007000000000005</v>
      </c>
      <c r="D2067">
        <f>_xlfn.XLOOKUP(A2067, Brent!A:A, Brent!B:B, "")</f>
        <v>87.36</v>
      </c>
      <c r="E2067">
        <f>_xlfn.XLOOKUP(
  A2067,
  Repo!A:A,
  Repo!B:B,
  "",
  -1
)</f>
        <v>6.5</v>
      </c>
      <c r="F2067" s="10">
        <f>_xlfn.XLOOKUP(
  A2067,
  CPI!D:D,
  CPI!C:C,
  "",
  -1
)</f>
        <v>4.8499999999999996</v>
      </c>
      <c r="G2067">
        <v>65429</v>
      </c>
    </row>
    <row r="2068" spans="1:7">
      <c r="A2068" s="1">
        <v>45371</v>
      </c>
      <c r="B2068">
        <v>65556</v>
      </c>
      <c r="C2068">
        <f>_xlfn.XLOOKUP(A2068, USD!A:A, USD!B:B, "")</f>
        <v>83.173000000000002</v>
      </c>
      <c r="D2068">
        <f>_xlfn.XLOOKUP(A2068, Brent!A:A, Brent!B:B, "")</f>
        <v>85.77</v>
      </c>
      <c r="E2068">
        <f>_xlfn.XLOOKUP(
  A2068,
  Repo!A:A,
  Repo!B:B,
  "",
  -1
)</f>
        <v>6.5</v>
      </c>
      <c r="F2068" s="10">
        <f>_xlfn.XLOOKUP(
  A2068,
  CPI!D:D,
  CPI!C:C,
  "",
  -1
)</f>
        <v>4.8499999999999996</v>
      </c>
      <c r="G2068">
        <v>65431</v>
      </c>
    </row>
    <row r="2069" spans="1:7">
      <c r="A2069" s="1">
        <v>45372</v>
      </c>
      <c r="B2069">
        <v>65939</v>
      </c>
      <c r="C2069">
        <f>_xlfn.XLOOKUP(A2069, USD!A:A, USD!B:B, "")</f>
        <v>83.174000000000007</v>
      </c>
      <c r="D2069">
        <f>_xlfn.XLOOKUP(A2069, Brent!A:A, Brent!B:B, "")</f>
        <v>84.92</v>
      </c>
      <c r="E2069">
        <f>_xlfn.XLOOKUP(
  A2069,
  Repo!A:A,
  Repo!B:B,
  "",
  -1
)</f>
        <v>6.5</v>
      </c>
      <c r="F2069" s="10">
        <f>_xlfn.XLOOKUP(
  A2069,
  CPI!D:D,
  CPI!C:C,
  "",
  -1
)</f>
        <v>4.8499999999999996</v>
      </c>
      <c r="G2069">
        <v>65556</v>
      </c>
    </row>
    <row r="2070" spans="1:7">
      <c r="A2070" s="1">
        <v>45373</v>
      </c>
      <c r="B2070">
        <v>65686</v>
      </c>
      <c r="C2070">
        <f>_xlfn.XLOOKUP(A2070, USD!A:A, USD!B:B, "")</f>
        <v>83.581999999999994</v>
      </c>
      <c r="D2070">
        <f>_xlfn.XLOOKUP(A2070, Brent!A:A, Brent!B:B, "")</f>
        <v>84.87</v>
      </c>
      <c r="E2070">
        <f>_xlfn.XLOOKUP(
  A2070,
  Repo!A:A,
  Repo!B:B,
  "",
  -1
)</f>
        <v>6.5</v>
      </c>
      <c r="F2070" s="10">
        <f>_xlfn.XLOOKUP(
  A2070,
  CPI!D:D,
  CPI!C:C,
  "",
  -1
)</f>
        <v>4.8499999999999996</v>
      </c>
      <c r="G2070">
        <v>65939</v>
      </c>
    </row>
    <row r="2071" spans="1:7">
      <c r="A2071" s="1">
        <v>45376</v>
      </c>
      <c r="B2071">
        <v>65862</v>
      </c>
      <c r="C2071">
        <f>_xlfn.XLOOKUP(A2071, USD!A:A, USD!B:B, "")</f>
        <v>83.405000000000001</v>
      </c>
      <c r="D2071">
        <f>_xlfn.XLOOKUP(A2071, Brent!A:A, Brent!B:B, "")</f>
        <v>86.18</v>
      </c>
      <c r="E2071">
        <f>_xlfn.XLOOKUP(
  A2071,
  Repo!A:A,
  Repo!B:B,
  "",
  -1
)</f>
        <v>6.5</v>
      </c>
      <c r="F2071" s="10">
        <f>_xlfn.XLOOKUP(
  A2071,
  CPI!D:D,
  CPI!C:C,
  "",
  -1
)</f>
        <v>4.8499999999999996</v>
      </c>
      <c r="G2071">
        <v>65686</v>
      </c>
    </row>
    <row r="2072" spans="1:7">
      <c r="A2072" s="1">
        <v>45377</v>
      </c>
      <c r="B2072">
        <v>66027</v>
      </c>
      <c r="C2072">
        <f>_xlfn.XLOOKUP(A2072, USD!A:A, USD!B:B, "")</f>
        <v>83.308999999999997</v>
      </c>
      <c r="D2072">
        <f>_xlfn.XLOOKUP(A2072, Brent!A:A, Brent!B:B, "")</f>
        <v>85.91</v>
      </c>
      <c r="E2072">
        <f>_xlfn.XLOOKUP(
  A2072,
  Repo!A:A,
  Repo!B:B,
  "",
  -1
)</f>
        <v>6.5</v>
      </c>
      <c r="F2072" s="10">
        <f>_xlfn.XLOOKUP(
  A2072,
  CPI!D:D,
  CPI!C:C,
  "",
  -1
)</f>
        <v>4.8499999999999996</v>
      </c>
      <c r="G2072">
        <v>65862</v>
      </c>
    </row>
    <row r="2073" spans="1:7">
      <c r="A2073" s="1">
        <v>45378</v>
      </c>
      <c r="B2073">
        <v>66295</v>
      </c>
      <c r="C2073">
        <f>_xlfn.XLOOKUP(A2073, USD!A:A, USD!B:B, "")</f>
        <v>83.293999999999997</v>
      </c>
      <c r="D2073">
        <f>_xlfn.XLOOKUP(A2073, Brent!A:A, Brent!B:B, "")</f>
        <v>84.94</v>
      </c>
      <c r="E2073">
        <f>_xlfn.XLOOKUP(
  A2073,
  Repo!A:A,
  Repo!B:B,
  "",
  -1
)</f>
        <v>6.5</v>
      </c>
      <c r="F2073" s="10">
        <f>_xlfn.XLOOKUP(
  A2073,
  CPI!D:D,
  CPI!C:C,
  "",
  -1
)</f>
        <v>4.8499999999999996</v>
      </c>
      <c r="G2073">
        <v>66027</v>
      </c>
    </row>
    <row r="2074" spans="1:7">
      <c r="A2074" s="1">
        <v>45379</v>
      </c>
      <c r="B2074">
        <v>67592</v>
      </c>
      <c r="C2074">
        <f>_xlfn.XLOOKUP(A2074, USD!A:A, USD!B:B, "")</f>
        <v>83.352000000000004</v>
      </c>
      <c r="D2074">
        <f>_xlfn.XLOOKUP(A2074, Brent!A:A, Brent!B:B, "")</f>
        <v>86.17</v>
      </c>
      <c r="E2074">
        <f>_xlfn.XLOOKUP(
  A2074,
  Repo!A:A,
  Repo!B:B,
  "",
  -1
)</f>
        <v>6.5</v>
      </c>
      <c r="F2074" s="10">
        <f>_xlfn.XLOOKUP(
  A2074,
  CPI!D:D,
  CPI!C:C,
  "",
  -1
)</f>
        <v>4.8499999999999996</v>
      </c>
      <c r="G2074">
        <v>66295</v>
      </c>
    </row>
    <row r="2075" spans="1:7">
      <c r="A2075" s="1">
        <v>45384</v>
      </c>
      <c r="B2075">
        <v>68802</v>
      </c>
      <c r="C2075">
        <f>_xlfn.XLOOKUP(A2075, USD!A:A, USD!B:B, "")</f>
        <v>83.322000000000003</v>
      </c>
      <c r="D2075">
        <f>_xlfn.XLOOKUP(A2075, Brent!A:A, Brent!B:B, "")</f>
        <v>87.63</v>
      </c>
      <c r="E2075">
        <f>_xlfn.XLOOKUP(
  A2075,
  Repo!A:A,
  Repo!B:B,
  "",
  -1
)</f>
        <v>6.5</v>
      </c>
      <c r="F2075" s="10">
        <f>_xlfn.XLOOKUP(
  A2075,
  CPI!D:D,
  CPI!C:C,
  "",
  -1
)</f>
        <v>4.83</v>
      </c>
      <c r="G2075">
        <v>67592</v>
      </c>
    </row>
    <row r="2076" spans="1:7">
      <c r="A2076" s="1">
        <v>45385</v>
      </c>
      <c r="B2076">
        <v>69725</v>
      </c>
      <c r="C2076">
        <f>_xlfn.XLOOKUP(A2076, USD!A:A, USD!B:B, "")</f>
        <v>83.504000000000005</v>
      </c>
      <c r="D2076">
        <f>_xlfn.XLOOKUP(A2076, Brent!A:A, Brent!B:B, "")</f>
        <v>90.6</v>
      </c>
      <c r="E2076">
        <f>_xlfn.XLOOKUP(
  A2076,
  Repo!A:A,
  Repo!B:B,
  "",
  -1
)</f>
        <v>6.5</v>
      </c>
      <c r="F2076" s="10">
        <f>_xlfn.XLOOKUP(
  A2076,
  CPI!D:D,
  CPI!C:C,
  "",
  -1
)</f>
        <v>4.83</v>
      </c>
      <c r="G2076">
        <v>68802</v>
      </c>
    </row>
    <row r="2077" spans="1:7">
      <c r="A2077" s="1">
        <v>45386</v>
      </c>
      <c r="B2077">
        <v>69612</v>
      </c>
      <c r="C2077">
        <f>_xlfn.XLOOKUP(A2077, USD!A:A, USD!B:B, "")</f>
        <v>83.34</v>
      </c>
      <c r="D2077">
        <f>_xlfn.XLOOKUP(A2077, Brent!A:A, Brent!B:B, "")</f>
        <v>90.32</v>
      </c>
      <c r="E2077">
        <f>_xlfn.XLOOKUP(
  A2077,
  Repo!A:A,
  Repo!B:B,
  "",
  -1
)</f>
        <v>6.5</v>
      </c>
      <c r="F2077" s="10">
        <f>_xlfn.XLOOKUP(
  A2077,
  CPI!D:D,
  CPI!C:C,
  "",
  -1
)</f>
        <v>4.83</v>
      </c>
      <c r="G2077">
        <v>69725</v>
      </c>
    </row>
    <row r="2078" spans="1:7">
      <c r="A2078" s="1">
        <v>45387</v>
      </c>
      <c r="B2078">
        <v>70701</v>
      </c>
      <c r="C2078">
        <f>_xlfn.XLOOKUP(A2078, USD!A:A, USD!B:B, "")</f>
        <v>83.293000000000006</v>
      </c>
      <c r="D2078">
        <f>_xlfn.XLOOKUP(A2078, Brent!A:A, Brent!B:B, "")</f>
        <v>92.81</v>
      </c>
      <c r="E2078">
        <f>_xlfn.XLOOKUP(
  A2078,
  Repo!A:A,
  Repo!B:B,
  "",
  -1
)</f>
        <v>6.5</v>
      </c>
      <c r="F2078" s="10">
        <f>_xlfn.XLOOKUP(
  A2078,
  CPI!D:D,
  CPI!C:C,
  "",
  -1
)</f>
        <v>4.83</v>
      </c>
      <c r="G2078">
        <v>69612</v>
      </c>
    </row>
    <row r="2079" spans="1:7">
      <c r="A2079" s="1">
        <v>45390</v>
      </c>
      <c r="B2079">
        <v>70607</v>
      </c>
      <c r="C2079">
        <f>_xlfn.XLOOKUP(A2079, USD!A:A, USD!B:B, "")</f>
        <v>83.27</v>
      </c>
      <c r="D2079">
        <f>_xlfn.XLOOKUP(A2079, Brent!A:A, Brent!B:B, "")</f>
        <v>91.73</v>
      </c>
      <c r="E2079">
        <f>_xlfn.XLOOKUP(
  A2079,
  Repo!A:A,
  Repo!B:B,
  "",
  -1
)</f>
        <v>6.5</v>
      </c>
      <c r="F2079" s="10">
        <f>_xlfn.XLOOKUP(
  A2079,
  CPI!D:D,
  CPI!C:C,
  "",
  -1
)</f>
        <v>4.83</v>
      </c>
      <c r="G2079">
        <v>70701</v>
      </c>
    </row>
    <row r="2080" spans="1:7">
      <c r="A2080" s="1">
        <v>45391</v>
      </c>
      <c r="B2080">
        <v>71130</v>
      </c>
      <c r="C2080">
        <f>_xlfn.XLOOKUP(A2080, USD!A:A, USD!B:B, "")</f>
        <v>83.182000000000002</v>
      </c>
      <c r="D2080">
        <f>_xlfn.XLOOKUP(A2080, Brent!A:A, Brent!B:B, "")</f>
        <v>92.13</v>
      </c>
      <c r="E2080">
        <f>_xlfn.XLOOKUP(
  A2080,
  Repo!A:A,
  Repo!B:B,
  "",
  -1
)</f>
        <v>6.5</v>
      </c>
      <c r="F2080" s="10">
        <f>_xlfn.XLOOKUP(
  A2080,
  CPI!D:D,
  CPI!C:C,
  "",
  -1
)</f>
        <v>4.83</v>
      </c>
      <c r="G2080">
        <v>70607</v>
      </c>
    </row>
    <row r="2081" spans="1:7">
      <c r="A2081" s="1">
        <v>45392</v>
      </c>
      <c r="B2081">
        <v>71127</v>
      </c>
      <c r="C2081">
        <f>_xlfn.XLOOKUP(A2081, USD!A:A, USD!B:B, "")</f>
        <v>83.388999999999996</v>
      </c>
      <c r="D2081">
        <f>_xlfn.XLOOKUP(A2081, Brent!A:A, Brent!B:B, "")</f>
        <v>91.57</v>
      </c>
      <c r="E2081">
        <f>_xlfn.XLOOKUP(
  A2081,
  Repo!A:A,
  Repo!B:B,
  "",
  -1
)</f>
        <v>6.5</v>
      </c>
      <c r="F2081" s="10">
        <f>_xlfn.XLOOKUP(
  A2081,
  CPI!D:D,
  CPI!C:C,
  "",
  -1
)</f>
        <v>4.83</v>
      </c>
      <c r="G2081">
        <v>71130</v>
      </c>
    </row>
    <row r="2082" spans="1:7">
      <c r="A2082" s="1">
        <v>45393</v>
      </c>
      <c r="B2082">
        <v>71514</v>
      </c>
      <c r="C2082">
        <f>_xlfn.XLOOKUP(A2082, USD!A:A, USD!B:B, "")</f>
        <v>83.323999999999998</v>
      </c>
      <c r="D2082">
        <f>_xlfn.XLOOKUP(A2082, Brent!A:A, Brent!B:B, "")</f>
        <v>91.49</v>
      </c>
      <c r="E2082">
        <f>_xlfn.XLOOKUP(
  A2082,
  Repo!A:A,
  Repo!B:B,
  "",
  -1
)</f>
        <v>6.5</v>
      </c>
      <c r="F2082" s="10">
        <f>_xlfn.XLOOKUP(
  A2082,
  CPI!D:D,
  CPI!C:C,
  "",
  -1
)</f>
        <v>4.83</v>
      </c>
      <c r="G2082">
        <v>71127</v>
      </c>
    </row>
    <row r="2083" spans="1:7">
      <c r="A2083" s="1">
        <v>45394</v>
      </c>
      <c r="B2083">
        <v>71857</v>
      </c>
      <c r="C2083">
        <f>_xlfn.XLOOKUP(A2083, USD!A:A, USD!B:B, "")</f>
        <v>83.54</v>
      </c>
      <c r="D2083">
        <f>_xlfn.XLOOKUP(A2083, Brent!A:A, Brent!B:B, "")</f>
        <v>93.12</v>
      </c>
      <c r="E2083">
        <f>_xlfn.XLOOKUP(
  A2083,
  Repo!A:A,
  Repo!B:B,
  "",
  -1
)</f>
        <v>6.5</v>
      </c>
      <c r="F2083" s="10">
        <f>_xlfn.XLOOKUP(
  A2083,
  CPI!D:D,
  CPI!C:C,
  "",
  -1
)</f>
        <v>4.83</v>
      </c>
      <c r="G2083">
        <v>71514</v>
      </c>
    </row>
    <row r="2084" spans="1:7">
      <c r="A2084" s="1">
        <v>45397</v>
      </c>
      <c r="B2084">
        <v>72329</v>
      </c>
      <c r="C2084">
        <f>_xlfn.XLOOKUP(A2084, USD!A:A, USD!B:B, "")</f>
        <v>83.483999999999995</v>
      </c>
      <c r="D2084">
        <f>_xlfn.XLOOKUP(A2084, Brent!A:A, Brent!B:B, "")</f>
        <v>90.84</v>
      </c>
      <c r="E2084">
        <f>_xlfn.XLOOKUP(
  A2084,
  Repo!A:A,
  Repo!B:B,
  "",
  -1
)</f>
        <v>6.5</v>
      </c>
      <c r="F2084" s="10">
        <f>_xlfn.XLOOKUP(
  A2084,
  CPI!D:D,
  CPI!C:C,
  "",
  -1
)</f>
        <v>4.83</v>
      </c>
      <c r="G2084">
        <v>71857</v>
      </c>
    </row>
    <row r="2085" spans="1:7">
      <c r="A2085" s="1">
        <v>45398</v>
      </c>
      <c r="B2085">
        <v>73109</v>
      </c>
      <c r="C2085">
        <f>_xlfn.XLOOKUP(A2085, USD!A:A, USD!B:B, "")</f>
        <v>83.637</v>
      </c>
      <c r="D2085">
        <f>_xlfn.XLOOKUP(A2085, Brent!A:A, Brent!B:B, "")</f>
        <v>91.29</v>
      </c>
      <c r="E2085">
        <f>_xlfn.XLOOKUP(
  A2085,
  Repo!A:A,
  Repo!B:B,
  "",
  -1
)</f>
        <v>6.5</v>
      </c>
      <c r="F2085" s="10">
        <f>_xlfn.XLOOKUP(
  A2085,
  CPI!D:D,
  CPI!C:C,
  "",
  -1
)</f>
        <v>4.83</v>
      </c>
      <c r="G2085">
        <v>72329</v>
      </c>
    </row>
    <row r="2086" spans="1:7">
      <c r="A2086" s="1">
        <v>45399</v>
      </c>
      <c r="B2086">
        <v>72695</v>
      </c>
      <c r="C2086">
        <f>_xlfn.XLOOKUP(A2086, USD!A:A, USD!B:B, "")</f>
        <v>83.65</v>
      </c>
      <c r="D2086">
        <f>_xlfn.XLOOKUP(A2086, Brent!A:A, Brent!B:B, "")</f>
        <v>89.54</v>
      </c>
      <c r="E2086">
        <f>_xlfn.XLOOKUP(
  A2086,
  Repo!A:A,
  Repo!B:B,
  "",
  -1
)</f>
        <v>6.5</v>
      </c>
      <c r="F2086" s="10">
        <f>_xlfn.XLOOKUP(
  A2086,
  CPI!D:D,
  CPI!C:C,
  "",
  -1
)</f>
        <v>4.83</v>
      </c>
      <c r="G2086">
        <v>73109</v>
      </c>
    </row>
    <row r="2087" spans="1:7">
      <c r="A2087" s="1">
        <v>45400</v>
      </c>
      <c r="B2087">
        <v>73016</v>
      </c>
      <c r="C2087">
        <f>_xlfn.XLOOKUP(A2087, USD!A:A, USD!B:B, "")</f>
        <v>83.53</v>
      </c>
      <c r="D2087">
        <f>_xlfn.XLOOKUP(A2087, Brent!A:A, Brent!B:B, "")</f>
        <v>88.34</v>
      </c>
      <c r="E2087">
        <f>_xlfn.XLOOKUP(
  A2087,
  Repo!A:A,
  Repo!B:B,
  "",
  -1
)</f>
        <v>6.5</v>
      </c>
      <c r="F2087" s="10">
        <f>_xlfn.XLOOKUP(
  A2087,
  CPI!D:D,
  CPI!C:C,
  "",
  -1
)</f>
        <v>4.83</v>
      </c>
      <c r="G2087">
        <v>72695</v>
      </c>
    </row>
    <row r="2088" spans="1:7">
      <c r="A2088" s="1">
        <v>45401</v>
      </c>
      <c r="B2088">
        <v>73246</v>
      </c>
      <c r="C2088">
        <f>_xlfn.XLOOKUP(A2088, USD!A:A, USD!B:B, "")</f>
        <v>83.358000000000004</v>
      </c>
      <c r="D2088">
        <f>_xlfn.XLOOKUP(A2088, Brent!A:A, Brent!B:B, "")</f>
        <v>87.96</v>
      </c>
      <c r="E2088">
        <f>_xlfn.XLOOKUP(
  A2088,
  Repo!A:A,
  Repo!B:B,
  "",
  -1
)</f>
        <v>6.5</v>
      </c>
      <c r="F2088" s="10">
        <f>_xlfn.XLOOKUP(
  A2088,
  CPI!D:D,
  CPI!C:C,
  "",
  -1
)</f>
        <v>4.83</v>
      </c>
      <c r="G2088">
        <v>73016</v>
      </c>
    </row>
    <row r="2089" spans="1:7">
      <c r="A2089" s="1">
        <v>45404</v>
      </c>
      <c r="B2089">
        <v>71936</v>
      </c>
      <c r="C2089">
        <f>_xlfn.XLOOKUP(A2089, USD!A:A, USD!B:B, "")</f>
        <v>83.36</v>
      </c>
      <c r="D2089">
        <f>_xlfn.XLOOKUP(A2089, Brent!A:A, Brent!B:B, "")</f>
        <v>87.3</v>
      </c>
      <c r="E2089">
        <f>_xlfn.XLOOKUP(
  A2089,
  Repo!A:A,
  Repo!B:B,
  "",
  -1
)</f>
        <v>6.5</v>
      </c>
      <c r="F2089" s="10">
        <f>_xlfn.XLOOKUP(
  A2089,
  CPI!D:D,
  CPI!C:C,
  "",
  -1
)</f>
        <v>4.83</v>
      </c>
      <c r="G2089">
        <v>73246</v>
      </c>
    </row>
    <row r="2090" spans="1:7">
      <c r="A2090" s="1">
        <v>45405</v>
      </c>
      <c r="B2090">
        <v>71590</v>
      </c>
      <c r="C2090">
        <f>_xlfn.XLOOKUP(A2090, USD!A:A, USD!B:B, "")</f>
        <v>83.269000000000005</v>
      </c>
      <c r="D2090">
        <f>_xlfn.XLOOKUP(A2090, Brent!A:A, Brent!B:B, "")</f>
        <v>88.29</v>
      </c>
      <c r="E2090">
        <f>_xlfn.XLOOKUP(
  A2090,
  Repo!A:A,
  Repo!B:B,
  "",
  -1
)</f>
        <v>6.5</v>
      </c>
      <c r="F2090" s="10">
        <f>_xlfn.XLOOKUP(
  A2090,
  CPI!D:D,
  CPI!C:C,
  "",
  -1
)</f>
        <v>4.83</v>
      </c>
      <c r="G2090">
        <v>71936</v>
      </c>
    </row>
    <row r="2091" spans="1:7">
      <c r="A2091" s="1">
        <v>45406</v>
      </c>
      <c r="B2091">
        <v>71692</v>
      </c>
      <c r="C2091">
        <f>_xlfn.XLOOKUP(A2091, USD!A:A, USD!B:B, "")</f>
        <v>83.319000000000003</v>
      </c>
      <c r="D2091">
        <f>_xlfn.XLOOKUP(A2091, Brent!A:A, Brent!B:B, "")</f>
        <v>89.02</v>
      </c>
      <c r="E2091">
        <f>_xlfn.XLOOKUP(
  A2091,
  Repo!A:A,
  Repo!B:B,
  "",
  -1
)</f>
        <v>6.5</v>
      </c>
      <c r="F2091" s="10">
        <f>_xlfn.XLOOKUP(
  A2091,
  CPI!D:D,
  CPI!C:C,
  "",
  -1
)</f>
        <v>4.83</v>
      </c>
      <c r="G2091">
        <v>71590</v>
      </c>
    </row>
    <row r="2092" spans="1:7">
      <c r="A2092" s="1">
        <v>45407</v>
      </c>
      <c r="B2092">
        <v>71725</v>
      </c>
      <c r="C2092">
        <f>_xlfn.XLOOKUP(A2092, USD!A:A, USD!B:B, "")</f>
        <v>83.31</v>
      </c>
      <c r="D2092">
        <f>_xlfn.XLOOKUP(A2092, Brent!A:A, Brent!B:B, "")</f>
        <v>88.1</v>
      </c>
      <c r="E2092">
        <f>_xlfn.XLOOKUP(
  A2092,
  Repo!A:A,
  Repo!B:B,
  "",
  -1
)</f>
        <v>6.5</v>
      </c>
      <c r="F2092" s="10">
        <f>_xlfn.XLOOKUP(
  A2092,
  CPI!D:D,
  CPI!C:C,
  "",
  -1
)</f>
        <v>4.83</v>
      </c>
      <c r="G2092">
        <v>71692</v>
      </c>
    </row>
    <row r="2093" spans="1:7">
      <c r="A2093" s="1">
        <v>45408</v>
      </c>
      <c r="B2093">
        <v>72107</v>
      </c>
      <c r="C2093">
        <f>_xlfn.XLOOKUP(A2093, USD!A:A, USD!B:B, "")</f>
        <v>83.4</v>
      </c>
      <c r="D2093">
        <f>_xlfn.XLOOKUP(A2093, Brent!A:A, Brent!B:B, "")</f>
        <v>89.95</v>
      </c>
      <c r="E2093">
        <f>_xlfn.XLOOKUP(
  A2093,
  Repo!A:A,
  Repo!B:B,
  "",
  -1
)</f>
        <v>6.5</v>
      </c>
      <c r="F2093" s="10">
        <f>_xlfn.XLOOKUP(
  A2093,
  CPI!D:D,
  CPI!C:C,
  "",
  -1
)</f>
        <v>4.83</v>
      </c>
      <c r="G2093">
        <v>71725</v>
      </c>
    </row>
    <row r="2094" spans="1:7">
      <c r="A2094" s="1">
        <v>45411</v>
      </c>
      <c r="B2094">
        <v>72250</v>
      </c>
      <c r="C2094">
        <f>_xlfn.XLOOKUP(A2094, USD!A:A, USD!B:B, "")</f>
        <v>83.41</v>
      </c>
      <c r="D2094">
        <f>_xlfn.XLOOKUP(A2094, Brent!A:A, Brent!B:B, "")</f>
        <v>88.44</v>
      </c>
      <c r="E2094">
        <f>_xlfn.XLOOKUP(
  A2094,
  Repo!A:A,
  Repo!B:B,
  "",
  -1
)</f>
        <v>6.5</v>
      </c>
      <c r="F2094" s="10">
        <f>_xlfn.XLOOKUP(
  A2094,
  CPI!D:D,
  CPI!C:C,
  "",
  -1
)</f>
        <v>4.83</v>
      </c>
      <c r="G2094">
        <v>72107</v>
      </c>
    </row>
    <row r="2095" spans="1:7">
      <c r="A2095" s="1">
        <v>45412</v>
      </c>
      <c r="B2095">
        <v>70969</v>
      </c>
      <c r="C2095">
        <f>_xlfn.XLOOKUP(A2095, USD!A:A, USD!B:B, "")</f>
        <v>83.45</v>
      </c>
      <c r="D2095">
        <f>_xlfn.XLOOKUP(A2095, Brent!A:A, Brent!B:B, "")</f>
        <v>88.23</v>
      </c>
      <c r="E2095">
        <f>_xlfn.XLOOKUP(
  A2095,
  Repo!A:A,
  Repo!B:B,
  "",
  -1
)</f>
        <v>6.5</v>
      </c>
      <c r="F2095" s="10">
        <f>_xlfn.XLOOKUP(
  A2095,
  CPI!D:D,
  CPI!C:C,
  "",
  -1
)</f>
        <v>4.83</v>
      </c>
      <c r="G2095">
        <v>72250</v>
      </c>
    </row>
    <row r="2096" spans="1:7">
      <c r="A2096" s="1">
        <v>45413</v>
      </c>
      <c r="B2096">
        <v>71274</v>
      </c>
      <c r="C2096">
        <f>_xlfn.XLOOKUP(A2096, USD!A:A, USD!B:B, "")</f>
        <v>83.454999999999998</v>
      </c>
      <c r="D2096">
        <f>_xlfn.XLOOKUP(A2096, Brent!A:A, Brent!B:B, "")</f>
        <v>83.55</v>
      </c>
      <c r="E2096">
        <f>_xlfn.XLOOKUP(
  A2096,
  Repo!A:A,
  Repo!B:B,
  "",
  -1
)</f>
        <v>6.5</v>
      </c>
      <c r="F2096" s="10">
        <f>_xlfn.XLOOKUP(
  A2096,
  CPI!D:D,
  CPI!C:C,
  "",
  -1
)</f>
        <v>4.8</v>
      </c>
      <c r="G2096">
        <v>70969</v>
      </c>
    </row>
    <row r="2097" spans="1:7">
      <c r="A2097" s="1">
        <v>45414</v>
      </c>
      <c r="B2097">
        <v>71119</v>
      </c>
      <c r="C2097">
        <f>_xlfn.XLOOKUP(A2097, USD!A:A, USD!B:B, "")</f>
        <v>83.435000000000002</v>
      </c>
      <c r="D2097">
        <f>_xlfn.XLOOKUP(A2097, Brent!A:A, Brent!B:B, "")</f>
        <v>84.81</v>
      </c>
      <c r="E2097">
        <f>_xlfn.XLOOKUP(
  A2097,
  Repo!A:A,
  Repo!B:B,
  "",
  -1
)</f>
        <v>6.5</v>
      </c>
      <c r="F2097" s="10">
        <f>_xlfn.XLOOKUP(
  A2097,
  CPI!D:D,
  CPI!C:C,
  "",
  -1
)</f>
        <v>4.8</v>
      </c>
      <c r="G2097">
        <v>71274</v>
      </c>
    </row>
    <row r="2098" spans="1:7">
      <c r="A2098" s="1">
        <v>45415</v>
      </c>
      <c r="B2098">
        <v>70998</v>
      </c>
      <c r="C2098">
        <f>_xlfn.XLOOKUP(A2098, USD!A:A, USD!B:B, "")</f>
        <v>83.376000000000005</v>
      </c>
      <c r="D2098">
        <f>_xlfn.XLOOKUP(A2098, Brent!A:A, Brent!B:B, "")</f>
        <v>83.6</v>
      </c>
      <c r="E2098">
        <f>_xlfn.XLOOKUP(
  A2098,
  Repo!A:A,
  Repo!B:B,
  "",
  -1
)</f>
        <v>6.5</v>
      </c>
      <c r="F2098" s="10">
        <f>_xlfn.XLOOKUP(
  A2098,
  CPI!D:D,
  CPI!C:C,
  "",
  -1
)</f>
        <v>4.8</v>
      </c>
      <c r="G2098">
        <v>71119</v>
      </c>
    </row>
    <row r="2099" spans="1:7">
      <c r="A2099" s="1">
        <v>45419</v>
      </c>
      <c r="B2099">
        <v>71136</v>
      </c>
      <c r="C2099">
        <f>_xlfn.XLOOKUP(A2099, USD!A:A, USD!B:B, "")</f>
        <v>83.457999999999998</v>
      </c>
      <c r="D2099">
        <f>_xlfn.XLOOKUP(A2099, Brent!A:A, Brent!B:B, "")</f>
        <v>82.69</v>
      </c>
      <c r="E2099">
        <f>_xlfn.XLOOKUP(
  A2099,
  Repo!A:A,
  Repo!B:B,
  "",
  -1
)</f>
        <v>6.5</v>
      </c>
      <c r="F2099" s="10">
        <f>_xlfn.XLOOKUP(
  A2099,
  CPI!D:D,
  CPI!C:C,
  "",
  -1
)</f>
        <v>4.8</v>
      </c>
      <c r="G2099">
        <v>70998</v>
      </c>
    </row>
    <row r="2100" spans="1:7">
      <c r="A2100" s="1">
        <v>45420</v>
      </c>
      <c r="B2100">
        <v>71129</v>
      </c>
      <c r="C2100">
        <f>_xlfn.XLOOKUP(A2100, USD!A:A, USD!B:B, "")</f>
        <v>83.462000000000003</v>
      </c>
      <c r="D2100">
        <f>_xlfn.XLOOKUP(A2100, Brent!A:A, Brent!B:B, "")</f>
        <v>82.44</v>
      </c>
      <c r="E2100">
        <f>_xlfn.XLOOKUP(
  A2100,
  Repo!A:A,
  Repo!B:B,
  "",
  -1
)</f>
        <v>6.5</v>
      </c>
      <c r="F2100" s="10">
        <f>_xlfn.XLOOKUP(
  A2100,
  CPI!D:D,
  CPI!C:C,
  "",
  -1
)</f>
        <v>4.8</v>
      </c>
      <c r="G2100">
        <v>71136</v>
      </c>
    </row>
    <row r="2101" spans="1:7">
      <c r="A2101" s="1">
        <v>45421</v>
      </c>
      <c r="B2101">
        <v>71586</v>
      </c>
      <c r="C2101">
        <f>_xlfn.XLOOKUP(A2101, USD!A:A, USD!B:B, "")</f>
        <v>83.441000000000003</v>
      </c>
      <c r="D2101">
        <f>_xlfn.XLOOKUP(A2101, Brent!A:A, Brent!B:B, "")</f>
        <v>83.27</v>
      </c>
      <c r="E2101">
        <f>_xlfn.XLOOKUP(
  A2101,
  Repo!A:A,
  Repo!B:B,
  "",
  -1
)</f>
        <v>6.5</v>
      </c>
      <c r="F2101" s="10">
        <f>_xlfn.XLOOKUP(
  A2101,
  CPI!D:D,
  CPI!C:C,
  "",
  -1
)</f>
        <v>4.8</v>
      </c>
      <c r="G2101">
        <v>71129</v>
      </c>
    </row>
    <row r="2102" spans="1:7">
      <c r="A2102" s="1">
        <v>45422</v>
      </c>
      <c r="B2102">
        <v>72595</v>
      </c>
      <c r="C2102">
        <f>_xlfn.XLOOKUP(A2102, USD!A:A, USD!B:B, "")</f>
        <v>83.540999999999997</v>
      </c>
      <c r="D2102">
        <f>_xlfn.XLOOKUP(A2102, Brent!A:A, Brent!B:B, "")</f>
        <v>83.39</v>
      </c>
      <c r="E2102">
        <f>_xlfn.XLOOKUP(
  A2102,
  Repo!A:A,
  Repo!B:B,
  "",
  -1
)</f>
        <v>6.5</v>
      </c>
      <c r="F2102" s="10">
        <f>_xlfn.XLOOKUP(
  A2102,
  CPI!D:D,
  CPI!C:C,
  "",
  -1
)</f>
        <v>4.8</v>
      </c>
      <c r="G2102">
        <v>71586</v>
      </c>
    </row>
    <row r="2103" spans="1:7">
      <c r="A2103" s="1">
        <v>45425</v>
      </c>
      <c r="B2103">
        <v>71819</v>
      </c>
      <c r="C2103">
        <f>_xlfn.XLOOKUP(A2103, USD!A:A, USD!B:B, "")</f>
        <v>83.46</v>
      </c>
      <c r="D2103">
        <f>_xlfn.XLOOKUP(A2103, Brent!A:A, Brent!B:B, "")</f>
        <v>83.18</v>
      </c>
      <c r="E2103">
        <f>_xlfn.XLOOKUP(
  A2103,
  Repo!A:A,
  Repo!B:B,
  "",
  -1
)</f>
        <v>6.5</v>
      </c>
      <c r="F2103" s="10">
        <f>_xlfn.XLOOKUP(
  A2103,
  CPI!D:D,
  CPI!C:C,
  "",
  -1
)</f>
        <v>4.8</v>
      </c>
      <c r="G2103">
        <v>72595</v>
      </c>
    </row>
    <row r="2104" spans="1:7">
      <c r="A2104" s="1">
        <v>45426</v>
      </c>
      <c r="B2104">
        <v>72213</v>
      </c>
      <c r="C2104">
        <f>_xlfn.XLOOKUP(A2104, USD!A:A, USD!B:B, "")</f>
        <v>83.481999999999999</v>
      </c>
      <c r="D2104">
        <f>_xlfn.XLOOKUP(A2104, Brent!A:A, Brent!B:B, "")</f>
        <v>81</v>
      </c>
      <c r="E2104">
        <f>_xlfn.XLOOKUP(
  A2104,
  Repo!A:A,
  Repo!B:B,
  "",
  -1
)</f>
        <v>6.5</v>
      </c>
      <c r="F2104" s="10">
        <f>_xlfn.XLOOKUP(
  A2104,
  CPI!D:D,
  CPI!C:C,
  "",
  -1
)</f>
        <v>4.8</v>
      </c>
      <c r="G2104">
        <v>71819</v>
      </c>
    </row>
    <row r="2105" spans="1:7">
      <c r="A2105" s="1">
        <v>45427</v>
      </c>
      <c r="B2105">
        <v>73001</v>
      </c>
      <c r="C2105">
        <f>_xlfn.XLOOKUP(A2105, USD!A:A, USD!B:B, "")</f>
        <v>83.411000000000001</v>
      </c>
      <c r="D2105">
        <f>_xlfn.XLOOKUP(A2105, Brent!A:A, Brent!B:B, "")</f>
        <v>79.98</v>
      </c>
      <c r="E2105">
        <f>_xlfn.XLOOKUP(
  A2105,
  Repo!A:A,
  Repo!B:B,
  "",
  -1
)</f>
        <v>6.5</v>
      </c>
      <c r="F2105" s="10">
        <f>_xlfn.XLOOKUP(
  A2105,
  CPI!D:D,
  CPI!C:C,
  "",
  -1
)</f>
        <v>4.8</v>
      </c>
      <c r="G2105">
        <v>72213</v>
      </c>
    </row>
    <row r="2106" spans="1:7">
      <c r="A2106" s="1">
        <v>45428</v>
      </c>
      <c r="B2106">
        <v>72896</v>
      </c>
      <c r="C2106">
        <f>_xlfn.XLOOKUP(A2106, USD!A:A, USD!B:B, "")</f>
        <v>83.45</v>
      </c>
      <c r="D2106">
        <f>_xlfn.XLOOKUP(A2106, Brent!A:A, Brent!B:B, "")</f>
        <v>81.650000000000006</v>
      </c>
      <c r="E2106">
        <f>_xlfn.XLOOKUP(
  A2106,
  Repo!A:A,
  Repo!B:B,
  "",
  -1
)</f>
        <v>6.5</v>
      </c>
      <c r="F2106" s="10">
        <f>_xlfn.XLOOKUP(
  A2106,
  CPI!D:D,
  CPI!C:C,
  "",
  -1
)</f>
        <v>4.8</v>
      </c>
      <c r="G2106">
        <v>73001</v>
      </c>
    </row>
    <row r="2107" spans="1:7">
      <c r="A2107" s="1">
        <v>45429</v>
      </c>
      <c r="B2107">
        <v>73593</v>
      </c>
      <c r="C2107">
        <f>_xlfn.XLOOKUP(A2107, USD!A:A, USD!B:B, "")</f>
        <v>83.28</v>
      </c>
      <c r="D2107">
        <f>_xlfn.XLOOKUP(A2107, Brent!A:A, Brent!B:B, "")</f>
        <v>82.24</v>
      </c>
      <c r="E2107">
        <f>_xlfn.XLOOKUP(
  A2107,
  Repo!A:A,
  Repo!B:B,
  "",
  -1
)</f>
        <v>6.5</v>
      </c>
      <c r="F2107" s="10">
        <f>_xlfn.XLOOKUP(
  A2107,
  CPI!D:D,
  CPI!C:C,
  "",
  -1
)</f>
        <v>4.8</v>
      </c>
      <c r="G2107">
        <v>72896</v>
      </c>
    </row>
    <row r="2108" spans="1:7">
      <c r="A2108" s="1">
        <v>45432</v>
      </c>
      <c r="B2108">
        <v>74283</v>
      </c>
      <c r="C2108">
        <f>_xlfn.XLOOKUP(A2108, USD!A:A, USD!B:B, "")</f>
        <v>83.28</v>
      </c>
      <c r="D2108">
        <f>_xlfn.XLOOKUP(A2108, Brent!A:A, Brent!B:B, "")</f>
        <v>81.91</v>
      </c>
      <c r="E2108">
        <f>_xlfn.XLOOKUP(
  A2108,
  Repo!A:A,
  Repo!B:B,
  "",
  -1
)</f>
        <v>6.5</v>
      </c>
      <c r="F2108" s="10">
        <f>_xlfn.XLOOKUP(
  A2108,
  CPI!D:D,
  CPI!C:C,
  "",
  -1
)</f>
        <v>4.8</v>
      </c>
      <c r="G2108">
        <v>73593</v>
      </c>
    </row>
    <row r="2109" spans="1:7">
      <c r="A2109" s="1">
        <v>45433</v>
      </c>
      <c r="B2109">
        <v>73970</v>
      </c>
      <c r="C2109">
        <f>_xlfn.XLOOKUP(A2109, USD!A:A, USD!B:B, "")</f>
        <v>83.25</v>
      </c>
      <c r="D2109">
        <f>_xlfn.XLOOKUP(A2109, Brent!A:A, Brent!B:B, "")</f>
        <v>81.22</v>
      </c>
      <c r="E2109">
        <f>_xlfn.XLOOKUP(
  A2109,
  Repo!A:A,
  Repo!B:B,
  "",
  -1
)</f>
        <v>6.5</v>
      </c>
      <c r="F2109" s="10">
        <f>_xlfn.XLOOKUP(
  A2109,
  CPI!D:D,
  CPI!C:C,
  "",
  -1
)</f>
        <v>4.8</v>
      </c>
      <c r="G2109">
        <v>74283</v>
      </c>
    </row>
    <row r="2110" spans="1:7">
      <c r="A2110" s="1">
        <v>45434</v>
      </c>
      <c r="B2110">
        <v>73027</v>
      </c>
      <c r="C2110">
        <f>_xlfn.XLOOKUP(A2110, USD!A:A, USD!B:B, "")</f>
        <v>83.22</v>
      </c>
      <c r="D2110">
        <f>_xlfn.XLOOKUP(A2110, Brent!A:A, Brent!B:B, "")</f>
        <v>79.900000000000006</v>
      </c>
      <c r="E2110">
        <f>_xlfn.XLOOKUP(
  A2110,
  Repo!A:A,
  Repo!B:B,
  "",
  -1
)</f>
        <v>6.5</v>
      </c>
      <c r="F2110" s="10">
        <f>_xlfn.XLOOKUP(
  A2110,
  CPI!D:D,
  CPI!C:C,
  "",
  -1
)</f>
        <v>4.8</v>
      </c>
      <c r="G2110">
        <v>73970</v>
      </c>
    </row>
    <row r="2111" spans="1:7">
      <c r="A2111" s="1">
        <v>45435</v>
      </c>
      <c r="B2111">
        <v>71632</v>
      </c>
      <c r="C2111">
        <f>_xlfn.XLOOKUP(A2111, USD!A:A, USD!B:B, "")</f>
        <v>83.24</v>
      </c>
      <c r="D2111">
        <f>_xlfn.XLOOKUP(A2111, Brent!A:A, Brent!B:B, "")</f>
        <v>79.25</v>
      </c>
      <c r="E2111">
        <f>_xlfn.XLOOKUP(
  A2111,
  Repo!A:A,
  Repo!B:B,
  "",
  -1
)</f>
        <v>6.5</v>
      </c>
      <c r="F2111" s="10">
        <f>_xlfn.XLOOKUP(
  A2111,
  CPI!D:D,
  CPI!C:C,
  "",
  -1
)</f>
        <v>4.8</v>
      </c>
      <c r="G2111">
        <v>73027</v>
      </c>
    </row>
    <row r="2112" spans="1:7">
      <c r="A2112" s="1">
        <v>45436</v>
      </c>
      <c r="B2112">
        <v>71380</v>
      </c>
      <c r="C2112">
        <f>_xlfn.XLOOKUP(A2112, USD!A:A, USD!B:B, "")</f>
        <v>83.06</v>
      </c>
      <c r="D2112">
        <f>_xlfn.XLOOKUP(A2112, Brent!A:A, Brent!B:B, "")</f>
        <v>78.92</v>
      </c>
      <c r="E2112">
        <f>_xlfn.XLOOKUP(
  A2112,
  Repo!A:A,
  Repo!B:B,
  "",
  -1
)</f>
        <v>6.5</v>
      </c>
      <c r="F2112" s="10">
        <f>_xlfn.XLOOKUP(
  A2112,
  CPI!D:D,
  CPI!C:C,
  "",
  -1
)</f>
        <v>4.8</v>
      </c>
      <c r="G2112">
        <v>71632</v>
      </c>
    </row>
    <row r="2113" spans="1:7">
      <c r="A2113" s="1">
        <v>45440</v>
      </c>
      <c r="B2113">
        <v>72145</v>
      </c>
      <c r="C2113">
        <f>_xlfn.XLOOKUP(A2113, USD!A:A, USD!B:B, "")</f>
        <v>83.16</v>
      </c>
      <c r="D2113">
        <f>_xlfn.XLOOKUP(A2113, Brent!A:A, Brent!B:B, "")</f>
        <v>81.34</v>
      </c>
      <c r="E2113">
        <f>_xlfn.XLOOKUP(
  A2113,
  Repo!A:A,
  Repo!B:B,
  "",
  -1
)</f>
        <v>6.5</v>
      </c>
      <c r="F2113" s="10">
        <f>_xlfn.XLOOKUP(
  A2113,
  CPI!D:D,
  CPI!C:C,
  "",
  -1
)</f>
        <v>4.8</v>
      </c>
      <c r="G2113">
        <v>71380</v>
      </c>
    </row>
    <row r="2114" spans="1:7">
      <c r="A2114" s="1">
        <v>45441</v>
      </c>
      <c r="B2114">
        <v>71993</v>
      </c>
      <c r="C2114">
        <f>_xlfn.XLOOKUP(A2114, USD!A:A, USD!B:B, "")</f>
        <v>83.34</v>
      </c>
      <c r="D2114">
        <f>_xlfn.XLOOKUP(A2114, Brent!A:A, Brent!B:B, "")</f>
        <v>81.5</v>
      </c>
      <c r="E2114">
        <f>_xlfn.XLOOKUP(
  A2114,
  Repo!A:A,
  Repo!B:B,
  "",
  -1
)</f>
        <v>6.5</v>
      </c>
      <c r="F2114" s="10">
        <f>_xlfn.XLOOKUP(
  A2114,
  CPI!D:D,
  CPI!C:C,
  "",
  -1
)</f>
        <v>4.8</v>
      </c>
      <c r="G2114">
        <v>72145</v>
      </c>
    </row>
    <row r="2115" spans="1:7">
      <c r="A2115" s="1">
        <v>45442</v>
      </c>
      <c r="B2115">
        <v>71852</v>
      </c>
      <c r="C2115">
        <f>_xlfn.XLOOKUP(A2115, USD!A:A, USD!B:B, "")</f>
        <v>83.28</v>
      </c>
      <c r="D2115">
        <f>_xlfn.XLOOKUP(A2115, Brent!A:A, Brent!B:B, "")</f>
        <v>81.42</v>
      </c>
      <c r="E2115">
        <f>_xlfn.XLOOKUP(
  A2115,
  Repo!A:A,
  Repo!B:B,
  "",
  -1
)</f>
        <v>6.5</v>
      </c>
      <c r="F2115" s="10">
        <f>_xlfn.XLOOKUP(
  A2115,
  CPI!D:D,
  CPI!C:C,
  "",
  -1
)</f>
        <v>4.8</v>
      </c>
      <c r="G2115">
        <v>71993</v>
      </c>
    </row>
    <row r="2116" spans="1:7">
      <c r="A2116" s="1">
        <v>45443</v>
      </c>
      <c r="B2116">
        <v>71703</v>
      </c>
      <c r="C2116">
        <f>_xlfn.XLOOKUP(A2116, USD!A:A, USD!B:B, "")</f>
        <v>83.424000000000007</v>
      </c>
      <c r="D2116">
        <f>_xlfn.XLOOKUP(A2116, Brent!A:A, Brent!B:B, "")</f>
        <v>79.41</v>
      </c>
      <c r="E2116">
        <f>_xlfn.XLOOKUP(
  A2116,
  Repo!A:A,
  Repo!B:B,
  "",
  -1
)</f>
        <v>6.5</v>
      </c>
      <c r="F2116" s="10">
        <f>_xlfn.XLOOKUP(
  A2116,
  CPI!D:D,
  CPI!C:C,
  "",
  -1
)</f>
        <v>4.8</v>
      </c>
      <c r="G2116">
        <v>71852</v>
      </c>
    </row>
    <row r="2117" spans="1:7">
      <c r="A2117" s="1">
        <v>45446</v>
      </c>
      <c r="B2117">
        <v>71818</v>
      </c>
      <c r="C2117">
        <f>_xlfn.XLOOKUP(A2117, USD!A:A, USD!B:B, "")</f>
        <v>83.082999999999998</v>
      </c>
      <c r="D2117">
        <f>_xlfn.XLOOKUP(A2117, Brent!A:A, Brent!B:B, "")</f>
        <v>76.45</v>
      </c>
      <c r="E2117">
        <f>_xlfn.XLOOKUP(
  A2117,
  Repo!A:A,
  Repo!B:B,
  "",
  -1
)</f>
        <v>6.5</v>
      </c>
      <c r="F2117" s="10">
        <f>_xlfn.XLOOKUP(
  A2117,
  CPI!D:D,
  CPI!C:C,
  "",
  -1
)</f>
        <v>5.08</v>
      </c>
      <c r="G2117">
        <v>71703</v>
      </c>
    </row>
    <row r="2118" spans="1:7">
      <c r="A2118" s="1">
        <v>45447</v>
      </c>
      <c r="B2118">
        <v>71782</v>
      </c>
      <c r="C2118">
        <f>_xlfn.XLOOKUP(A2118, USD!A:A, USD!B:B, "")</f>
        <v>83.524000000000001</v>
      </c>
      <c r="D2118">
        <f>_xlfn.XLOOKUP(A2118, Brent!A:A, Brent!B:B, "")</f>
        <v>75.33</v>
      </c>
      <c r="E2118">
        <f>_xlfn.XLOOKUP(
  A2118,
  Repo!A:A,
  Repo!B:B,
  "",
  -1
)</f>
        <v>6.5</v>
      </c>
      <c r="F2118" s="10">
        <f>_xlfn.XLOOKUP(
  A2118,
  CPI!D:D,
  CPI!C:C,
  "",
  -1
)</f>
        <v>5.08</v>
      </c>
      <c r="G2118">
        <v>71818</v>
      </c>
    </row>
    <row r="2119" spans="1:7">
      <c r="A2119" s="1">
        <v>45448</v>
      </c>
      <c r="B2119">
        <v>72485</v>
      </c>
      <c r="C2119">
        <f>_xlfn.XLOOKUP(A2119, USD!A:A, USD!B:B, "")</f>
        <v>83.37</v>
      </c>
      <c r="D2119">
        <f>_xlfn.XLOOKUP(A2119, Brent!A:A, Brent!B:B, "")</f>
        <v>75.41</v>
      </c>
      <c r="E2119">
        <f>_xlfn.XLOOKUP(
  A2119,
  Repo!A:A,
  Repo!B:B,
  "",
  -1
)</f>
        <v>6.5</v>
      </c>
      <c r="F2119" s="10">
        <f>_xlfn.XLOOKUP(
  A2119,
  CPI!D:D,
  CPI!C:C,
  "",
  -1
)</f>
        <v>5.08</v>
      </c>
      <c r="G2119">
        <v>71782</v>
      </c>
    </row>
    <row r="2120" spans="1:7">
      <c r="A2120" s="1">
        <v>45449</v>
      </c>
      <c r="B2120">
        <v>72963</v>
      </c>
      <c r="C2120">
        <f>_xlfn.XLOOKUP(A2120, USD!A:A, USD!B:B, "")</f>
        <v>83.465999999999994</v>
      </c>
      <c r="D2120">
        <f>_xlfn.XLOOKUP(A2120, Brent!A:A, Brent!B:B, "")</f>
        <v>77.62</v>
      </c>
      <c r="E2120">
        <f>_xlfn.XLOOKUP(
  A2120,
  Repo!A:A,
  Repo!B:B,
  "",
  -1
)</f>
        <v>6.5</v>
      </c>
      <c r="F2120" s="10">
        <f>_xlfn.XLOOKUP(
  A2120,
  CPI!D:D,
  CPI!C:C,
  "",
  -1
)</f>
        <v>5.08</v>
      </c>
      <c r="G2120">
        <v>72485</v>
      </c>
    </row>
    <row r="2121" spans="1:7">
      <c r="A2121" s="1">
        <v>45450</v>
      </c>
      <c r="B2121">
        <v>71308</v>
      </c>
      <c r="C2121">
        <f>_xlfn.XLOOKUP(A2121, USD!A:A, USD!B:B, "")</f>
        <v>83.521000000000001</v>
      </c>
      <c r="D2121">
        <f>_xlfn.XLOOKUP(A2121, Brent!A:A, Brent!B:B, "")</f>
        <v>78.12</v>
      </c>
      <c r="E2121">
        <f>_xlfn.XLOOKUP(
  A2121,
  Repo!A:A,
  Repo!B:B,
  "",
  -1
)</f>
        <v>6.5</v>
      </c>
      <c r="F2121" s="10">
        <f>_xlfn.XLOOKUP(
  A2121,
  CPI!D:D,
  CPI!C:C,
  "",
  -1
)</f>
        <v>5.08</v>
      </c>
      <c r="G2121">
        <v>72963</v>
      </c>
    </row>
    <row r="2122" spans="1:7">
      <c r="A2122" s="1">
        <v>45453</v>
      </c>
      <c r="B2122">
        <v>71303</v>
      </c>
      <c r="C2122">
        <f>_xlfn.XLOOKUP(A2122, USD!A:A, USD!B:B, "")</f>
        <v>83.5</v>
      </c>
      <c r="D2122">
        <f>_xlfn.XLOOKUP(A2122, Brent!A:A, Brent!B:B, "")</f>
        <v>79.59</v>
      </c>
      <c r="E2122">
        <f>_xlfn.XLOOKUP(
  A2122,
  Repo!A:A,
  Repo!B:B,
  "",
  -1
)</f>
        <v>6.5</v>
      </c>
      <c r="F2122" s="10">
        <f>_xlfn.XLOOKUP(
  A2122,
  CPI!D:D,
  CPI!C:C,
  "",
  -1
)</f>
        <v>5.08</v>
      </c>
      <c r="G2122">
        <v>71308</v>
      </c>
    </row>
    <row r="2123" spans="1:7">
      <c r="A2123" s="1">
        <v>45454</v>
      </c>
      <c r="B2123">
        <v>71346</v>
      </c>
      <c r="C2123">
        <f>_xlfn.XLOOKUP(A2123, USD!A:A, USD!B:B, "")</f>
        <v>83.6</v>
      </c>
      <c r="D2123">
        <f>_xlfn.XLOOKUP(A2123, Brent!A:A, Brent!B:B, "")</f>
        <v>80.150000000000006</v>
      </c>
      <c r="E2123">
        <f>_xlfn.XLOOKUP(
  A2123,
  Repo!A:A,
  Repo!B:B,
  "",
  -1
)</f>
        <v>6.5</v>
      </c>
      <c r="F2123" s="10">
        <f>_xlfn.XLOOKUP(
  A2123,
  CPI!D:D,
  CPI!C:C,
  "",
  -1
)</f>
        <v>5.08</v>
      </c>
      <c r="G2123">
        <v>71303</v>
      </c>
    </row>
    <row r="2124" spans="1:7">
      <c r="A2124" s="1">
        <v>45455</v>
      </c>
      <c r="B2124">
        <v>71796</v>
      </c>
      <c r="C2124">
        <f>_xlfn.XLOOKUP(A2124, USD!A:A, USD!B:B, "")</f>
        <v>83.43</v>
      </c>
      <c r="D2124">
        <f>_xlfn.XLOOKUP(A2124, Brent!A:A, Brent!B:B, "")</f>
        <v>80.52</v>
      </c>
      <c r="E2124">
        <f>_xlfn.XLOOKUP(
  A2124,
  Repo!A:A,
  Repo!B:B,
  "",
  -1
)</f>
        <v>6.5</v>
      </c>
      <c r="F2124" s="10">
        <f>_xlfn.XLOOKUP(
  A2124,
  CPI!D:D,
  CPI!C:C,
  "",
  -1
)</f>
        <v>5.08</v>
      </c>
      <c r="G2124">
        <v>71346</v>
      </c>
    </row>
    <row r="2125" spans="1:7">
      <c r="A2125" s="1">
        <v>45456</v>
      </c>
      <c r="B2125">
        <v>71030</v>
      </c>
      <c r="C2125">
        <f>_xlfn.XLOOKUP(A2125, USD!A:A, USD!B:B, "")</f>
        <v>83.54</v>
      </c>
      <c r="D2125">
        <f>_xlfn.XLOOKUP(A2125, Brent!A:A, Brent!B:B, "")</f>
        <v>81.44</v>
      </c>
      <c r="E2125">
        <f>_xlfn.XLOOKUP(
  A2125,
  Repo!A:A,
  Repo!B:B,
  "",
  -1
)</f>
        <v>6.5</v>
      </c>
      <c r="F2125" s="10">
        <f>_xlfn.XLOOKUP(
  A2125,
  CPI!D:D,
  CPI!C:C,
  "",
  -1
)</f>
        <v>5.08</v>
      </c>
      <c r="G2125">
        <v>71796</v>
      </c>
    </row>
    <row r="2126" spans="1:7">
      <c r="A2126" s="1">
        <v>45457</v>
      </c>
      <c r="B2126">
        <v>71691</v>
      </c>
      <c r="C2126">
        <f>_xlfn.XLOOKUP(A2126, USD!A:A, USD!B:B, "")</f>
        <v>83.546999999999997</v>
      </c>
      <c r="D2126">
        <f>_xlfn.XLOOKUP(A2126, Brent!A:A, Brent!B:B, "")</f>
        <v>81.489999999999995</v>
      </c>
      <c r="E2126">
        <f>_xlfn.XLOOKUP(
  A2126,
  Repo!A:A,
  Repo!B:B,
  "",
  -1
)</f>
        <v>6.5</v>
      </c>
      <c r="F2126" s="10">
        <f>_xlfn.XLOOKUP(
  A2126,
  CPI!D:D,
  CPI!C:C,
  "",
  -1
)</f>
        <v>5.08</v>
      </c>
      <c r="G2126">
        <v>71030</v>
      </c>
    </row>
    <row r="2127" spans="1:7">
      <c r="A2127" s="1">
        <v>45460</v>
      </c>
      <c r="B2127">
        <v>71285</v>
      </c>
      <c r="C2127">
        <f>_xlfn.XLOOKUP(A2127, USD!A:A, USD!B:B, "")</f>
        <v>83.5</v>
      </c>
      <c r="D2127">
        <f>_xlfn.XLOOKUP(A2127, Brent!A:A, Brent!B:B, "")</f>
        <v>82.45</v>
      </c>
      <c r="E2127">
        <f>_xlfn.XLOOKUP(
  A2127,
  Repo!A:A,
  Repo!B:B,
  "",
  -1
)</f>
        <v>6.5</v>
      </c>
      <c r="F2127" s="10">
        <f>_xlfn.XLOOKUP(
  A2127,
  CPI!D:D,
  CPI!C:C,
  "",
  -1
)</f>
        <v>5.08</v>
      </c>
      <c r="G2127">
        <v>71691</v>
      </c>
    </row>
    <row r="2128" spans="1:7">
      <c r="A2128" s="1">
        <v>45461</v>
      </c>
      <c r="B2128">
        <v>71503</v>
      </c>
      <c r="C2128">
        <f>_xlfn.XLOOKUP(A2128, USD!A:A, USD!B:B, "")</f>
        <v>83.33</v>
      </c>
      <c r="D2128">
        <f>_xlfn.XLOOKUP(A2128, Brent!A:A, Brent!B:B, "")</f>
        <v>84.79</v>
      </c>
      <c r="E2128">
        <f>_xlfn.XLOOKUP(
  A2128,
  Repo!A:A,
  Repo!B:B,
  "",
  -1
)</f>
        <v>6.5</v>
      </c>
      <c r="F2128" s="10">
        <f>_xlfn.XLOOKUP(
  A2128,
  CPI!D:D,
  CPI!C:C,
  "",
  -1
)</f>
        <v>5.08</v>
      </c>
      <c r="G2128">
        <v>71285</v>
      </c>
    </row>
    <row r="2129" spans="1:7">
      <c r="A2129" s="1">
        <v>45462</v>
      </c>
      <c r="B2129">
        <v>71519</v>
      </c>
      <c r="C2129">
        <f>_xlfn.XLOOKUP(A2129, USD!A:A, USD!B:B, "")</f>
        <v>83.46</v>
      </c>
      <c r="D2129">
        <f>_xlfn.XLOOKUP(A2129, Brent!A:A, Brent!B:B, "")</f>
        <v>85.64</v>
      </c>
      <c r="E2129">
        <f>_xlfn.XLOOKUP(
  A2129,
  Repo!A:A,
  Repo!B:B,
  "",
  -1
)</f>
        <v>6.5</v>
      </c>
      <c r="F2129" s="10">
        <f>_xlfn.XLOOKUP(
  A2129,
  CPI!D:D,
  CPI!C:C,
  "",
  -1
)</f>
        <v>5.08</v>
      </c>
      <c r="G2129">
        <v>71503</v>
      </c>
    </row>
    <row r="2130" spans="1:7">
      <c r="A2130" s="1">
        <v>45463</v>
      </c>
      <c r="B2130">
        <v>72258</v>
      </c>
      <c r="C2130">
        <f>_xlfn.XLOOKUP(A2130, USD!A:A, USD!B:B, "")</f>
        <v>83.62</v>
      </c>
      <c r="D2130">
        <f>_xlfn.XLOOKUP(A2130, Brent!A:A, Brent!B:B, "")</f>
        <v>85.92</v>
      </c>
      <c r="E2130">
        <f>_xlfn.XLOOKUP(
  A2130,
  Repo!A:A,
  Repo!B:B,
  "",
  -1
)</f>
        <v>6.5</v>
      </c>
      <c r="F2130" s="10">
        <f>_xlfn.XLOOKUP(
  A2130,
  CPI!D:D,
  CPI!C:C,
  "",
  -1
)</f>
        <v>5.08</v>
      </c>
      <c r="G2130">
        <v>71519</v>
      </c>
    </row>
    <row r="2131" spans="1:7">
      <c r="A2131" s="1">
        <v>45464</v>
      </c>
      <c r="B2131">
        <v>71429</v>
      </c>
      <c r="C2131">
        <f>_xlfn.XLOOKUP(A2131, USD!A:A, USD!B:B, "")</f>
        <v>83.558000000000007</v>
      </c>
      <c r="D2131">
        <f>_xlfn.XLOOKUP(A2131, Brent!A:A, Brent!B:B, "")</f>
        <v>86.42</v>
      </c>
      <c r="E2131">
        <f>_xlfn.XLOOKUP(
  A2131,
  Repo!A:A,
  Repo!B:B,
  "",
  -1
)</f>
        <v>6.5</v>
      </c>
      <c r="F2131" s="10">
        <f>_xlfn.XLOOKUP(
  A2131,
  CPI!D:D,
  CPI!C:C,
  "",
  -1
)</f>
        <v>5.08</v>
      </c>
      <c r="G2131">
        <v>72258</v>
      </c>
    </row>
    <row r="2132" spans="1:7">
      <c r="A2132" s="1">
        <v>45467</v>
      </c>
      <c r="B2132">
        <v>71512</v>
      </c>
      <c r="C2132">
        <f>_xlfn.XLOOKUP(A2132, USD!A:A, USD!B:B, "")</f>
        <v>83.45</v>
      </c>
      <c r="D2132">
        <f>_xlfn.XLOOKUP(A2132, Brent!A:A, Brent!B:B, "")</f>
        <v>86.75</v>
      </c>
      <c r="E2132">
        <f>_xlfn.XLOOKUP(
  A2132,
  Repo!A:A,
  Repo!B:B,
  "",
  -1
)</f>
        <v>6.5</v>
      </c>
      <c r="F2132" s="10">
        <f>_xlfn.XLOOKUP(
  A2132,
  CPI!D:D,
  CPI!C:C,
  "",
  -1
)</f>
        <v>5.08</v>
      </c>
      <c r="G2132">
        <v>71429</v>
      </c>
    </row>
    <row r="2133" spans="1:7">
      <c r="A2133" s="1">
        <v>45468</v>
      </c>
      <c r="B2133">
        <v>71201</v>
      </c>
      <c r="C2133">
        <f>_xlfn.XLOOKUP(A2133, USD!A:A, USD!B:B, "")</f>
        <v>83.403000000000006</v>
      </c>
      <c r="D2133">
        <f>_xlfn.XLOOKUP(A2133, Brent!A:A, Brent!B:B, "")</f>
        <v>86.81</v>
      </c>
      <c r="E2133">
        <f>_xlfn.XLOOKUP(
  A2133,
  Repo!A:A,
  Repo!B:B,
  "",
  -1
)</f>
        <v>6.5</v>
      </c>
      <c r="F2133" s="10">
        <f>_xlfn.XLOOKUP(
  A2133,
  CPI!D:D,
  CPI!C:C,
  "",
  -1
)</f>
        <v>5.08</v>
      </c>
      <c r="G2133">
        <v>71512</v>
      </c>
    </row>
    <row r="2134" spans="1:7">
      <c r="A2134" s="1">
        <v>45469</v>
      </c>
      <c r="B2134">
        <v>70919</v>
      </c>
      <c r="C2134">
        <f>_xlfn.XLOOKUP(A2134, USD!A:A, USD!B:B, "")</f>
        <v>83.56</v>
      </c>
      <c r="D2134">
        <f>_xlfn.XLOOKUP(A2134, Brent!A:A, Brent!B:B, "")</f>
        <v>85.76</v>
      </c>
      <c r="E2134">
        <f>_xlfn.XLOOKUP(
  A2134,
  Repo!A:A,
  Repo!B:B,
  "",
  -1
)</f>
        <v>6.5</v>
      </c>
      <c r="F2134" s="10">
        <f>_xlfn.XLOOKUP(
  A2134,
  CPI!D:D,
  CPI!C:C,
  "",
  -1
)</f>
        <v>5.08</v>
      </c>
      <c r="G2134">
        <v>71201</v>
      </c>
    </row>
    <row r="2135" spans="1:7">
      <c r="A2135" s="1">
        <v>45470</v>
      </c>
      <c r="B2135">
        <v>71303</v>
      </c>
      <c r="C2135">
        <f>_xlfn.XLOOKUP(A2135, USD!A:A, USD!B:B, "")</f>
        <v>83.438000000000002</v>
      </c>
      <c r="D2135">
        <f>_xlfn.XLOOKUP(A2135, Brent!A:A, Brent!B:B, "")</f>
        <v>87</v>
      </c>
      <c r="E2135">
        <f>_xlfn.XLOOKUP(
  A2135,
  Repo!A:A,
  Repo!B:B,
  "",
  -1
)</f>
        <v>6.5</v>
      </c>
      <c r="F2135" s="10">
        <f>_xlfn.XLOOKUP(
  A2135,
  CPI!D:D,
  CPI!C:C,
  "",
  -1
)</f>
        <v>5.08</v>
      </c>
      <c r="G2135">
        <v>70919</v>
      </c>
    </row>
    <row r="2136" spans="1:7">
      <c r="A2136" s="1">
        <v>45471</v>
      </c>
      <c r="B2136">
        <v>71275</v>
      </c>
      <c r="C2136">
        <f>_xlfn.XLOOKUP(A2136, USD!A:A, USD!B:B, "")</f>
        <v>83.355000000000004</v>
      </c>
      <c r="D2136">
        <f>_xlfn.XLOOKUP(A2136, Brent!A:A, Brent!B:B, "")</f>
        <v>87.26</v>
      </c>
      <c r="E2136">
        <f>_xlfn.XLOOKUP(
  A2136,
  Repo!A:A,
  Repo!B:B,
  "",
  -1
)</f>
        <v>6.5</v>
      </c>
      <c r="F2136" s="10">
        <f>_xlfn.XLOOKUP(
  A2136,
  CPI!D:D,
  CPI!C:C,
  "",
  -1
)</f>
        <v>5.08</v>
      </c>
      <c r="G2136">
        <v>71303</v>
      </c>
    </row>
    <row r="2137" spans="1:7">
      <c r="A2137" s="1">
        <v>45474</v>
      </c>
      <c r="B2137">
        <v>71329</v>
      </c>
      <c r="C2137">
        <f>_xlfn.XLOOKUP(A2137, USD!A:A, USD!B:B, "")</f>
        <v>83.438000000000002</v>
      </c>
      <c r="D2137">
        <f>_xlfn.XLOOKUP(A2137, Brent!A:A, Brent!B:B, "")</f>
        <v>86.57</v>
      </c>
      <c r="E2137">
        <f>_xlfn.XLOOKUP(
  A2137,
  Repo!A:A,
  Repo!B:B,
  "",
  -1
)</f>
        <v>6.5</v>
      </c>
      <c r="F2137" s="10">
        <f>_xlfn.XLOOKUP(
  A2137,
  CPI!D:D,
  CPI!C:C,
  "",
  -1
)</f>
        <v>3.6</v>
      </c>
      <c r="G2137">
        <v>71275</v>
      </c>
    </row>
    <row r="2138" spans="1:7">
      <c r="A2138" s="1">
        <v>45475</v>
      </c>
      <c r="B2138">
        <v>71357</v>
      </c>
      <c r="C2138">
        <f>_xlfn.XLOOKUP(A2138, USD!A:A, USD!B:B, "")</f>
        <v>83.5</v>
      </c>
      <c r="D2138">
        <f>_xlfn.XLOOKUP(A2138, Brent!A:A, Brent!B:B, "")</f>
        <v>88.28</v>
      </c>
      <c r="E2138">
        <f>_xlfn.XLOOKUP(
  A2138,
  Repo!A:A,
  Repo!B:B,
  "",
  -1
)</f>
        <v>6.5</v>
      </c>
      <c r="F2138" s="10">
        <f>_xlfn.XLOOKUP(
  A2138,
  CPI!D:D,
  CPI!C:C,
  "",
  -1
)</f>
        <v>3.6</v>
      </c>
      <c r="G2138">
        <v>71329</v>
      </c>
    </row>
    <row r="2139" spans="1:7">
      <c r="A2139" s="1">
        <v>45476</v>
      </c>
      <c r="B2139">
        <v>72160</v>
      </c>
      <c r="C2139">
        <f>_xlfn.XLOOKUP(A2139, USD!A:A, USD!B:B, "")</f>
        <v>83.52</v>
      </c>
      <c r="D2139">
        <f>_xlfn.XLOOKUP(A2139, Brent!A:A, Brent!B:B, "")</f>
        <v>88.25</v>
      </c>
      <c r="E2139">
        <f>_xlfn.XLOOKUP(
  A2139,
  Repo!A:A,
  Repo!B:B,
  "",
  -1
)</f>
        <v>6.5</v>
      </c>
      <c r="F2139" s="10">
        <f>_xlfn.XLOOKUP(
  A2139,
  CPI!D:D,
  CPI!C:C,
  "",
  -1
)</f>
        <v>3.6</v>
      </c>
      <c r="G2139">
        <v>71357</v>
      </c>
    </row>
    <row r="2140" spans="1:7">
      <c r="A2140" s="1">
        <v>45477</v>
      </c>
      <c r="B2140">
        <v>72151</v>
      </c>
      <c r="C2140">
        <f>_xlfn.XLOOKUP(A2140, USD!A:A, USD!B:B, "")</f>
        <v>83.474999999999994</v>
      </c>
      <c r="D2140">
        <f>_xlfn.XLOOKUP(A2140, Brent!A:A, Brent!B:B, "")</f>
        <v>88.34</v>
      </c>
      <c r="E2140">
        <f>_xlfn.XLOOKUP(
  A2140,
  Repo!A:A,
  Repo!B:B,
  "",
  -1
)</f>
        <v>6.5</v>
      </c>
      <c r="F2140" s="10">
        <f>_xlfn.XLOOKUP(
  A2140,
  CPI!D:D,
  CPI!C:C,
  "",
  -1
)</f>
        <v>3.6</v>
      </c>
      <c r="G2140">
        <v>72160</v>
      </c>
    </row>
    <row r="2141" spans="1:7">
      <c r="A2141" s="1">
        <v>45478</v>
      </c>
      <c r="B2141">
        <v>73255</v>
      </c>
      <c r="C2141">
        <f>_xlfn.XLOOKUP(A2141, USD!A:A, USD!B:B, "")</f>
        <v>83.5</v>
      </c>
      <c r="D2141">
        <f>_xlfn.XLOOKUP(A2141, Brent!A:A, Brent!B:B, "")</f>
        <v>88.66</v>
      </c>
      <c r="E2141">
        <f>_xlfn.XLOOKUP(
  A2141,
  Repo!A:A,
  Repo!B:B,
  "",
  -1
)</f>
        <v>6.5</v>
      </c>
      <c r="F2141" s="10">
        <f>_xlfn.XLOOKUP(
  A2141,
  CPI!D:D,
  CPI!C:C,
  "",
  -1
)</f>
        <v>3.6</v>
      </c>
      <c r="G2141">
        <v>72151</v>
      </c>
    </row>
    <row r="2142" spans="1:7">
      <c r="A2142" s="1">
        <v>45481</v>
      </c>
      <c r="B2142">
        <v>72332</v>
      </c>
      <c r="C2142">
        <f>_xlfn.XLOOKUP(A2142, USD!A:A, USD!B:B, "")</f>
        <v>83.5</v>
      </c>
      <c r="D2142">
        <f>_xlfn.XLOOKUP(A2142, Brent!A:A, Brent!B:B, "")</f>
        <v>87.15</v>
      </c>
      <c r="E2142">
        <f>_xlfn.XLOOKUP(
  A2142,
  Repo!A:A,
  Repo!B:B,
  "",
  -1
)</f>
        <v>6.5</v>
      </c>
      <c r="F2142" s="10">
        <f>_xlfn.XLOOKUP(
  A2142,
  CPI!D:D,
  CPI!C:C,
  "",
  -1
)</f>
        <v>3.6</v>
      </c>
      <c r="G2142">
        <v>73255</v>
      </c>
    </row>
    <row r="2143" spans="1:7">
      <c r="A2143" s="1">
        <v>45482</v>
      </c>
      <c r="B2143">
        <v>72385</v>
      </c>
      <c r="C2143">
        <f>_xlfn.XLOOKUP(A2143, USD!A:A, USD!B:B, "")</f>
        <v>83.465000000000003</v>
      </c>
      <c r="D2143">
        <f>_xlfn.XLOOKUP(A2143, Brent!A:A, Brent!B:B, "")</f>
        <v>86.48</v>
      </c>
      <c r="E2143">
        <f>_xlfn.XLOOKUP(
  A2143,
  Repo!A:A,
  Repo!B:B,
  "",
  -1
)</f>
        <v>6.5</v>
      </c>
      <c r="F2143" s="10">
        <f>_xlfn.XLOOKUP(
  A2143,
  CPI!D:D,
  CPI!C:C,
  "",
  -1
)</f>
        <v>3.6</v>
      </c>
      <c r="G2143">
        <v>72332</v>
      </c>
    </row>
    <row r="2144" spans="1:7">
      <c r="A2144" s="1">
        <v>45483</v>
      </c>
      <c r="B2144">
        <v>72629</v>
      </c>
      <c r="C2144">
        <f>_xlfn.XLOOKUP(A2144, USD!A:A, USD!B:B, "")</f>
        <v>83.51</v>
      </c>
      <c r="D2144">
        <f>_xlfn.XLOOKUP(A2144, Brent!A:A, Brent!B:B, "")</f>
        <v>86.55</v>
      </c>
      <c r="E2144">
        <f>_xlfn.XLOOKUP(
  A2144,
  Repo!A:A,
  Repo!B:B,
  "",
  -1
)</f>
        <v>6.5</v>
      </c>
      <c r="F2144" s="10">
        <f>_xlfn.XLOOKUP(
  A2144,
  CPI!D:D,
  CPI!C:C,
  "",
  -1
)</f>
        <v>3.6</v>
      </c>
      <c r="G2144">
        <v>72385</v>
      </c>
    </row>
    <row r="2145" spans="1:7">
      <c r="A2145" s="1">
        <v>45484</v>
      </c>
      <c r="B2145">
        <v>73205</v>
      </c>
      <c r="C2145">
        <f>_xlfn.XLOOKUP(A2145, USD!A:A, USD!B:B, "")</f>
        <v>83.507000000000005</v>
      </c>
      <c r="D2145">
        <f>_xlfn.XLOOKUP(A2145, Brent!A:A, Brent!B:B, "")</f>
        <v>86.49</v>
      </c>
      <c r="E2145">
        <f>_xlfn.XLOOKUP(
  A2145,
  Repo!A:A,
  Repo!B:B,
  "",
  -1
)</f>
        <v>6.5</v>
      </c>
      <c r="F2145" s="10">
        <f>_xlfn.XLOOKUP(
  A2145,
  CPI!D:D,
  CPI!C:C,
  "",
  -1
)</f>
        <v>3.6</v>
      </c>
      <c r="G2145">
        <v>72629</v>
      </c>
    </row>
    <row r="2146" spans="1:7">
      <c r="A2146" s="1">
        <v>45485</v>
      </c>
      <c r="B2146">
        <v>73159</v>
      </c>
      <c r="C2146">
        <f>_xlfn.XLOOKUP(A2146, USD!A:A, USD!B:B, "")</f>
        <v>83.513000000000005</v>
      </c>
      <c r="D2146">
        <f>_xlfn.XLOOKUP(A2146, Brent!A:A, Brent!B:B, "")</f>
        <v>87.35</v>
      </c>
      <c r="E2146">
        <f>_xlfn.XLOOKUP(
  A2146,
  Repo!A:A,
  Repo!B:B,
  "",
  -1
)</f>
        <v>6.5</v>
      </c>
      <c r="F2146" s="10">
        <f>_xlfn.XLOOKUP(
  A2146,
  CPI!D:D,
  CPI!C:C,
  "",
  -1
)</f>
        <v>3.6</v>
      </c>
      <c r="G2146">
        <v>73205</v>
      </c>
    </row>
    <row r="2147" spans="1:7">
      <c r="A2147" s="1">
        <v>45488</v>
      </c>
      <c r="B2147">
        <v>73311</v>
      </c>
      <c r="C2147">
        <f>_xlfn.XLOOKUP(A2147, USD!A:A, USD!B:B, "")</f>
        <v>83.551000000000002</v>
      </c>
      <c r="D2147">
        <f>_xlfn.XLOOKUP(A2147, Brent!A:A, Brent!B:B, "")</f>
        <v>86.42</v>
      </c>
      <c r="E2147">
        <f>_xlfn.XLOOKUP(
  A2147,
  Repo!A:A,
  Repo!B:B,
  "",
  -1
)</f>
        <v>6.5</v>
      </c>
      <c r="F2147" s="10">
        <f>_xlfn.XLOOKUP(
  A2147,
  CPI!D:D,
  CPI!C:C,
  "",
  -1
)</f>
        <v>3.6</v>
      </c>
      <c r="G2147">
        <v>73159</v>
      </c>
    </row>
    <row r="2148" spans="1:7">
      <c r="A2148" s="1">
        <v>45489</v>
      </c>
      <c r="B2148">
        <v>74025</v>
      </c>
      <c r="C2148">
        <f>_xlfn.XLOOKUP(A2148, USD!A:A, USD!B:B, "")</f>
        <v>83.524000000000001</v>
      </c>
      <c r="D2148">
        <f>_xlfn.XLOOKUP(A2148, Brent!A:A, Brent!B:B, "")</f>
        <v>86.6</v>
      </c>
      <c r="E2148">
        <f>_xlfn.XLOOKUP(
  A2148,
  Repo!A:A,
  Repo!B:B,
  "",
  -1
)</f>
        <v>6.5</v>
      </c>
      <c r="F2148" s="10">
        <f>_xlfn.XLOOKUP(
  A2148,
  CPI!D:D,
  CPI!C:C,
  "",
  -1
)</f>
        <v>3.6</v>
      </c>
      <c r="G2148">
        <v>73311</v>
      </c>
    </row>
    <row r="2149" spans="1:7">
      <c r="A2149" s="1">
        <v>45490</v>
      </c>
      <c r="B2149">
        <v>73924</v>
      </c>
      <c r="C2149">
        <f>_xlfn.XLOOKUP(A2149, USD!A:A, USD!B:B, "")</f>
        <v>83.58</v>
      </c>
      <c r="D2149">
        <f>_xlfn.XLOOKUP(A2149, Brent!A:A, Brent!B:B, "")</f>
        <v>85.76</v>
      </c>
      <c r="E2149">
        <f>_xlfn.XLOOKUP(
  A2149,
  Repo!A:A,
  Repo!B:B,
  "",
  -1
)</f>
        <v>6.5</v>
      </c>
      <c r="F2149" s="10">
        <f>_xlfn.XLOOKUP(
  A2149,
  CPI!D:D,
  CPI!C:C,
  "",
  -1
)</f>
        <v>3.6</v>
      </c>
      <c r="G2149">
        <v>74025</v>
      </c>
    </row>
    <row r="2150" spans="1:7">
      <c r="A2150" s="1">
        <v>45491</v>
      </c>
      <c r="B2150">
        <v>73965</v>
      </c>
      <c r="C2150">
        <f>_xlfn.XLOOKUP(A2150, USD!A:A, USD!B:B, "")</f>
        <v>83.58</v>
      </c>
      <c r="D2150">
        <f>_xlfn.XLOOKUP(A2150, Brent!A:A, Brent!B:B, "")</f>
        <v>86.26</v>
      </c>
      <c r="E2150">
        <f>_xlfn.XLOOKUP(
  A2150,
  Repo!A:A,
  Repo!B:B,
  "",
  -1
)</f>
        <v>6.5</v>
      </c>
      <c r="F2150" s="10">
        <f>_xlfn.XLOOKUP(
  A2150,
  CPI!D:D,
  CPI!C:C,
  "",
  -1
)</f>
        <v>3.6</v>
      </c>
      <c r="G2150">
        <v>73924</v>
      </c>
    </row>
    <row r="2151" spans="1:7">
      <c r="A2151" s="1">
        <v>45492</v>
      </c>
      <c r="B2151">
        <v>72872</v>
      </c>
      <c r="C2151">
        <f>_xlfn.XLOOKUP(A2151, USD!A:A, USD!B:B, "")</f>
        <v>83.724000000000004</v>
      </c>
      <c r="D2151">
        <f>_xlfn.XLOOKUP(A2151, Brent!A:A, Brent!B:B, "")</f>
        <v>85.19</v>
      </c>
      <c r="E2151">
        <f>_xlfn.XLOOKUP(
  A2151,
  Repo!A:A,
  Repo!B:B,
  "",
  -1
)</f>
        <v>6.5</v>
      </c>
      <c r="F2151" s="10">
        <f>_xlfn.XLOOKUP(
  A2151,
  CPI!D:D,
  CPI!C:C,
  "",
  -1
)</f>
        <v>3.6</v>
      </c>
      <c r="G2151">
        <v>73965</v>
      </c>
    </row>
    <row r="2152" spans="1:7">
      <c r="A2152" s="1">
        <v>45495</v>
      </c>
      <c r="B2152">
        <v>72641</v>
      </c>
      <c r="C2152">
        <f>_xlfn.XLOOKUP(A2152, USD!A:A, USD!B:B, "")</f>
        <v>83.650999999999996</v>
      </c>
      <c r="D2152">
        <f>_xlfn.XLOOKUP(A2152, Brent!A:A, Brent!B:B, "")</f>
        <v>83.44</v>
      </c>
      <c r="E2152">
        <f>_xlfn.XLOOKUP(
  A2152,
  Repo!A:A,
  Repo!B:B,
  "",
  -1
)</f>
        <v>6.5</v>
      </c>
      <c r="F2152" s="10">
        <f>_xlfn.XLOOKUP(
  A2152,
  CPI!D:D,
  CPI!C:C,
  "",
  -1
)</f>
        <v>3.6</v>
      </c>
      <c r="G2152">
        <v>72872</v>
      </c>
    </row>
    <row r="2153" spans="1:7">
      <c r="A2153" s="1">
        <v>45496</v>
      </c>
      <c r="B2153">
        <v>68648</v>
      </c>
      <c r="C2153">
        <f>_xlfn.XLOOKUP(A2153, USD!A:A, USD!B:B, "")</f>
        <v>83.676000000000002</v>
      </c>
      <c r="D2153">
        <f>_xlfn.XLOOKUP(A2153, Brent!A:A, Brent!B:B, "")</f>
        <v>82.2</v>
      </c>
      <c r="E2153">
        <f>_xlfn.XLOOKUP(
  A2153,
  Repo!A:A,
  Repo!B:B,
  "",
  -1
)</f>
        <v>6.5</v>
      </c>
      <c r="F2153" s="10">
        <f>_xlfn.XLOOKUP(
  A2153,
  CPI!D:D,
  CPI!C:C,
  "",
  -1
)</f>
        <v>3.6</v>
      </c>
      <c r="G2153">
        <v>72641</v>
      </c>
    </row>
    <row r="2154" spans="1:7">
      <c r="A2154" s="1">
        <v>45497</v>
      </c>
      <c r="B2154">
        <v>69028</v>
      </c>
      <c r="C2154">
        <f>_xlfn.XLOOKUP(A2154, USD!A:A, USD!B:B, "")</f>
        <v>83.71</v>
      </c>
      <c r="D2154">
        <f>_xlfn.XLOOKUP(A2154, Brent!A:A, Brent!B:B, "")</f>
        <v>83.01</v>
      </c>
      <c r="E2154">
        <f>_xlfn.XLOOKUP(
  A2154,
  Repo!A:A,
  Repo!B:B,
  "",
  -1
)</f>
        <v>6.5</v>
      </c>
      <c r="F2154" s="10">
        <f>_xlfn.XLOOKUP(
  A2154,
  CPI!D:D,
  CPI!C:C,
  "",
  -1
)</f>
        <v>3.6</v>
      </c>
      <c r="G2154">
        <v>68648</v>
      </c>
    </row>
    <row r="2155" spans="1:7">
      <c r="A2155" s="1">
        <v>45498</v>
      </c>
      <c r="B2155">
        <v>67491</v>
      </c>
      <c r="C2155">
        <f>_xlfn.XLOOKUP(A2155, USD!A:A, USD!B:B, "")</f>
        <v>83.72</v>
      </c>
      <c r="D2155">
        <f>_xlfn.XLOOKUP(A2155, Brent!A:A, Brent!B:B, "")</f>
        <v>82.58</v>
      </c>
      <c r="E2155">
        <f>_xlfn.XLOOKUP(
  A2155,
  Repo!A:A,
  Repo!B:B,
  "",
  -1
)</f>
        <v>6.5</v>
      </c>
      <c r="F2155" s="10">
        <f>_xlfn.XLOOKUP(
  A2155,
  CPI!D:D,
  CPI!C:C,
  "",
  -1
)</f>
        <v>3.6</v>
      </c>
      <c r="G2155">
        <v>69028</v>
      </c>
    </row>
    <row r="2156" spans="1:7">
      <c r="A2156" s="1">
        <v>45499</v>
      </c>
      <c r="B2156">
        <v>68173</v>
      </c>
      <c r="C2156">
        <f>_xlfn.XLOOKUP(A2156, USD!A:A, USD!B:B, "")</f>
        <v>83.703000000000003</v>
      </c>
      <c r="D2156">
        <f>_xlfn.XLOOKUP(A2156, Brent!A:A, Brent!B:B, "")</f>
        <v>81.349999999999994</v>
      </c>
      <c r="E2156">
        <f>_xlfn.XLOOKUP(
  A2156,
  Repo!A:A,
  Repo!B:B,
  "",
  -1
)</f>
        <v>6.5</v>
      </c>
      <c r="F2156" s="10">
        <f>_xlfn.XLOOKUP(
  A2156,
  CPI!D:D,
  CPI!C:C,
  "",
  -1
)</f>
        <v>3.6</v>
      </c>
      <c r="G2156">
        <v>67491</v>
      </c>
    </row>
    <row r="2157" spans="1:7">
      <c r="A2157" s="1">
        <v>45502</v>
      </c>
      <c r="B2157">
        <v>68206</v>
      </c>
      <c r="C2157">
        <f>_xlfn.XLOOKUP(A2157, USD!A:A, USD!B:B, "")</f>
        <v>83.748000000000005</v>
      </c>
      <c r="D2157">
        <f>_xlfn.XLOOKUP(A2157, Brent!A:A, Brent!B:B, "")</f>
        <v>80.94</v>
      </c>
      <c r="E2157">
        <f>_xlfn.XLOOKUP(
  A2157,
  Repo!A:A,
  Repo!B:B,
  "",
  -1
)</f>
        <v>6.5</v>
      </c>
      <c r="F2157" s="10">
        <f>_xlfn.XLOOKUP(
  A2157,
  CPI!D:D,
  CPI!C:C,
  "",
  -1
)</f>
        <v>3.6</v>
      </c>
      <c r="G2157">
        <v>68173</v>
      </c>
    </row>
    <row r="2158" spans="1:7">
      <c r="A2158" s="1">
        <v>45503</v>
      </c>
      <c r="B2158">
        <v>68617</v>
      </c>
      <c r="C2158">
        <f>_xlfn.XLOOKUP(A2158, USD!A:A, USD!B:B, "")</f>
        <v>83.72</v>
      </c>
      <c r="D2158">
        <f>_xlfn.XLOOKUP(A2158, Brent!A:A, Brent!B:B, "")</f>
        <v>79.260000000000005</v>
      </c>
      <c r="E2158">
        <f>_xlfn.XLOOKUP(
  A2158,
  Repo!A:A,
  Repo!B:B,
  "",
  -1
)</f>
        <v>6.5</v>
      </c>
      <c r="F2158" s="10">
        <f>_xlfn.XLOOKUP(
  A2158,
  CPI!D:D,
  CPI!C:C,
  "",
  -1
)</f>
        <v>3.6</v>
      </c>
      <c r="G2158">
        <v>68206</v>
      </c>
    </row>
    <row r="2159" spans="1:7">
      <c r="A2159" s="1">
        <v>45504</v>
      </c>
      <c r="B2159">
        <v>69083</v>
      </c>
      <c r="C2159">
        <f>_xlfn.XLOOKUP(A2159, USD!A:A, USD!B:B, "")</f>
        <v>83.698999999999998</v>
      </c>
      <c r="D2159">
        <f>_xlfn.XLOOKUP(A2159, Brent!A:A, Brent!B:B, "")</f>
        <v>81.39</v>
      </c>
      <c r="E2159">
        <f>_xlfn.XLOOKUP(
  A2159,
  Repo!A:A,
  Repo!B:B,
  "",
  -1
)</f>
        <v>6.5</v>
      </c>
      <c r="F2159" s="10">
        <f>_xlfn.XLOOKUP(
  A2159,
  CPI!D:D,
  CPI!C:C,
  "",
  -1
)</f>
        <v>3.6</v>
      </c>
      <c r="G2159">
        <v>68617</v>
      </c>
    </row>
    <row r="2160" spans="1:7">
      <c r="A2160" s="1">
        <v>45505</v>
      </c>
      <c r="B2160">
        <v>69412</v>
      </c>
      <c r="C2160">
        <f>_xlfn.XLOOKUP(A2160, USD!A:A, USD!B:B, "")</f>
        <v>83.71</v>
      </c>
      <c r="D2160">
        <f>_xlfn.XLOOKUP(A2160, Brent!A:A, Brent!B:B, "")</f>
        <v>81.37</v>
      </c>
      <c r="E2160">
        <f>_xlfn.XLOOKUP(
  A2160,
  Repo!A:A,
  Repo!B:B,
  "",
  -1
)</f>
        <v>6.5</v>
      </c>
      <c r="F2160" s="10">
        <f>_xlfn.XLOOKUP(
  A2160,
  CPI!D:D,
  CPI!C:C,
  "",
  -1
)</f>
        <v>3.65</v>
      </c>
      <c r="G2160">
        <v>69083</v>
      </c>
    </row>
    <row r="2161" spans="1:7">
      <c r="A2161" s="1">
        <v>45506</v>
      </c>
      <c r="B2161">
        <v>69381</v>
      </c>
      <c r="C2161">
        <f>_xlfn.XLOOKUP(A2161, USD!A:A, USD!B:B, "")</f>
        <v>83.793999999999997</v>
      </c>
      <c r="D2161">
        <f>_xlfn.XLOOKUP(A2161, Brent!A:A, Brent!B:B, "")</f>
        <v>78.349999999999994</v>
      </c>
      <c r="E2161">
        <f>_xlfn.XLOOKUP(
  A2161,
  Repo!A:A,
  Repo!B:B,
  "",
  -1
)</f>
        <v>6.5</v>
      </c>
      <c r="F2161" s="10">
        <f>_xlfn.XLOOKUP(
  A2161,
  CPI!D:D,
  CPI!C:C,
  "",
  -1
)</f>
        <v>3.65</v>
      </c>
      <c r="G2161">
        <v>69412</v>
      </c>
    </row>
    <row r="2162" spans="1:7">
      <c r="A2162" s="1">
        <v>45509</v>
      </c>
      <c r="B2162">
        <v>68641</v>
      </c>
      <c r="C2162">
        <f>_xlfn.XLOOKUP(A2162, USD!A:A, USD!B:B, "")</f>
        <v>84.018000000000001</v>
      </c>
      <c r="D2162">
        <f>_xlfn.XLOOKUP(A2162, Brent!A:A, Brent!B:B, "")</f>
        <v>77.510000000000005</v>
      </c>
      <c r="E2162">
        <f>_xlfn.XLOOKUP(
  A2162,
  Repo!A:A,
  Repo!B:B,
  "",
  -1
)</f>
        <v>6.5</v>
      </c>
      <c r="F2162" s="10">
        <f>_xlfn.XLOOKUP(
  A2162,
  CPI!D:D,
  CPI!C:C,
  "",
  -1
)</f>
        <v>3.65</v>
      </c>
      <c r="G2162">
        <v>69381</v>
      </c>
    </row>
    <row r="2163" spans="1:7">
      <c r="A2163" s="1">
        <v>45510</v>
      </c>
      <c r="B2163">
        <v>68742</v>
      </c>
      <c r="C2163">
        <f>_xlfn.XLOOKUP(A2163, USD!A:A, USD!B:B, "")</f>
        <v>83.93</v>
      </c>
      <c r="D2163">
        <f>_xlfn.XLOOKUP(A2163, Brent!A:A, Brent!B:B, "")</f>
        <v>76.62</v>
      </c>
      <c r="E2163">
        <f>_xlfn.XLOOKUP(
  A2163,
  Repo!A:A,
  Repo!B:B,
  "",
  -1
)</f>
        <v>6.5</v>
      </c>
      <c r="F2163" s="10">
        <f>_xlfn.XLOOKUP(
  A2163,
  CPI!D:D,
  CPI!C:C,
  "",
  -1
)</f>
        <v>3.65</v>
      </c>
      <c r="G2163">
        <v>68641</v>
      </c>
    </row>
    <row r="2164" spans="1:7">
      <c r="A2164" s="1">
        <v>45511</v>
      </c>
      <c r="B2164">
        <v>68752</v>
      </c>
      <c r="C2164">
        <f>_xlfn.XLOOKUP(A2164, USD!A:A, USD!B:B, "")</f>
        <v>83.885000000000005</v>
      </c>
      <c r="D2164">
        <f>_xlfn.XLOOKUP(A2164, Brent!A:A, Brent!B:B, "")</f>
        <v>78.260000000000005</v>
      </c>
      <c r="E2164">
        <f>_xlfn.XLOOKUP(
  A2164,
  Repo!A:A,
  Repo!B:B,
  "",
  -1
)</f>
        <v>6.5</v>
      </c>
      <c r="F2164" s="10">
        <f>_xlfn.XLOOKUP(
  A2164,
  CPI!D:D,
  CPI!C:C,
  "",
  -1
)</f>
        <v>3.65</v>
      </c>
      <c r="G2164">
        <v>68742</v>
      </c>
    </row>
    <row r="2165" spans="1:7">
      <c r="A2165" s="1">
        <v>45512</v>
      </c>
      <c r="B2165">
        <v>69396</v>
      </c>
      <c r="C2165">
        <f>_xlfn.XLOOKUP(A2165, USD!A:A, USD!B:B, "")</f>
        <v>83.99</v>
      </c>
      <c r="D2165">
        <f>_xlfn.XLOOKUP(A2165, Brent!A:A, Brent!B:B, "")</f>
        <v>80.760000000000005</v>
      </c>
      <c r="E2165">
        <f>_xlfn.XLOOKUP(
  A2165,
  Repo!A:A,
  Repo!B:B,
  "",
  -1
)</f>
        <v>6.5</v>
      </c>
      <c r="F2165" s="10">
        <f>_xlfn.XLOOKUP(
  A2165,
  CPI!D:D,
  CPI!C:C,
  "",
  -1
)</f>
        <v>3.65</v>
      </c>
      <c r="G2165">
        <v>68752</v>
      </c>
    </row>
    <row r="2166" spans="1:7">
      <c r="A2166" s="1">
        <v>45513</v>
      </c>
      <c r="B2166">
        <v>69604</v>
      </c>
      <c r="C2166">
        <f>_xlfn.XLOOKUP(A2166, USD!A:A, USD!B:B, "")</f>
        <v>83.944999999999993</v>
      </c>
      <c r="D2166">
        <f>_xlfn.XLOOKUP(A2166, Brent!A:A, Brent!B:B, "")</f>
        <v>81.069999999999993</v>
      </c>
      <c r="E2166">
        <f>_xlfn.XLOOKUP(
  A2166,
  Repo!A:A,
  Repo!B:B,
  "",
  -1
)</f>
        <v>6.5</v>
      </c>
      <c r="F2166" s="10">
        <f>_xlfn.XLOOKUP(
  A2166,
  CPI!D:D,
  CPI!C:C,
  "",
  -1
)</f>
        <v>3.65</v>
      </c>
      <c r="G2166">
        <v>69396</v>
      </c>
    </row>
    <row r="2167" spans="1:7">
      <c r="A2167" s="1">
        <v>45516</v>
      </c>
      <c r="B2167">
        <v>70354</v>
      </c>
      <c r="C2167">
        <f>_xlfn.XLOOKUP(A2167, USD!A:A, USD!B:B, "")</f>
        <v>83.93</v>
      </c>
      <c r="D2167">
        <f>_xlfn.XLOOKUP(A2167, Brent!A:A, Brent!B:B, "")</f>
        <v>83.06</v>
      </c>
      <c r="E2167">
        <f>_xlfn.XLOOKUP(
  A2167,
  Repo!A:A,
  Repo!B:B,
  "",
  -1
)</f>
        <v>6.5</v>
      </c>
      <c r="F2167" s="10">
        <f>_xlfn.XLOOKUP(
  A2167,
  CPI!D:D,
  CPI!C:C,
  "",
  -1
)</f>
        <v>3.65</v>
      </c>
      <c r="G2167">
        <v>69604</v>
      </c>
    </row>
    <row r="2168" spans="1:7">
      <c r="A2168" s="1">
        <v>45517</v>
      </c>
      <c r="B2168">
        <v>70356</v>
      </c>
      <c r="C2168">
        <f>_xlfn.XLOOKUP(A2168, USD!A:A, USD!B:B, "")</f>
        <v>83.91</v>
      </c>
      <c r="D2168">
        <f>_xlfn.XLOOKUP(A2168, Brent!A:A, Brent!B:B, "")</f>
        <v>82.51</v>
      </c>
      <c r="E2168">
        <f>_xlfn.XLOOKUP(
  A2168,
  Repo!A:A,
  Repo!B:B,
  "",
  -1
)</f>
        <v>6.5</v>
      </c>
      <c r="F2168" s="10">
        <f>_xlfn.XLOOKUP(
  A2168,
  CPI!D:D,
  CPI!C:C,
  "",
  -1
)</f>
        <v>3.65</v>
      </c>
      <c r="G2168">
        <v>70354</v>
      </c>
    </row>
    <row r="2169" spans="1:7">
      <c r="A2169" s="1">
        <v>45518</v>
      </c>
      <c r="B2169">
        <v>69874</v>
      </c>
      <c r="C2169">
        <f>_xlfn.XLOOKUP(A2169, USD!A:A, USD!B:B, "")</f>
        <v>83.96</v>
      </c>
      <c r="D2169">
        <f>_xlfn.XLOOKUP(A2169, Brent!A:A, Brent!B:B, "")</f>
        <v>82.15</v>
      </c>
      <c r="E2169">
        <f>_xlfn.XLOOKUP(
  A2169,
  Repo!A:A,
  Repo!B:B,
  "",
  -1
)</f>
        <v>6.5</v>
      </c>
      <c r="F2169" s="10">
        <f>_xlfn.XLOOKUP(
  A2169,
  CPI!D:D,
  CPI!C:C,
  "",
  -1
)</f>
        <v>3.65</v>
      </c>
      <c r="G2169">
        <v>70356</v>
      </c>
    </row>
    <row r="2170" spans="1:7">
      <c r="A2170" s="1">
        <v>45520</v>
      </c>
      <c r="B2170">
        <v>70938</v>
      </c>
      <c r="C2170">
        <f>_xlfn.XLOOKUP(A2170, USD!A:A, USD!B:B, "")</f>
        <v>83.88</v>
      </c>
      <c r="D2170">
        <f>_xlfn.XLOOKUP(A2170, Brent!A:A, Brent!B:B, "")</f>
        <v>81.56</v>
      </c>
      <c r="E2170">
        <f>_xlfn.XLOOKUP(
  A2170,
  Repo!A:A,
  Repo!B:B,
  "",
  -1
)</f>
        <v>6.5</v>
      </c>
      <c r="F2170" s="10">
        <f>_xlfn.XLOOKUP(
  A2170,
  CPI!D:D,
  CPI!C:C,
  "",
  -1
)</f>
        <v>3.65</v>
      </c>
      <c r="G2170">
        <v>69874</v>
      </c>
    </row>
    <row r="2171" spans="1:7">
      <c r="A2171" s="1">
        <v>45523</v>
      </c>
      <c r="B2171">
        <v>71138</v>
      </c>
      <c r="C2171">
        <f>_xlfn.XLOOKUP(A2171, USD!A:A, USD!B:B, "")</f>
        <v>83.85</v>
      </c>
      <c r="D2171">
        <f>_xlfn.XLOOKUP(A2171, Brent!A:A, Brent!B:B, "")</f>
        <v>81.09</v>
      </c>
      <c r="E2171">
        <f>_xlfn.XLOOKUP(
  A2171,
  Repo!A:A,
  Repo!B:B,
  "",
  -1
)</f>
        <v>6.5</v>
      </c>
      <c r="F2171" s="10">
        <f>_xlfn.XLOOKUP(
  A2171,
  CPI!D:D,
  CPI!C:C,
  "",
  -1
)</f>
        <v>3.65</v>
      </c>
      <c r="G2171">
        <v>70938</v>
      </c>
    </row>
    <row r="2172" spans="1:7">
      <c r="A2172" s="1">
        <v>45524</v>
      </c>
      <c r="B2172">
        <v>71340</v>
      </c>
      <c r="C2172">
        <f>_xlfn.XLOOKUP(A2172, USD!A:A, USD!B:B, "")</f>
        <v>83.75</v>
      </c>
      <c r="D2172">
        <f>_xlfn.XLOOKUP(A2172, Brent!A:A, Brent!B:B, "")</f>
        <v>78.849999999999994</v>
      </c>
      <c r="E2172">
        <f>_xlfn.XLOOKUP(
  A2172,
  Repo!A:A,
  Repo!B:B,
  "",
  -1
)</f>
        <v>6.5</v>
      </c>
      <c r="F2172" s="10">
        <f>_xlfn.XLOOKUP(
  A2172,
  CPI!D:D,
  CPI!C:C,
  "",
  -1
)</f>
        <v>3.65</v>
      </c>
      <c r="G2172">
        <v>71138</v>
      </c>
    </row>
    <row r="2173" spans="1:7">
      <c r="A2173" s="1">
        <v>45525</v>
      </c>
      <c r="B2173">
        <v>71407</v>
      </c>
      <c r="C2173">
        <f>_xlfn.XLOOKUP(A2173, USD!A:A, USD!B:B, "")</f>
        <v>83.87</v>
      </c>
      <c r="D2173">
        <f>_xlfn.XLOOKUP(A2173, Brent!A:A, Brent!B:B, "")</f>
        <v>78.77</v>
      </c>
      <c r="E2173">
        <f>_xlfn.XLOOKUP(
  A2173,
  Repo!A:A,
  Repo!B:B,
  "",
  -1
)</f>
        <v>6.5</v>
      </c>
      <c r="F2173" s="10">
        <f>_xlfn.XLOOKUP(
  A2173,
  CPI!D:D,
  CPI!C:C,
  "",
  -1
)</f>
        <v>3.65</v>
      </c>
      <c r="G2173">
        <v>71340</v>
      </c>
    </row>
    <row r="2174" spans="1:7">
      <c r="A2174" s="1">
        <v>45526</v>
      </c>
      <c r="B2174">
        <v>70796</v>
      </c>
      <c r="C2174">
        <f>_xlfn.XLOOKUP(A2174, USD!A:A, USD!B:B, "")</f>
        <v>83.93</v>
      </c>
      <c r="D2174">
        <f>_xlfn.XLOOKUP(A2174, Brent!A:A, Brent!B:B, "")</f>
        <v>78.8</v>
      </c>
      <c r="E2174">
        <f>_xlfn.XLOOKUP(
  A2174,
  Repo!A:A,
  Repo!B:B,
  "",
  -1
)</f>
        <v>6.5</v>
      </c>
      <c r="F2174" s="10">
        <f>_xlfn.XLOOKUP(
  A2174,
  CPI!D:D,
  CPI!C:C,
  "",
  -1
)</f>
        <v>3.65</v>
      </c>
      <c r="G2174">
        <v>71407</v>
      </c>
    </row>
    <row r="2175" spans="1:7">
      <c r="A2175" s="1">
        <v>45527</v>
      </c>
      <c r="B2175">
        <v>71295</v>
      </c>
      <c r="C2175">
        <f>_xlfn.XLOOKUP(A2175, USD!A:A, USD!B:B, "")</f>
        <v>83.808999999999997</v>
      </c>
      <c r="D2175">
        <f>_xlfn.XLOOKUP(A2175, Brent!A:A, Brent!B:B, "")</f>
        <v>80.34</v>
      </c>
      <c r="E2175">
        <f>_xlfn.XLOOKUP(
  A2175,
  Repo!A:A,
  Repo!B:B,
  "",
  -1
)</f>
        <v>6.5</v>
      </c>
      <c r="F2175" s="10">
        <f>_xlfn.XLOOKUP(
  A2175,
  CPI!D:D,
  CPI!C:C,
  "",
  -1
)</f>
        <v>3.65</v>
      </c>
      <c r="G2175">
        <v>70796</v>
      </c>
    </row>
    <row r="2176" spans="1:7">
      <c r="A2176" s="1">
        <v>45531</v>
      </c>
      <c r="B2176">
        <v>71551</v>
      </c>
      <c r="C2176">
        <f>_xlfn.XLOOKUP(A2176, USD!A:A, USD!B:B, "")</f>
        <v>83.91</v>
      </c>
      <c r="D2176">
        <f>_xlfn.XLOOKUP(A2176, Brent!A:A, Brent!B:B, "")</f>
        <v>81.510000000000005</v>
      </c>
      <c r="E2176">
        <f>_xlfn.XLOOKUP(
  A2176,
  Repo!A:A,
  Repo!B:B,
  "",
  -1
)</f>
        <v>6.5</v>
      </c>
      <c r="F2176" s="10">
        <f>_xlfn.XLOOKUP(
  A2176,
  CPI!D:D,
  CPI!C:C,
  "",
  -1
)</f>
        <v>3.65</v>
      </c>
      <c r="G2176">
        <v>71295</v>
      </c>
    </row>
    <row r="2177" spans="1:7">
      <c r="A2177" s="1">
        <v>45532</v>
      </c>
      <c r="B2177">
        <v>71328</v>
      </c>
      <c r="C2177">
        <f>_xlfn.XLOOKUP(A2177, USD!A:A, USD!B:B, "")</f>
        <v>83.9</v>
      </c>
      <c r="D2177">
        <f>_xlfn.XLOOKUP(A2177, Brent!A:A, Brent!B:B, "")</f>
        <v>80.040000000000006</v>
      </c>
      <c r="E2177">
        <f>_xlfn.XLOOKUP(
  A2177,
  Repo!A:A,
  Repo!B:B,
  "",
  -1
)</f>
        <v>6.5</v>
      </c>
      <c r="F2177" s="10">
        <f>_xlfn.XLOOKUP(
  A2177,
  CPI!D:D,
  CPI!C:C,
  "",
  -1
)</f>
        <v>3.65</v>
      </c>
      <c r="G2177">
        <v>71551</v>
      </c>
    </row>
    <row r="2178" spans="1:7">
      <c r="A2178" s="1">
        <v>45533</v>
      </c>
      <c r="B2178">
        <v>71666</v>
      </c>
      <c r="C2178">
        <f>_xlfn.XLOOKUP(A2178, USD!A:A, USD!B:B, "")</f>
        <v>83.88</v>
      </c>
      <c r="D2178">
        <f>_xlfn.XLOOKUP(A2178, Brent!A:A, Brent!B:B, "")</f>
        <v>81.55</v>
      </c>
      <c r="E2178">
        <f>_xlfn.XLOOKUP(
  A2178,
  Repo!A:A,
  Repo!B:B,
  "",
  -1
)</f>
        <v>6.5</v>
      </c>
      <c r="F2178" s="10">
        <f>_xlfn.XLOOKUP(
  A2178,
  CPI!D:D,
  CPI!C:C,
  "",
  -1
)</f>
        <v>3.65</v>
      </c>
      <c r="G2178">
        <v>71328</v>
      </c>
    </row>
    <row r="2179" spans="1:7">
      <c r="A2179" s="1">
        <v>45534</v>
      </c>
      <c r="B2179">
        <v>71195</v>
      </c>
      <c r="C2179">
        <f>_xlfn.XLOOKUP(A2179, USD!A:A, USD!B:B, "")</f>
        <v>83.867000000000004</v>
      </c>
      <c r="D2179">
        <f>_xlfn.XLOOKUP(A2179, Brent!A:A, Brent!B:B, "")</f>
        <v>80.2</v>
      </c>
      <c r="E2179">
        <f>_xlfn.XLOOKUP(
  A2179,
  Repo!A:A,
  Repo!B:B,
  "",
  -1
)</f>
        <v>6.5</v>
      </c>
      <c r="F2179" s="10">
        <f>_xlfn.XLOOKUP(
  A2179,
  CPI!D:D,
  CPI!C:C,
  "",
  -1
)</f>
        <v>3.65</v>
      </c>
      <c r="G2179">
        <v>71666</v>
      </c>
    </row>
    <row r="2180" spans="1:7">
      <c r="A2180" s="1">
        <v>45537</v>
      </c>
      <c r="B2180">
        <v>71233</v>
      </c>
      <c r="C2180">
        <f>_xlfn.XLOOKUP(A2180, USD!A:A, USD!B:B, "")</f>
        <v>83.88</v>
      </c>
      <c r="D2180">
        <f>_xlfn.XLOOKUP(A2180, Brent!A:A, Brent!B:B, "")</f>
        <v>77.819999999999993</v>
      </c>
      <c r="E2180">
        <f>_xlfn.XLOOKUP(
  A2180,
  Repo!A:A,
  Repo!B:B,
  "",
  -1
)</f>
        <v>6.5</v>
      </c>
      <c r="F2180" s="10">
        <f>_xlfn.XLOOKUP(
  A2180,
  CPI!D:D,
  CPI!C:C,
  "",
  -1
)</f>
        <v>5.49</v>
      </c>
      <c r="G2180">
        <v>71195</v>
      </c>
    </row>
    <row r="2181" spans="1:7">
      <c r="A2181" s="1">
        <v>45538</v>
      </c>
      <c r="B2181">
        <v>70807</v>
      </c>
      <c r="C2181">
        <f>_xlfn.XLOOKUP(A2181, USD!A:A, USD!B:B, "")</f>
        <v>83.95</v>
      </c>
      <c r="D2181">
        <f>_xlfn.XLOOKUP(A2181, Brent!A:A, Brent!B:B, "")</f>
        <v>76.459999999999994</v>
      </c>
      <c r="E2181">
        <f>_xlfn.XLOOKUP(
  A2181,
  Repo!A:A,
  Repo!B:B,
  "",
  -1
)</f>
        <v>6.5</v>
      </c>
      <c r="F2181" s="10">
        <f>_xlfn.XLOOKUP(
  A2181,
  CPI!D:D,
  CPI!C:C,
  "",
  -1
)</f>
        <v>5.49</v>
      </c>
      <c r="G2181">
        <v>71233</v>
      </c>
    </row>
    <row r="2182" spans="1:7">
      <c r="A2182" s="1">
        <v>45539</v>
      </c>
      <c r="B2182">
        <v>71053</v>
      </c>
      <c r="C2182">
        <f>_xlfn.XLOOKUP(A2182, USD!A:A, USD!B:B, "")</f>
        <v>83.96</v>
      </c>
      <c r="D2182">
        <f>_xlfn.XLOOKUP(A2182, Brent!A:A, Brent!B:B, "")</f>
        <v>74.67</v>
      </c>
      <c r="E2182">
        <f>_xlfn.XLOOKUP(
  A2182,
  Repo!A:A,
  Repo!B:B,
  "",
  -1
)</f>
        <v>6.5</v>
      </c>
      <c r="F2182" s="10">
        <f>_xlfn.XLOOKUP(
  A2182,
  CPI!D:D,
  CPI!C:C,
  "",
  -1
)</f>
        <v>5.49</v>
      </c>
      <c r="G2182">
        <v>70807</v>
      </c>
    </row>
    <row r="2183" spans="1:7">
      <c r="A2183" s="1">
        <v>45540</v>
      </c>
      <c r="B2183">
        <v>71890</v>
      </c>
      <c r="C2183">
        <f>_xlfn.XLOOKUP(A2183, USD!A:A, USD!B:B, "")</f>
        <v>83.960999999999999</v>
      </c>
      <c r="D2183">
        <f>_xlfn.XLOOKUP(A2183, Brent!A:A, Brent!B:B, "")</f>
        <v>74.47</v>
      </c>
      <c r="E2183">
        <f>_xlfn.XLOOKUP(
  A2183,
  Repo!A:A,
  Repo!B:B,
  "",
  -1
)</f>
        <v>6.5</v>
      </c>
      <c r="F2183" s="10">
        <f>_xlfn.XLOOKUP(
  A2183,
  CPI!D:D,
  CPI!C:C,
  "",
  -1
)</f>
        <v>5.49</v>
      </c>
      <c r="G2183">
        <v>71053</v>
      </c>
    </row>
    <row r="2184" spans="1:7">
      <c r="A2184" s="1">
        <v>45541</v>
      </c>
      <c r="B2184">
        <v>71409</v>
      </c>
      <c r="C2184">
        <f>_xlfn.XLOOKUP(A2184, USD!A:A, USD!B:B, "")</f>
        <v>83.984999999999999</v>
      </c>
      <c r="D2184">
        <f>_xlfn.XLOOKUP(A2184, Brent!A:A, Brent!B:B, "")</f>
        <v>72.819999999999993</v>
      </c>
      <c r="E2184">
        <f>_xlfn.XLOOKUP(
  A2184,
  Repo!A:A,
  Repo!B:B,
  "",
  -1
)</f>
        <v>6.5</v>
      </c>
      <c r="F2184" s="10">
        <f>_xlfn.XLOOKUP(
  A2184,
  CPI!D:D,
  CPI!C:C,
  "",
  -1
)</f>
        <v>5.49</v>
      </c>
      <c r="G2184">
        <v>71890</v>
      </c>
    </row>
    <row r="2185" spans="1:7">
      <c r="A2185" s="1">
        <v>45544</v>
      </c>
      <c r="B2185">
        <v>71573</v>
      </c>
      <c r="C2185">
        <f>_xlfn.XLOOKUP(A2185, USD!A:A, USD!B:B, "")</f>
        <v>83.927999999999997</v>
      </c>
      <c r="D2185">
        <f>_xlfn.XLOOKUP(A2185, Brent!A:A, Brent!B:B, "")</f>
        <v>72.37</v>
      </c>
      <c r="E2185">
        <f>_xlfn.XLOOKUP(
  A2185,
  Repo!A:A,
  Repo!B:B,
  "",
  -1
)</f>
        <v>6.5</v>
      </c>
      <c r="F2185" s="10">
        <f>_xlfn.XLOOKUP(
  A2185,
  CPI!D:D,
  CPI!C:C,
  "",
  -1
)</f>
        <v>5.49</v>
      </c>
      <c r="G2185">
        <v>71409</v>
      </c>
    </row>
    <row r="2186" spans="1:7">
      <c r="A2186" s="1">
        <v>45545</v>
      </c>
      <c r="B2186">
        <v>71821</v>
      </c>
      <c r="C2186">
        <f>_xlfn.XLOOKUP(A2186, USD!A:A, USD!B:B, "")</f>
        <v>83.948999999999998</v>
      </c>
      <c r="D2186">
        <f>_xlfn.XLOOKUP(A2186, Brent!A:A, Brent!B:B, "")</f>
        <v>70.34</v>
      </c>
      <c r="E2186">
        <f>_xlfn.XLOOKUP(
  A2186,
  Repo!A:A,
  Repo!B:B,
  "",
  -1
)</f>
        <v>6.5</v>
      </c>
      <c r="F2186" s="10">
        <f>_xlfn.XLOOKUP(
  A2186,
  CPI!D:D,
  CPI!C:C,
  "",
  -1
)</f>
        <v>5.49</v>
      </c>
      <c r="G2186">
        <v>71573</v>
      </c>
    </row>
    <row r="2187" spans="1:7">
      <c r="A2187" s="1">
        <v>45546</v>
      </c>
      <c r="B2187">
        <v>71878</v>
      </c>
      <c r="C2187">
        <f>_xlfn.XLOOKUP(A2187, USD!A:A, USD!B:B, "")</f>
        <v>83.96</v>
      </c>
      <c r="D2187">
        <f>_xlfn.XLOOKUP(A2187, Brent!A:A, Brent!B:B, "")</f>
        <v>70.31</v>
      </c>
      <c r="E2187">
        <f>_xlfn.XLOOKUP(
  A2187,
  Repo!A:A,
  Repo!B:B,
  "",
  -1
)</f>
        <v>6.5</v>
      </c>
      <c r="F2187" s="10">
        <f>_xlfn.XLOOKUP(
  A2187,
  CPI!D:D,
  CPI!C:C,
  "",
  -1
)</f>
        <v>5.49</v>
      </c>
      <c r="G2187">
        <v>71821</v>
      </c>
    </row>
    <row r="2188" spans="1:7">
      <c r="A2188" s="1">
        <v>45547</v>
      </c>
      <c r="B2188">
        <v>72681</v>
      </c>
      <c r="C2188">
        <f>_xlfn.XLOOKUP(A2188, USD!A:A, USD!B:B, "")</f>
        <v>83.92</v>
      </c>
      <c r="D2188">
        <f>_xlfn.XLOOKUP(A2188, Brent!A:A, Brent!B:B, "")</f>
        <v>73.81</v>
      </c>
      <c r="E2188">
        <f>_xlfn.XLOOKUP(
  A2188,
  Repo!A:A,
  Repo!B:B,
  "",
  -1
)</f>
        <v>6.5</v>
      </c>
      <c r="F2188" s="10">
        <f>_xlfn.XLOOKUP(
  A2188,
  CPI!D:D,
  CPI!C:C,
  "",
  -1
)</f>
        <v>5.49</v>
      </c>
      <c r="G2188">
        <v>71878</v>
      </c>
    </row>
    <row r="2189" spans="1:7">
      <c r="A2189" s="1">
        <v>45548</v>
      </c>
      <c r="B2189">
        <v>73367</v>
      </c>
      <c r="C2189">
        <f>_xlfn.XLOOKUP(A2189, USD!A:A, USD!B:B, "")</f>
        <v>83.88</v>
      </c>
      <c r="D2189">
        <f>_xlfn.XLOOKUP(A2189, Brent!A:A, Brent!B:B, "")</f>
        <v>73.680000000000007</v>
      </c>
      <c r="E2189">
        <f>_xlfn.XLOOKUP(
  A2189,
  Repo!A:A,
  Repo!B:B,
  "",
  -1
)</f>
        <v>6.5</v>
      </c>
      <c r="F2189" s="10">
        <f>_xlfn.XLOOKUP(
  A2189,
  CPI!D:D,
  CPI!C:C,
  "",
  -1
)</f>
        <v>5.49</v>
      </c>
      <c r="G2189">
        <v>72681</v>
      </c>
    </row>
    <row r="2190" spans="1:7">
      <c r="A2190" s="1">
        <v>45551</v>
      </c>
      <c r="B2190">
        <v>73422</v>
      </c>
      <c r="C2190">
        <f>_xlfn.XLOOKUP(A2190, USD!A:A, USD!B:B, "")</f>
        <v>83.84</v>
      </c>
      <c r="D2190">
        <f>_xlfn.XLOOKUP(A2190, Brent!A:A, Brent!B:B, "")</f>
        <v>73.959999999999994</v>
      </c>
      <c r="E2190">
        <f>_xlfn.XLOOKUP(
  A2190,
  Repo!A:A,
  Repo!B:B,
  "",
  -1
)</f>
        <v>6.5</v>
      </c>
      <c r="F2190" s="10">
        <f>_xlfn.XLOOKUP(
  A2190,
  CPI!D:D,
  CPI!C:C,
  "",
  -1
)</f>
        <v>5.49</v>
      </c>
      <c r="G2190">
        <v>73367</v>
      </c>
    </row>
    <row r="2191" spans="1:7">
      <c r="A2191" s="1">
        <v>45552</v>
      </c>
      <c r="B2191">
        <v>73022</v>
      </c>
      <c r="C2191">
        <f>_xlfn.XLOOKUP(A2191, USD!A:A, USD!B:B, "")</f>
        <v>83.747</v>
      </c>
      <c r="D2191">
        <f>_xlfn.XLOOKUP(A2191, Brent!A:A, Brent!B:B, "")</f>
        <v>74.55</v>
      </c>
      <c r="E2191">
        <f>_xlfn.XLOOKUP(
  A2191,
  Repo!A:A,
  Repo!B:B,
  "",
  -1
)</f>
        <v>6.5</v>
      </c>
      <c r="F2191" s="10">
        <f>_xlfn.XLOOKUP(
  A2191,
  CPI!D:D,
  CPI!C:C,
  "",
  -1
)</f>
        <v>5.49</v>
      </c>
      <c r="G2191">
        <v>73422</v>
      </c>
    </row>
    <row r="2192" spans="1:7">
      <c r="A2192" s="1">
        <v>45553</v>
      </c>
      <c r="B2192">
        <v>73029</v>
      </c>
      <c r="C2192">
        <f>_xlfn.XLOOKUP(A2192, USD!A:A, USD!B:B, "")</f>
        <v>83.65</v>
      </c>
      <c r="D2192">
        <f>_xlfn.XLOOKUP(A2192, Brent!A:A, Brent!B:B, "")</f>
        <v>74.52</v>
      </c>
      <c r="E2192">
        <f>_xlfn.XLOOKUP(
  A2192,
  Repo!A:A,
  Repo!B:B,
  "",
  -1
)</f>
        <v>6.5</v>
      </c>
      <c r="F2192" s="10">
        <f>_xlfn.XLOOKUP(
  A2192,
  CPI!D:D,
  CPI!C:C,
  "",
  -1
)</f>
        <v>5.49</v>
      </c>
      <c r="G2192">
        <v>73022</v>
      </c>
    </row>
    <row r="2193" spans="1:7">
      <c r="A2193" s="1">
        <v>45554</v>
      </c>
      <c r="B2193">
        <v>73357</v>
      </c>
      <c r="C2193">
        <f>_xlfn.XLOOKUP(A2193, USD!A:A, USD!B:B, "")</f>
        <v>83.62</v>
      </c>
      <c r="D2193">
        <f>_xlfn.XLOOKUP(A2193, Brent!A:A, Brent!B:B, "")</f>
        <v>75.930000000000007</v>
      </c>
      <c r="E2193">
        <f>_xlfn.XLOOKUP(
  A2193,
  Repo!A:A,
  Repo!B:B,
  "",
  -1
)</f>
        <v>6.5</v>
      </c>
      <c r="F2193" s="10">
        <f>_xlfn.XLOOKUP(
  A2193,
  CPI!D:D,
  CPI!C:C,
  "",
  -1
)</f>
        <v>5.49</v>
      </c>
      <c r="G2193">
        <v>73029</v>
      </c>
    </row>
    <row r="2194" spans="1:7">
      <c r="A2194" s="1">
        <v>45555</v>
      </c>
      <c r="B2194">
        <v>73977</v>
      </c>
      <c r="C2194">
        <f>_xlfn.XLOOKUP(A2194, USD!A:A, USD!B:B, "")</f>
        <v>83.484999999999999</v>
      </c>
      <c r="D2194">
        <f>_xlfn.XLOOKUP(A2194, Brent!A:A, Brent!B:B, "")</f>
        <v>75.959999999999994</v>
      </c>
      <c r="E2194">
        <f>_xlfn.XLOOKUP(
  A2194,
  Repo!A:A,
  Repo!B:B,
  "",
  -1
)</f>
        <v>6.5</v>
      </c>
      <c r="F2194" s="10">
        <f>_xlfn.XLOOKUP(
  A2194,
  CPI!D:D,
  CPI!C:C,
  "",
  -1
)</f>
        <v>5.49</v>
      </c>
      <c r="G2194">
        <v>73357</v>
      </c>
    </row>
    <row r="2195" spans="1:7">
      <c r="A2195" s="1">
        <v>45558</v>
      </c>
      <c r="B2195">
        <v>74183</v>
      </c>
      <c r="C2195">
        <f>_xlfn.XLOOKUP(A2195, USD!A:A, USD!B:B, "")</f>
        <v>83.53</v>
      </c>
      <c r="D2195">
        <f>_xlfn.XLOOKUP(A2195, Brent!A:A, Brent!B:B, "")</f>
        <v>74.95</v>
      </c>
      <c r="E2195">
        <f>_xlfn.XLOOKUP(
  A2195,
  Repo!A:A,
  Repo!B:B,
  "",
  -1
)</f>
        <v>6.5</v>
      </c>
      <c r="F2195" s="10">
        <f>_xlfn.XLOOKUP(
  A2195,
  CPI!D:D,
  CPI!C:C,
  "",
  -1
)</f>
        <v>5.49</v>
      </c>
      <c r="G2195">
        <v>73977</v>
      </c>
    </row>
    <row r="2196" spans="1:7">
      <c r="A2196" s="1">
        <v>45559</v>
      </c>
      <c r="B2196">
        <v>74886</v>
      </c>
      <c r="C2196">
        <f>_xlfn.XLOOKUP(A2196, USD!A:A, USD!B:B, "")</f>
        <v>83.6</v>
      </c>
      <c r="D2196">
        <f>_xlfn.XLOOKUP(A2196, Brent!A:A, Brent!B:B, "")</f>
        <v>75.290000000000006</v>
      </c>
      <c r="E2196">
        <f>_xlfn.XLOOKUP(
  A2196,
  Repo!A:A,
  Repo!B:B,
  "",
  -1
)</f>
        <v>6.5</v>
      </c>
      <c r="F2196" s="10">
        <f>_xlfn.XLOOKUP(
  A2196,
  CPI!D:D,
  CPI!C:C,
  "",
  -1
)</f>
        <v>5.49</v>
      </c>
      <c r="G2196">
        <v>74183</v>
      </c>
    </row>
    <row r="2197" spans="1:7">
      <c r="A2197" s="1">
        <v>45560</v>
      </c>
      <c r="B2197">
        <v>75167</v>
      </c>
      <c r="C2197">
        <f>_xlfn.XLOOKUP(A2197, USD!A:A, USD!B:B, "")</f>
        <v>83.6</v>
      </c>
      <c r="D2197">
        <f>_xlfn.XLOOKUP(A2197, Brent!A:A, Brent!B:B, "")</f>
        <v>75.400000000000006</v>
      </c>
      <c r="E2197">
        <f>_xlfn.XLOOKUP(
  A2197,
  Repo!A:A,
  Repo!B:B,
  "",
  -1
)</f>
        <v>6.5</v>
      </c>
      <c r="F2197" s="10">
        <f>_xlfn.XLOOKUP(
  A2197,
  CPI!D:D,
  CPI!C:C,
  "",
  -1
)</f>
        <v>5.49</v>
      </c>
      <c r="G2197">
        <v>74886</v>
      </c>
    </row>
    <row r="2198" spans="1:7">
      <c r="A2198" s="1">
        <v>45561</v>
      </c>
      <c r="B2198">
        <v>75339</v>
      </c>
      <c r="C2198">
        <f>_xlfn.XLOOKUP(A2198, USD!A:A, USD!B:B, "")</f>
        <v>83.600999999999999</v>
      </c>
      <c r="D2198">
        <f>_xlfn.XLOOKUP(A2198, Brent!A:A, Brent!B:B, "")</f>
        <v>73.06</v>
      </c>
      <c r="E2198">
        <f>_xlfn.XLOOKUP(
  A2198,
  Repo!A:A,
  Repo!B:B,
  "",
  -1
)</f>
        <v>6.5</v>
      </c>
      <c r="F2198" s="10">
        <f>_xlfn.XLOOKUP(
  A2198,
  CPI!D:D,
  CPI!C:C,
  "",
  -1
)</f>
        <v>5.49</v>
      </c>
      <c r="G2198">
        <v>75167</v>
      </c>
    </row>
    <row r="2199" spans="1:7">
      <c r="A2199" s="1">
        <v>45562</v>
      </c>
      <c r="B2199">
        <v>74878</v>
      </c>
      <c r="C2199">
        <f>_xlfn.XLOOKUP(A2199, USD!A:A, USD!B:B, "")</f>
        <v>83.71</v>
      </c>
      <c r="D2199">
        <f>_xlfn.XLOOKUP(A2199, Brent!A:A, Brent!B:B, "")</f>
        <v>71.63</v>
      </c>
      <c r="E2199">
        <f>_xlfn.XLOOKUP(
  A2199,
  Repo!A:A,
  Repo!B:B,
  "",
  -1
)</f>
        <v>6.5</v>
      </c>
      <c r="F2199" s="10">
        <f>_xlfn.XLOOKUP(
  A2199,
  CPI!D:D,
  CPI!C:C,
  "",
  -1
)</f>
        <v>5.49</v>
      </c>
      <c r="G2199">
        <v>75339</v>
      </c>
    </row>
    <row r="2200" spans="1:7">
      <c r="A2200" s="1">
        <v>45565</v>
      </c>
      <c r="B2200">
        <v>74844</v>
      </c>
      <c r="C2200">
        <f>_xlfn.XLOOKUP(A2200, USD!A:A, USD!B:B, "")</f>
        <v>83.754999999999995</v>
      </c>
      <c r="D2200">
        <f>_xlfn.XLOOKUP(A2200, Brent!A:A, Brent!B:B, "")</f>
        <v>72.349999999999994</v>
      </c>
      <c r="E2200">
        <f>_xlfn.XLOOKUP(
  A2200,
  Repo!A:A,
  Repo!B:B,
  "",
  -1
)</f>
        <v>6.5</v>
      </c>
      <c r="F2200" s="10">
        <f>_xlfn.XLOOKUP(
  A2200,
  CPI!D:D,
  CPI!C:C,
  "",
  -1
)</f>
        <v>5.49</v>
      </c>
      <c r="G2200">
        <v>74878</v>
      </c>
    </row>
    <row r="2201" spans="1:7">
      <c r="A2201" s="1">
        <v>45566</v>
      </c>
      <c r="B2201">
        <v>75660</v>
      </c>
      <c r="C2201">
        <f>_xlfn.XLOOKUP(A2201, USD!A:A, USD!B:B, "")</f>
        <v>83.9</v>
      </c>
      <c r="D2201">
        <f>_xlfn.XLOOKUP(A2201, Brent!A:A, Brent!B:B, "")</f>
        <v>75.3</v>
      </c>
      <c r="E2201">
        <f>_xlfn.XLOOKUP(
  A2201,
  Repo!A:A,
  Repo!B:B,
  "",
  -1
)</f>
        <v>6.5</v>
      </c>
      <c r="F2201" s="10">
        <f>_xlfn.XLOOKUP(
  A2201,
  CPI!D:D,
  CPI!C:C,
  "",
  -1
)</f>
        <v>6.21</v>
      </c>
      <c r="G2201">
        <v>74844</v>
      </c>
    </row>
    <row r="2202" spans="1:7">
      <c r="A2202" s="1">
        <v>45568</v>
      </c>
      <c r="B2202">
        <v>75827</v>
      </c>
      <c r="C2202">
        <f>_xlfn.XLOOKUP(A2202, USD!A:A, USD!B:B, "")</f>
        <v>83.99</v>
      </c>
      <c r="D2202">
        <f>_xlfn.XLOOKUP(A2202, Brent!A:A, Brent!B:B, "")</f>
        <v>77.569999999999993</v>
      </c>
      <c r="E2202">
        <f>_xlfn.XLOOKUP(
  A2202,
  Repo!A:A,
  Repo!B:B,
  "",
  -1
)</f>
        <v>6.5</v>
      </c>
      <c r="F2202" s="10">
        <f>_xlfn.XLOOKUP(
  A2202,
  CPI!D:D,
  CPI!C:C,
  "",
  -1
)</f>
        <v>6.21</v>
      </c>
      <c r="G2202">
        <v>75660</v>
      </c>
    </row>
    <row r="2203" spans="1:7">
      <c r="A2203" s="1">
        <v>45569</v>
      </c>
      <c r="B2203">
        <v>75759</v>
      </c>
      <c r="C2203">
        <f>_xlfn.XLOOKUP(A2203, USD!A:A, USD!B:B, "")</f>
        <v>84.022999999999996</v>
      </c>
      <c r="D2203">
        <f>_xlfn.XLOOKUP(A2203, Brent!A:A, Brent!B:B, "")</f>
        <v>79.319999999999993</v>
      </c>
      <c r="E2203">
        <f>_xlfn.XLOOKUP(
  A2203,
  Repo!A:A,
  Repo!B:B,
  "",
  -1
)</f>
        <v>6.5</v>
      </c>
      <c r="F2203" s="10">
        <f>_xlfn.XLOOKUP(
  A2203,
  CPI!D:D,
  CPI!C:C,
  "",
  -1
)</f>
        <v>6.21</v>
      </c>
      <c r="G2203">
        <v>75827</v>
      </c>
    </row>
    <row r="2204" spans="1:7">
      <c r="A2204" s="1">
        <v>45572</v>
      </c>
      <c r="B2204">
        <v>75657</v>
      </c>
      <c r="C2204">
        <f>_xlfn.XLOOKUP(A2204, USD!A:A, USD!B:B, "")</f>
        <v>83.98</v>
      </c>
      <c r="D2204">
        <f>_xlfn.XLOOKUP(A2204, Brent!A:A, Brent!B:B, "")</f>
        <v>81.739999999999995</v>
      </c>
      <c r="E2204">
        <f>_xlfn.XLOOKUP(
  A2204,
  Repo!A:A,
  Repo!B:B,
  "",
  -1
)</f>
        <v>6.5</v>
      </c>
      <c r="F2204" s="10">
        <f>_xlfn.XLOOKUP(
  A2204,
  CPI!D:D,
  CPI!C:C,
  "",
  -1
)</f>
        <v>6.21</v>
      </c>
      <c r="G2204">
        <v>75759</v>
      </c>
    </row>
    <row r="2205" spans="1:7">
      <c r="A2205" s="1">
        <v>45573</v>
      </c>
      <c r="B2205">
        <v>74799</v>
      </c>
      <c r="C2205">
        <f>_xlfn.XLOOKUP(A2205, USD!A:A, USD!B:B, "")</f>
        <v>83.944999999999993</v>
      </c>
      <c r="D2205">
        <f>_xlfn.XLOOKUP(A2205, Brent!A:A, Brent!B:B, "")</f>
        <v>78.19</v>
      </c>
      <c r="E2205">
        <f>_xlfn.XLOOKUP(
  A2205,
  Repo!A:A,
  Repo!B:B,
  "",
  -1
)</f>
        <v>6.5</v>
      </c>
      <c r="F2205" s="10">
        <f>_xlfn.XLOOKUP(
  A2205,
  CPI!D:D,
  CPI!C:C,
  "",
  -1
)</f>
        <v>6.21</v>
      </c>
      <c r="G2205">
        <v>75657</v>
      </c>
    </row>
    <row r="2206" spans="1:7">
      <c r="A2206" s="1">
        <v>45574</v>
      </c>
      <c r="B2206">
        <v>74512</v>
      </c>
      <c r="C2206">
        <f>_xlfn.XLOOKUP(A2206, USD!A:A, USD!B:B, "")</f>
        <v>83.95</v>
      </c>
      <c r="D2206">
        <f>_xlfn.XLOOKUP(A2206, Brent!A:A, Brent!B:B, "")</f>
        <v>77.06</v>
      </c>
      <c r="E2206">
        <f>_xlfn.XLOOKUP(
  A2206,
  Repo!A:A,
  Repo!B:B,
  "",
  -1
)</f>
        <v>6.5</v>
      </c>
      <c r="F2206" s="10">
        <f>_xlfn.XLOOKUP(
  A2206,
  CPI!D:D,
  CPI!C:C,
  "",
  -1
)</f>
        <v>6.21</v>
      </c>
      <c r="G2206">
        <v>74799</v>
      </c>
    </row>
    <row r="2207" spans="1:7">
      <c r="A2207" s="1">
        <v>45575</v>
      </c>
      <c r="B2207">
        <v>74834</v>
      </c>
      <c r="C2207">
        <f>_xlfn.XLOOKUP(A2207, USD!A:A, USD!B:B, "")</f>
        <v>83.94</v>
      </c>
      <c r="D2207">
        <f>_xlfn.XLOOKUP(A2207, Brent!A:A, Brent!B:B, "")</f>
        <v>79.45</v>
      </c>
      <c r="E2207">
        <f>_xlfn.XLOOKUP(
  A2207,
  Repo!A:A,
  Repo!B:B,
  "",
  -1
)</f>
        <v>6.5</v>
      </c>
      <c r="F2207" s="10">
        <f>_xlfn.XLOOKUP(
  A2207,
  CPI!D:D,
  CPI!C:C,
  "",
  -1
)</f>
        <v>6.21</v>
      </c>
      <c r="G2207">
        <v>74512</v>
      </c>
    </row>
    <row r="2208" spans="1:7">
      <c r="A2208" s="1">
        <v>45576</v>
      </c>
      <c r="B2208">
        <v>75738</v>
      </c>
      <c r="C2208">
        <f>_xlfn.XLOOKUP(A2208, USD!A:A, USD!B:B, "")</f>
        <v>84.100999999999999</v>
      </c>
      <c r="D2208">
        <f>_xlfn.XLOOKUP(A2208, Brent!A:A, Brent!B:B, "")</f>
        <v>80.27</v>
      </c>
      <c r="E2208">
        <f>_xlfn.XLOOKUP(
  A2208,
  Repo!A:A,
  Repo!B:B,
  "",
  -1
)</f>
        <v>6.5</v>
      </c>
      <c r="F2208" s="10">
        <f>_xlfn.XLOOKUP(
  A2208,
  CPI!D:D,
  CPI!C:C,
  "",
  -1
)</f>
        <v>6.21</v>
      </c>
      <c r="G2208">
        <v>74834</v>
      </c>
    </row>
    <row r="2209" spans="1:7">
      <c r="A2209" s="1">
        <v>45579</v>
      </c>
      <c r="B2209">
        <v>75553</v>
      </c>
      <c r="C2209">
        <f>_xlfn.XLOOKUP(A2209, USD!A:A, USD!B:B, "")</f>
        <v>84.045000000000002</v>
      </c>
      <c r="D2209">
        <f>_xlfn.XLOOKUP(A2209, Brent!A:A, Brent!B:B, "")</f>
        <v>78.47</v>
      </c>
      <c r="E2209">
        <f>_xlfn.XLOOKUP(
  A2209,
  Repo!A:A,
  Repo!B:B,
  "",
  -1
)</f>
        <v>6.5</v>
      </c>
      <c r="F2209" s="10">
        <f>_xlfn.XLOOKUP(
  A2209,
  CPI!D:D,
  CPI!C:C,
  "",
  -1
)</f>
        <v>6.21</v>
      </c>
      <c r="G2209">
        <v>75738</v>
      </c>
    </row>
    <row r="2210" spans="1:7">
      <c r="A2210" s="1">
        <v>45580</v>
      </c>
      <c r="B2210">
        <v>75838</v>
      </c>
      <c r="C2210">
        <f>_xlfn.XLOOKUP(A2210, USD!A:A, USD!B:B, "")</f>
        <v>84.04</v>
      </c>
      <c r="D2210">
        <f>_xlfn.XLOOKUP(A2210, Brent!A:A, Brent!B:B, "")</f>
        <v>73.680000000000007</v>
      </c>
      <c r="E2210">
        <f>_xlfn.XLOOKUP(
  A2210,
  Repo!A:A,
  Repo!B:B,
  "",
  -1
)</f>
        <v>6.5</v>
      </c>
      <c r="F2210" s="10">
        <f>_xlfn.XLOOKUP(
  A2210,
  CPI!D:D,
  CPI!C:C,
  "",
  -1
)</f>
        <v>6.21</v>
      </c>
      <c r="G2210">
        <v>75553</v>
      </c>
    </row>
    <row r="2211" spans="1:7">
      <c r="A2211" s="1">
        <v>45581</v>
      </c>
      <c r="B2211">
        <v>76163</v>
      </c>
      <c r="C2211">
        <f>_xlfn.XLOOKUP(A2211, USD!A:A, USD!B:B, "")</f>
        <v>84.03</v>
      </c>
      <c r="D2211">
        <f>_xlfn.XLOOKUP(A2211, Brent!A:A, Brent!B:B, "")</f>
        <v>73.650000000000006</v>
      </c>
      <c r="E2211">
        <f>_xlfn.XLOOKUP(
  A2211,
  Repo!A:A,
  Repo!B:B,
  "",
  -1
)</f>
        <v>6.5</v>
      </c>
      <c r="F2211" s="10">
        <f>_xlfn.XLOOKUP(
  A2211,
  CPI!D:D,
  CPI!C:C,
  "",
  -1
)</f>
        <v>6.21</v>
      </c>
      <c r="G2211">
        <v>75838</v>
      </c>
    </row>
    <row r="2212" spans="1:7">
      <c r="A2212" s="1">
        <v>45582</v>
      </c>
      <c r="B2212">
        <v>76540</v>
      </c>
      <c r="C2212">
        <f>_xlfn.XLOOKUP(A2212, USD!A:A, USD!B:B, "")</f>
        <v>84.034999999999997</v>
      </c>
      <c r="D2212">
        <f>_xlfn.XLOOKUP(A2212, Brent!A:A, Brent!B:B, "")</f>
        <v>74.37</v>
      </c>
      <c r="E2212">
        <f>_xlfn.XLOOKUP(
  A2212,
  Repo!A:A,
  Repo!B:B,
  "",
  -1
)</f>
        <v>6.5</v>
      </c>
      <c r="F2212" s="10">
        <f>_xlfn.XLOOKUP(
  A2212,
  CPI!D:D,
  CPI!C:C,
  "",
  -1
)</f>
        <v>6.21</v>
      </c>
      <c r="G2212">
        <v>76163</v>
      </c>
    </row>
    <row r="2213" spans="1:7">
      <c r="A2213" s="1">
        <v>45583</v>
      </c>
      <c r="B2213">
        <v>77159</v>
      </c>
      <c r="C2213">
        <f>_xlfn.XLOOKUP(A2213, USD!A:A, USD!B:B, "")</f>
        <v>84.064999999999998</v>
      </c>
      <c r="D2213">
        <f>_xlfn.XLOOKUP(A2213, Brent!A:A, Brent!B:B, "")</f>
        <v>72.75</v>
      </c>
      <c r="E2213">
        <f>_xlfn.XLOOKUP(
  A2213,
  Repo!A:A,
  Repo!B:B,
  "",
  -1
)</f>
        <v>6.5</v>
      </c>
      <c r="F2213" s="10">
        <f>_xlfn.XLOOKUP(
  A2213,
  CPI!D:D,
  CPI!C:C,
  "",
  -1
)</f>
        <v>6.21</v>
      </c>
      <c r="G2213">
        <v>76540</v>
      </c>
    </row>
    <row r="2214" spans="1:7">
      <c r="A2214" s="1">
        <v>45586</v>
      </c>
      <c r="B2214">
        <v>77508</v>
      </c>
      <c r="C2214">
        <f>_xlfn.XLOOKUP(A2214, USD!A:A, USD!B:B, "")</f>
        <v>84.07</v>
      </c>
      <c r="D2214">
        <f>_xlfn.XLOOKUP(A2214, Brent!A:A, Brent!B:B, "")</f>
        <v>73.290000000000006</v>
      </c>
      <c r="E2214">
        <f>_xlfn.XLOOKUP(
  A2214,
  Repo!A:A,
  Repo!B:B,
  "",
  -1
)</f>
        <v>6.5</v>
      </c>
      <c r="F2214" s="10">
        <f>_xlfn.XLOOKUP(
  A2214,
  CPI!D:D,
  CPI!C:C,
  "",
  -1
)</f>
        <v>6.21</v>
      </c>
      <c r="G2214">
        <v>77159</v>
      </c>
    </row>
    <row r="2215" spans="1:7">
      <c r="A2215" s="1">
        <v>45587</v>
      </c>
      <c r="B2215">
        <v>78241</v>
      </c>
      <c r="C2215">
        <f>_xlfn.XLOOKUP(A2215, USD!A:A, USD!B:B, "")</f>
        <v>84.07</v>
      </c>
      <c r="D2215">
        <f>_xlfn.XLOOKUP(A2215, Brent!A:A, Brent!B:B, "")</f>
        <v>75.59</v>
      </c>
      <c r="E2215">
        <f>_xlfn.XLOOKUP(
  A2215,
  Repo!A:A,
  Repo!B:B,
  "",
  -1
)</f>
        <v>6.5</v>
      </c>
      <c r="F2215" s="10">
        <f>_xlfn.XLOOKUP(
  A2215,
  CPI!D:D,
  CPI!C:C,
  "",
  -1
)</f>
        <v>6.21</v>
      </c>
      <c r="G2215">
        <v>77508</v>
      </c>
    </row>
    <row r="2216" spans="1:7">
      <c r="A2216" s="1">
        <v>45588</v>
      </c>
      <c r="B2216">
        <v>77482</v>
      </c>
      <c r="C2216">
        <f>_xlfn.XLOOKUP(A2216, USD!A:A, USD!B:B, "")</f>
        <v>84.055999999999997</v>
      </c>
      <c r="D2216">
        <f>_xlfn.XLOOKUP(A2216, Brent!A:A, Brent!B:B, "")</f>
        <v>74.680000000000007</v>
      </c>
      <c r="E2216">
        <f>_xlfn.XLOOKUP(
  A2216,
  Repo!A:A,
  Repo!B:B,
  "",
  -1
)</f>
        <v>6.5</v>
      </c>
      <c r="F2216" s="10">
        <f>_xlfn.XLOOKUP(
  A2216,
  CPI!D:D,
  CPI!C:C,
  "",
  -1
)</f>
        <v>6.21</v>
      </c>
      <c r="G2216">
        <v>78241</v>
      </c>
    </row>
    <row r="2217" spans="1:7">
      <c r="A2217" s="1">
        <v>45589</v>
      </c>
      <c r="B2217">
        <v>77872</v>
      </c>
      <c r="C2217">
        <f>_xlfn.XLOOKUP(A2217, USD!A:A, USD!B:B, "")</f>
        <v>84.05</v>
      </c>
      <c r="D2217">
        <f>_xlfn.XLOOKUP(A2217, Brent!A:A, Brent!B:B, "")</f>
        <v>74.27</v>
      </c>
      <c r="E2217">
        <f>_xlfn.XLOOKUP(
  A2217,
  Repo!A:A,
  Repo!B:B,
  "",
  -1
)</f>
        <v>6.5</v>
      </c>
      <c r="F2217" s="10">
        <f>_xlfn.XLOOKUP(
  A2217,
  CPI!D:D,
  CPI!C:C,
  "",
  -1
)</f>
        <v>6.21</v>
      </c>
      <c r="G2217">
        <v>77482</v>
      </c>
    </row>
    <row r="2218" spans="1:7">
      <c r="A2218" s="1">
        <v>45590</v>
      </c>
      <c r="B2218">
        <v>78009</v>
      </c>
      <c r="C2218">
        <f>_xlfn.XLOOKUP(A2218, USD!A:A, USD!B:B, "")</f>
        <v>84.094999999999999</v>
      </c>
      <c r="D2218">
        <f>_xlfn.XLOOKUP(A2218, Brent!A:A, Brent!B:B, "")</f>
        <v>75.62</v>
      </c>
      <c r="E2218">
        <f>_xlfn.XLOOKUP(
  A2218,
  Repo!A:A,
  Repo!B:B,
  "",
  -1
)</f>
        <v>6.5</v>
      </c>
      <c r="F2218" s="10">
        <f>_xlfn.XLOOKUP(
  A2218,
  CPI!D:D,
  CPI!C:C,
  "",
  -1
)</f>
        <v>6.21</v>
      </c>
      <c r="G2218">
        <v>77872</v>
      </c>
    </row>
    <row r="2219" spans="1:7">
      <c r="A2219" s="1">
        <v>45593</v>
      </c>
      <c r="B2219">
        <v>78159</v>
      </c>
      <c r="C2219">
        <f>_xlfn.XLOOKUP(A2219, USD!A:A, USD!B:B, "")</f>
        <v>84.06</v>
      </c>
      <c r="D2219">
        <f>_xlfn.XLOOKUP(A2219, Brent!A:A, Brent!B:B, "")</f>
        <v>71.87</v>
      </c>
      <c r="E2219">
        <f>_xlfn.XLOOKUP(
  A2219,
  Repo!A:A,
  Repo!B:B,
  "",
  -1
)</f>
        <v>6.5</v>
      </c>
      <c r="F2219" s="10">
        <f>_xlfn.XLOOKUP(
  A2219,
  CPI!D:D,
  CPI!C:C,
  "",
  -1
)</f>
        <v>6.21</v>
      </c>
      <c r="G2219">
        <v>78009</v>
      </c>
    </row>
    <row r="2220" spans="1:7">
      <c r="A2220" s="1">
        <v>45594</v>
      </c>
      <c r="B2220">
        <v>78865</v>
      </c>
      <c r="C2220">
        <f>_xlfn.XLOOKUP(A2220, USD!A:A, USD!B:B, "")</f>
        <v>84.05</v>
      </c>
      <c r="D2220">
        <f>_xlfn.XLOOKUP(A2220, Brent!A:A, Brent!B:B, "")</f>
        <v>71.09</v>
      </c>
      <c r="E2220">
        <f>_xlfn.XLOOKUP(
  A2220,
  Repo!A:A,
  Repo!B:B,
  "",
  -1
)</f>
        <v>6.5</v>
      </c>
      <c r="F2220" s="10">
        <f>_xlfn.XLOOKUP(
  A2220,
  CPI!D:D,
  CPI!C:C,
  "",
  -1
)</f>
        <v>6.21</v>
      </c>
      <c r="G2220">
        <v>78159</v>
      </c>
    </row>
    <row r="2221" spans="1:7">
      <c r="A2221" s="1">
        <v>45595</v>
      </c>
      <c r="B2221">
        <v>79257</v>
      </c>
      <c r="C2221">
        <f>_xlfn.XLOOKUP(A2221, USD!A:A, USD!B:B, "")</f>
        <v>84.08</v>
      </c>
      <c r="D2221">
        <f>_xlfn.XLOOKUP(A2221, Brent!A:A, Brent!B:B, "")</f>
        <v>73.209999999999994</v>
      </c>
      <c r="E2221">
        <f>_xlfn.XLOOKUP(
  A2221,
  Repo!A:A,
  Repo!B:B,
  "",
  -1
)</f>
        <v>6.5</v>
      </c>
      <c r="F2221" s="10">
        <f>_xlfn.XLOOKUP(
  A2221,
  CPI!D:D,
  CPI!C:C,
  "",
  -1
)</f>
        <v>6.21</v>
      </c>
      <c r="G2221">
        <v>78865</v>
      </c>
    </row>
    <row r="2222" spans="1:7">
      <c r="A2222" s="1">
        <v>45596</v>
      </c>
      <c r="B2222">
        <v>78326</v>
      </c>
      <c r="C2222">
        <f>_xlfn.XLOOKUP(A2222, USD!A:A, USD!B:B, "")</f>
        <v>84.061000000000007</v>
      </c>
      <c r="D2222">
        <f>_xlfn.XLOOKUP(A2222, Brent!A:A, Brent!B:B, "")</f>
        <v>73.25</v>
      </c>
      <c r="E2222">
        <f>_xlfn.XLOOKUP(
  A2222,
  Repo!A:A,
  Repo!B:B,
  "",
  -1
)</f>
        <v>6.5</v>
      </c>
      <c r="F2222" s="10">
        <f>_xlfn.XLOOKUP(
  A2222,
  CPI!D:D,
  CPI!C:C,
  "",
  -1
)</f>
        <v>6.21</v>
      </c>
      <c r="G2222">
        <v>79257</v>
      </c>
    </row>
    <row r="2223" spans="1:7">
      <c r="A2223" s="1">
        <v>45597</v>
      </c>
      <c r="B2223">
        <v>78829</v>
      </c>
      <c r="C2223">
        <f>_xlfn.XLOOKUP(A2223, USD!A:A, USD!B:B, "")</f>
        <v>84.08</v>
      </c>
      <c r="D2223">
        <f>_xlfn.XLOOKUP(A2223, Brent!A:A, Brent!B:B, "")</f>
        <v>73.63</v>
      </c>
      <c r="E2223">
        <f>_xlfn.XLOOKUP(
  A2223,
  Repo!A:A,
  Repo!B:B,
  "",
  -1
)</f>
        <v>6.5</v>
      </c>
      <c r="F2223" s="10">
        <f>_xlfn.XLOOKUP(
  A2223,
  CPI!D:D,
  CPI!C:C,
  "",
  -1
)</f>
        <v>5.48</v>
      </c>
      <c r="G2223">
        <v>78326</v>
      </c>
    </row>
    <row r="2224" spans="1:7">
      <c r="A2224" s="1">
        <v>45600</v>
      </c>
      <c r="B2224">
        <v>78401</v>
      </c>
      <c r="C2224">
        <f>_xlfn.XLOOKUP(A2224, USD!A:A, USD!B:B, "")</f>
        <v>84.13</v>
      </c>
      <c r="D2224">
        <f>_xlfn.XLOOKUP(A2224, Brent!A:A, Brent!B:B, "")</f>
        <v>74.89</v>
      </c>
      <c r="E2224">
        <f>_xlfn.XLOOKUP(
  A2224,
  Repo!A:A,
  Repo!B:B,
  "",
  -1
)</f>
        <v>6.5</v>
      </c>
      <c r="F2224" s="10">
        <f>_xlfn.XLOOKUP(
  A2224,
  CPI!D:D,
  CPI!C:C,
  "",
  -1
)</f>
        <v>5.48</v>
      </c>
      <c r="G2224">
        <v>78829</v>
      </c>
    </row>
    <row r="2225" spans="1:7">
      <c r="A2225" s="1">
        <v>45601</v>
      </c>
      <c r="B2225">
        <v>78490</v>
      </c>
      <c r="C2225">
        <f>_xlfn.XLOOKUP(A2225, USD!A:A, USD!B:B, "")</f>
        <v>84.108999999999995</v>
      </c>
      <c r="D2225">
        <f>_xlfn.XLOOKUP(A2225, Brent!A:A, Brent!B:B, "")</f>
        <v>76.98</v>
      </c>
      <c r="E2225">
        <f>_xlfn.XLOOKUP(
  A2225,
  Repo!A:A,
  Repo!B:B,
  "",
  -1
)</f>
        <v>6.5</v>
      </c>
      <c r="F2225" s="10">
        <f>_xlfn.XLOOKUP(
  A2225,
  CPI!D:D,
  CPI!C:C,
  "",
  -1
)</f>
        <v>5.48</v>
      </c>
      <c r="G2225">
        <v>78401</v>
      </c>
    </row>
    <row r="2226" spans="1:7">
      <c r="A2226" s="1">
        <v>45602</v>
      </c>
      <c r="B2226">
        <v>76689</v>
      </c>
      <c r="C2226">
        <f>_xlfn.XLOOKUP(A2226, USD!A:A, USD!B:B, "")</f>
        <v>84.31</v>
      </c>
      <c r="D2226">
        <f>_xlfn.XLOOKUP(A2226, Brent!A:A, Brent!B:B, "")</f>
        <v>76.52</v>
      </c>
      <c r="E2226">
        <f>_xlfn.XLOOKUP(
  A2226,
  Repo!A:A,
  Repo!B:B,
  "",
  -1
)</f>
        <v>6.5</v>
      </c>
      <c r="F2226" s="10">
        <f>_xlfn.XLOOKUP(
  A2226,
  CPI!D:D,
  CPI!C:C,
  "",
  -1
)</f>
        <v>5.48</v>
      </c>
      <c r="G2226">
        <v>78490</v>
      </c>
    </row>
    <row r="2227" spans="1:7">
      <c r="A2227" s="1">
        <v>45603</v>
      </c>
      <c r="B2227">
        <v>77386</v>
      </c>
      <c r="C2227">
        <f>_xlfn.XLOOKUP(A2227, USD!A:A, USD!B:B, "")</f>
        <v>84.293000000000006</v>
      </c>
      <c r="D2227">
        <f>_xlfn.XLOOKUP(A2227, Brent!A:A, Brent!B:B, "")</f>
        <v>75.73</v>
      </c>
      <c r="E2227">
        <f>_xlfn.XLOOKUP(
  A2227,
  Repo!A:A,
  Repo!B:B,
  "",
  -1
)</f>
        <v>6.5</v>
      </c>
      <c r="F2227" s="10">
        <f>_xlfn.XLOOKUP(
  A2227,
  CPI!D:D,
  CPI!C:C,
  "",
  -1
)</f>
        <v>5.48</v>
      </c>
      <c r="G2227">
        <v>76689</v>
      </c>
    </row>
    <row r="2228" spans="1:7">
      <c r="A2228" s="1">
        <v>45604</v>
      </c>
      <c r="B2228">
        <v>77248</v>
      </c>
      <c r="C2228">
        <f>_xlfn.XLOOKUP(A2228, USD!A:A, USD!B:B, "")</f>
        <v>84.394999999999996</v>
      </c>
      <c r="D2228">
        <f>_xlfn.XLOOKUP(A2228, Brent!A:A, Brent!B:B, "")</f>
        <v>74.040000000000006</v>
      </c>
      <c r="E2228">
        <f>_xlfn.XLOOKUP(
  A2228,
  Repo!A:A,
  Repo!B:B,
  "",
  -1
)</f>
        <v>6.5</v>
      </c>
      <c r="F2228" s="10">
        <f>_xlfn.XLOOKUP(
  A2228,
  CPI!D:D,
  CPI!C:C,
  "",
  -1
)</f>
        <v>5.48</v>
      </c>
      <c r="G2228">
        <v>77386</v>
      </c>
    </row>
    <row r="2229" spans="1:7">
      <c r="A2229" s="1">
        <v>45607</v>
      </c>
      <c r="B2229">
        <v>75382</v>
      </c>
      <c r="C2229">
        <f>_xlfn.XLOOKUP(A2229, USD!A:A, USD!B:B, "")</f>
        <v>84.379000000000005</v>
      </c>
      <c r="D2229">
        <f>_xlfn.XLOOKUP(A2229, Brent!A:A, Brent!B:B, "")</f>
        <v>72.19</v>
      </c>
      <c r="E2229">
        <f>_xlfn.XLOOKUP(
  A2229,
  Repo!A:A,
  Repo!B:B,
  "",
  -1
)</f>
        <v>6.5</v>
      </c>
      <c r="F2229" s="10">
        <f>_xlfn.XLOOKUP(
  A2229,
  CPI!D:D,
  CPI!C:C,
  "",
  -1
)</f>
        <v>5.48</v>
      </c>
      <c r="G2229">
        <v>77248</v>
      </c>
    </row>
    <row r="2230" spans="1:7">
      <c r="A2230" s="1">
        <v>45608</v>
      </c>
      <c r="B2230">
        <v>74918</v>
      </c>
      <c r="C2230">
        <f>_xlfn.XLOOKUP(A2230, USD!A:A, USD!B:B, "")</f>
        <v>84.38</v>
      </c>
      <c r="D2230">
        <f>_xlfn.XLOOKUP(A2230, Brent!A:A, Brent!B:B, "")</f>
        <v>72.56</v>
      </c>
      <c r="E2230">
        <f>_xlfn.XLOOKUP(
  A2230,
  Repo!A:A,
  Repo!B:B,
  "",
  -1
)</f>
        <v>6.5</v>
      </c>
      <c r="F2230" s="10">
        <f>_xlfn.XLOOKUP(
  A2230,
  CPI!D:D,
  CPI!C:C,
  "",
  -1
)</f>
        <v>5.48</v>
      </c>
      <c r="G2230">
        <v>75382</v>
      </c>
    </row>
    <row r="2231" spans="1:7">
      <c r="A2231" s="1">
        <v>45609</v>
      </c>
      <c r="B2231">
        <v>74514</v>
      </c>
      <c r="C2231">
        <f>_xlfn.XLOOKUP(A2231, USD!A:A, USD!B:B, "")</f>
        <v>84.415999999999997</v>
      </c>
      <c r="D2231">
        <f>_xlfn.XLOOKUP(A2231, Brent!A:A, Brent!B:B, "")</f>
        <v>72.86</v>
      </c>
      <c r="E2231">
        <f>_xlfn.XLOOKUP(
  A2231,
  Repo!A:A,
  Repo!B:B,
  "",
  -1
)</f>
        <v>6.5</v>
      </c>
      <c r="F2231" s="10">
        <f>_xlfn.XLOOKUP(
  A2231,
  CPI!D:D,
  CPI!C:C,
  "",
  -1
)</f>
        <v>5.48</v>
      </c>
      <c r="G2231">
        <v>74918</v>
      </c>
    </row>
    <row r="2232" spans="1:7">
      <c r="A2232" s="1">
        <v>45610</v>
      </c>
      <c r="B2232">
        <v>74151</v>
      </c>
      <c r="C2232">
        <f>_xlfn.XLOOKUP(A2232, USD!A:A, USD!B:B, "")</f>
        <v>84.460999999999999</v>
      </c>
      <c r="D2232">
        <f>_xlfn.XLOOKUP(A2232, Brent!A:A, Brent!B:B, "")</f>
        <v>73.39</v>
      </c>
      <c r="E2232">
        <f>_xlfn.XLOOKUP(
  A2232,
  Repo!A:A,
  Repo!B:B,
  "",
  -1
)</f>
        <v>6.5</v>
      </c>
      <c r="F2232" s="10">
        <f>_xlfn.XLOOKUP(
  A2232,
  CPI!D:D,
  CPI!C:C,
  "",
  -1
)</f>
        <v>5.48</v>
      </c>
      <c r="G2232">
        <v>74514</v>
      </c>
    </row>
    <row r="2233" spans="1:7">
      <c r="A2233" s="1">
        <v>45611</v>
      </c>
      <c r="B2233">
        <v>73965</v>
      </c>
      <c r="C2233">
        <f>_xlfn.XLOOKUP(A2233, USD!A:A, USD!B:B, "")</f>
        <v>84.424000000000007</v>
      </c>
      <c r="D2233">
        <f>_xlfn.XLOOKUP(A2233, Brent!A:A, Brent!B:B, "")</f>
        <v>73.45</v>
      </c>
      <c r="E2233">
        <f>_xlfn.XLOOKUP(
  A2233,
  Repo!A:A,
  Repo!B:B,
  "",
  -1
)</f>
        <v>6.5</v>
      </c>
      <c r="F2233" s="10">
        <f>_xlfn.XLOOKUP(
  A2233,
  CPI!D:D,
  CPI!C:C,
  "",
  -1
)</f>
        <v>5.48</v>
      </c>
      <c r="G2233">
        <v>74151</v>
      </c>
    </row>
    <row r="2234" spans="1:7">
      <c r="A2234" s="1">
        <v>45614</v>
      </c>
      <c r="B2234">
        <v>75039</v>
      </c>
      <c r="C2234">
        <f>_xlfn.XLOOKUP(A2234, USD!A:A, USD!B:B, "")</f>
        <v>84.397999999999996</v>
      </c>
      <c r="D2234">
        <f>_xlfn.XLOOKUP(A2234, Brent!A:A, Brent!B:B, "")</f>
        <v>74.349999999999994</v>
      </c>
      <c r="E2234">
        <f>_xlfn.XLOOKUP(
  A2234,
  Repo!A:A,
  Repo!B:B,
  "",
  -1
)</f>
        <v>6.5</v>
      </c>
      <c r="F2234" s="10">
        <f>_xlfn.XLOOKUP(
  A2234,
  CPI!D:D,
  CPI!C:C,
  "",
  -1
)</f>
        <v>5.48</v>
      </c>
      <c r="G2234">
        <v>73965</v>
      </c>
    </row>
    <row r="2235" spans="1:7">
      <c r="A2235" s="1">
        <v>45615</v>
      </c>
      <c r="B2235">
        <v>75555</v>
      </c>
      <c r="C2235">
        <f>_xlfn.XLOOKUP(A2235, USD!A:A, USD!B:B, "")</f>
        <v>84.39</v>
      </c>
      <c r="D2235">
        <f>_xlfn.XLOOKUP(A2235, Brent!A:A, Brent!B:B, "")</f>
        <v>74.319999999999993</v>
      </c>
      <c r="E2235">
        <f>_xlfn.XLOOKUP(
  A2235,
  Repo!A:A,
  Repo!B:B,
  "",
  -1
)</f>
        <v>6.5</v>
      </c>
      <c r="F2235" s="10">
        <f>_xlfn.XLOOKUP(
  A2235,
  CPI!D:D,
  CPI!C:C,
  "",
  -1
)</f>
        <v>5.48</v>
      </c>
      <c r="G2235">
        <v>75039</v>
      </c>
    </row>
    <row r="2236" spans="1:7">
      <c r="A2236" s="1">
        <v>45616</v>
      </c>
      <c r="B2236">
        <v>76008</v>
      </c>
      <c r="C2236">
        <f>_xlfn.XLOOKUP(A2236, USD!A:A, USD!B:B, "")</f>
        <v>84.36</v>
      </c>
      <c r="D2236">
        <f>_xlfn.XLOOKUP(A2236, Brent!A:A, Brent!B:B, "")</f>
        <v>74.33</v>
      </c>
      <c r="E2236">
        <f>_xlfn.XLOOKUP(
  A2236,
  Repo!A:A,
  Repo!B:B,
  "",
  -1
)</f>
        <v>6.5</v>
      </c>
      <c r="F2236" s="10">
        <f>_xlfn.XLOOKUP(
  A2236,
  CPI!D:D,
  CPI!C:C,
  "",
  -1
)</f>
        <v>5.48</v>
      </c>
      <c r="G2236">
        <v>75555</v>
      </c>
    </row>
    <row r="2237" spans="1:7">
      <c r="A2237" s="1">
        <v>45617</v>
      </c>
      <c r="B2237">
        <v>76689</v>
      </c>
      <c r="C2237">
        <f>_xlfn.XLOOKUP(A2237, USD!A:A, USD!B:B, "")</f>
        <v>84.495000000000005</v>
      </c>
      <c r="D2237">
        <f>_xlfn.XLOOKUP(A2237, Brent!A:A, Brent!B:B, "")</f>
        <v>75.09</v>
      </c>
      <c r="E2237">
        <f>_xlfn.XLOOKUP(
  A2237,
  Repo!A:A,
  Repo!B:B,
  "",
  -1
)</f>
        <v>6.5</v>
      </c>
      <c r="F2237" s="10">
        <f>_xlfn.XLOOKUP(
  A2237,
  CPI!D:D,
  CPI!C:C,
  "",
  -1
)</f>
        <v>5.48</v>
      </c>
      <c r="G2237">
        <v>76008</v>
      </c>
    </row>
    <row r="2238" spans="1:7">
      <c r="A2238" s="1">
        <v>45618</v>
      </c>
      <c r="B2238">
        <v>77579</v>
      </c>
      <c r="C2238">
        <f>_xlfn.XLOOKUP(A2238, USD!A:A, USD!B:B, "")</f>
        <v>84.426000000000002</v>
      </c>
      <c r="D2238">
        <f>_xlfn.XLOOKUP(A2238, Brent!A:A, Brent!B:B, "")</f>
        <v>76.099999999999994</v>
      </c>
      <c r="E2238">
        <f>_xlfn.XLOOKUP(
  A2238,
  Repo!A:A,
  Repo!B:B,
  "",
  -1
)</f>
        <v>6.5</v>
      </c>
      <c r="F2238" s="10">
        <f>_xlfn.XLOOKUP(
  A2238,
  CPI!D:D,
  CPI!C:C,
  "",
  -1
)</f>
        <v>5.48</v>
      </c>
      <c r="G2238">
        <v>76689</v>
      </c>
    </row>
    <row r="2239" spans="1:7">
      <c r="A2239" s="1">
        <v>45621</v>
      </c>
      <c r="B2239">
        <v>75377</v>
      </c>
      <c r="C2239">
        <f>_xlfn.XLOOKUP(A2239, USD!A:A, USD!B:B, "")</f>
        <v>84.26</v>
      </c>
      <c r="D2239">
        <f>_xlfn.XLOOKUP(A2239, Brent!A:A, Brent!B:B, "")</f>
        <v>74.27</v>
      </c>
      <c r="E2239">
        <f>_xlfn.XLOOKUP(
  A2239,
  Repo!A:A,
  Repo!B:B,
  "",
  -1
)</f>
        <v>6.5</v>
      </c>
      <c r="F2239" s="10">
        <f>_xlfn.XLOOKUP(
  A2239,
  CPI!D:D,
  CPI!C:C,
  "",
  -1
)</f>
        <v>5.48</v>
      </c>
      <c r="G2239">
        <v>77579</v>
      </c>
    </row>
    <row r="2240" spans="1:7">
      <c r="A2240" s="1">
        <v>45622</v>
      </c>
      <c r="B2240">
        <v>75293</v>
      </c>
      <c r="C2240">
        <f>_xlfn.XLOOKUP(A2240, USD!A:A, USD!B:B, "")</f>
        <v>84.319000000000003</v>
      </c>
      <c r="D2240">
        <f>_xlfn.XLOOKUP(A2240, Brent!A:A, Brent!B:B, "")</f>
        <v>74.56</v>
      </c>
      <c r="E2240">
        <f>_xlfn.XLOOKUP(
  A2240,
  Repo!A:A,
  Repo!B:B,
  "",
  -1
)</f>
        <v>6.5</v>
      </c>
      <c r="F2240" s="10">
        <f>_xlfn.XLOOKUP(
  A2240,
  CPI!D:D,
  CPI!C:C,
  "",
  -1
)</f>
        <v>5.48</v>
      </c>
      <c r="G2240">
        <v>75377</v>
      </c>
    </row>
    <row r="2241" spans="1:7">
      <c r="A2241" s="1">
        <v>45623</v>
      </c>
      <c r="B2241">
        <v>75788</v>
      </c>
      <c r="C2241">
        <f>_xlfn.XLOOKUP(A2241, USD!A:A, USD!B:B, "")</f>
        <v>84.41</v>
      </c>
      <c r="D2241">
        <f>_xlfn.XLOOKUP(A2241, Brent!A:A, Brent!B:B, "")</f>
        <v>73.91</v>
      </c>
      <c r="E2241">
        <f>_xlfn.XLOOKUP(
  A2241,
  Repo!A:A,
  Repo!B:B,
  "",
  -1
)</f>
        <v>6.5</v>
      </c>
      <c r="F2241" s="10">
        <f>_xlfn.XLOOKUP(
  A2241,
  CPI!D:D,
  CPI!C:C,
  "",
  -1
)</f>
        <v>5.48</v>
      </c>
      <c r="G2241">
        <v>75293</v>
      </c>
    </row>
    <row r="2242" spans="1:7">
      <c r="A2242" s="1">
        <v>45624</v>
      </c>
      <c r="B2242">
        <v>75761</v>
      </c>
      <c r="C2242">
        <f>_xlfn.XLOOKUP(A2242, USD!A:A, USD!B:B, "")</f>
        <v>84.444999999999993</v>
      </c>
      <c r="D2242">
        <f>_xlfn.XLOOKUP(A2242, Brent!A:A, Brent!B:B, "")</f>
        <v>73.92</v>
      </c>
      <c r="E2242">
        <f>_xlfn.XLOOKUP(
  A2242,
  Repo!A:A,
  Repo!B:B,
  "",
  -1
)</f>
        <v>6.5</v>
      </c>
      <c r="F2242" s="10">
        <f>_xlfn.XLOOKUP(
  A2242,
  CPI!D:D,
  CPI!C:C,
  "",
  -1
)</f>
        <v>5.48</v>
      </c>
      <c r="G2242">
        <v>75788</v>
      </c>
    </row>
    <row r="2243" spans="1:7">
      <c r="A2243" s="1">
        <v>45625</v>
      </c>
      <c r="B2243">
        <v>76485</v>
      </c>
      <c r="C2243">
        <f>_xlfn.XLOOKUP(A2243, USD!A:A, USD!B:B, "")</f>
        <v>84.558999999999997</v>
      </c>
      <c r="D2243">
        <f>_xlfn.XLOOKUP(A2243, Brent!A:A, Brent!B:B, "")</f>
        <v>74.16</v>
      </c>
      <c r="E2243">
        <f>_xlfn.XLOOKUP(
  A2243,
  Repo!A:A,
  Repo!B:B,
  "",
  -1
)</f>
        <v>6.5</v>
      </c>
      <c r="F2243" s="10">
        <f>_xlfn.XLOOKUP(
  A2243,
  CPI!D:D,
  CPI!C:C,
  "",
  -1
)</f>
        <v>5.48</v>
      </c>
      <c r="G2243">
        <v>75761</v>
      </c>
    </row>
    <row r="2244" spans="1:7">
      <c r="A2244" s="1">
        <v>45628</v>
      </c>
      <c r="B2244">
        <v>75815</v>
      </c>
      <c r="C2244">
        <f>_xlfn.XLOOKUP(A2244, USD!A:A, USD!B:B, "")</f>
        <v>84.74</v>
      </c>
      <c r="D2244">
        <f>_xlfn.XLOOKUP(A2244, Brent!A:A, Brent!B:B, "")</f>
        <v>72.81</v>
      </c>
      <c r="E2244">
        <f>_xlfn.XLOOKUP(
  A2244,
  Repo!A:A,
  Repo!B:B,
  "",
  -1
)</f>
        <v>6.5</v>
      </c>
      <c r="F2244" s="10">
        <f>_xlfn.XLOOKUP(
  A2244,
  CPI!D:D,
  CPI!C:C,
  "",
  -1
)</f>
        <v>5.22</v>
      </c>
      <c r="G2244">
        <v>76485</v>
      </c>
    </row>
    <row r="2245" spans="1:7">
      <c r="A2245" s="1">
        <v>45629</v>
      </c>
      <c r="B2245">
        <v>75934</v>
      </c>
      <c r="C2245">
        <f>_xlfn.XLOOKUP(A2245, USD!A:A, USD!B:B, "")</f>
        <v>84.676000000000002</v>
      </c>
      <c r="D2245">
        <f>_xlfn.XLOOKUP(A2245, Brent!A:A, Brent!B:B, "")</f>
        <v>74.8</v>
      </c>
      <c r="E2245">
        <f>_xlfn.XLOOKUP(
  A2245,
  Repo!A:A,
  Repo!B:B,
  "",
  -1
)</f>
        <v>6.5</v>
      </c>
      <c r="F2245" s="10">
        <f>_xlfn.XLOOKUP(
  A2245,
  CPI!D:D,
  CPI!C:C,
  "",
  -1
)</f>
        <v>5.22</v>
      </c>
      <c r="G2245">
        <v>75815</v>
      </c>
    </row>
    <row r="2246" spans="1:7">
      <c r="A2246" s="1">
        <v>45630</v>
      </c>
      <c r="B2246">
        <v>76036</v>
      </c>
      <c r="C2246">
        <f>_xlfn.XLOOKUP(A2246, USD!A:A, USD!B:B, "")</f>
        <v>84.692999999999998</v>
      </c>
      <c r="D2246">
        <f>_xlfn.XLOOKUP(A2246, Brent!A:A, Brent!B:B, "")</f>
        <v>74.680000000000007</v>
      </c>
      <c r="E2246">
        <f>_xlfn.XLOOKUP(
  A2246,
  Repo!A:A,
  Repo!B:B,
  "",
  -1
)</f>
        <v>6.5</v>
      </c>
      <c r="F2246" s="10">
        <f>_xlfn.XLOOKUP(
  A2246,
  CPI!D:D,
  CPI!C:C,
  "",
  -1
)</f>
        <v>5.22</v>
      </c>
      <c r="G2246">
        <v>75934</v>
      </c>
    </row>
    <row r="2247" spans="1:7">
      <c r="A2247" s="1">
        <v>45631</v>
      </c>
      <c r="B2247">
        <v>76353</v>
      </c>
      <c r="C2247">
        <f>_xlfn.XLOOKUP(A2247, USD!A:A, USD!B:B, "")</f>
        <v>84.683999999999997</v>
      </c>
      <c r="D2247">
        <f>_xlfn.XLOOKUP(A2247, Brent!A:A, Brent!B:B, "")</f>
        <v>73.78</v>
      </c>
      <c r="E2247">
        <f>_xlfn.XLOOKUP(
  A2247,
  Repo!A:A,
  Repo!B:B,
  "",
  -1
)</f>
        <v>6.5</v>
      </c>
      <c r="F2247" s="10">
        <f>_xlfn.XLOOKUP(
  A2247,
  CPI!D:D,
  CPI!C:C,
  "",
  -1
)</f>
        <v>5.22</v>
      </c>
      <c r="G2247">
        <v>76036</v>
      </c>
    </row>
    <row r="2248" spans="1:7">
      <c r="A2248" s="1">
        <v>45632</v>
      </c>
      <c r="B2248">
        <v>76185</v>
      </c>
      <c r="C2248">
        <f>_xlfn.XLOOKUP(A2248, USD!A:A, USD!B:B, "")</f>
        <v>84.668000000000006</v>
      </c>
      <c r="D2248">
        <f>_xlfn.XLOOKUP(A2248, Brent!A:A, Brent!B:B, "")</f>
        <v>73.78</v>
      </c>
      <c r="E2248">
        <f>_xlfn.XLOOKUP(
  A2248,
  Repo!A:A,
  Repo!B:B,
  "",
  -1
)</f>
        <v>6.5</v>
      </c>
      <c r="F2248" s="10">
        <f>_xlfn.XLOOKUP(
  A2248,
  CPI!D:D,
  CPI!C:C,
  "",
  -1
)</f>
        <v>5.22</v>
      </c>
      <c r="G2248">
        <v>76353</v>
      </c>
    </row>
    <row r="2249" spans="1:7">
      <c r="A2249" s="1">
        <v>45635</v>
      </c>
      <c r="B2249">
        <v>76999</v>
      </c>
      <c r="C2249">
        <f>_xlfn.XLOOKUP(A2249, USD!A:A, USD!B:B, "")</f>
        <v>84.828999999999994</v>
      </c>
      <c r="D2249">
        <f>_xlfn.XLOOKUP(A2249, Brent!A:A, Brent!B:B, "")</f>
        <v>73.73</v>
      </c>
      <c r="E2249">
        <f>_xlfn.XLOOKUP(
  A2249,
  Repo!A:A,
  Repo!B:B,
  "",
  -1
)</f>
        <v>6.5</v>
      </c>
      <c r="F2249" s="10">
        <f>_xlfn.XLOOKUP(
  A2249,
  CPI!D:D,
  CPI!C:C,
  "",
  -1
)</f>
        <v>5.22</v>
      </c>
      <c r="G2249">
        <v>76185</v>
      </c>
    </row>
    <row r="2250" spans="1:7">
      <c r="A2250" s="1">
        <v>45636</v>
      </c>
      <c r="B2250">
        <v>77745</v>
      </c>
      <c r="C2250">
        <f>_xlfn.XLOOKUP(A2250, USD!A:A, USD!B:B, "")</f>
        <v>84.88</v>
      </c>
      <c r="D2250">
        <f>_xlfn.XLOOKUP(A2250, Brent!A:A, Brent!B:B, "")</f>
        <v>73.64</v>
      </c>
      <c r="E2250">
        <f>_xlfn.XLOOKUP(
  A2250,
  Repo!A:A,
  Repo!B:B,
  "",
  -1
)</f>
        <v>6.5</v>
      </c>
      <c r="F2250" s="10">
        <f>_xlfn.XLOOKUP(
  A2250,
  CPI!D:D,
  CPI!C:C,
  "",
  -1
)</f>
        <v>5.22</v>
      </c>
      <c r="G2250">
        <v>76999</v>
      </c>
    </row>
    <row r="2251" spans="1:7">
      <c r="A2251" s="1">
        <v>45637</v>
      </c>
      <c r="B2251">
        <v>78287</v>
      </c>
      <c r="C2251">
        <f>_xlfn.XLOOKUP(A2251, USD!A:A, USD!B:B, "")</f>
        <v>84.795000000000002</v>
      </c>
      <c r="D2251">
        <f>_xlfn.XLOOKUP(A2251, Brent!A:A, Brent!B:B, "")</f>
        <v>74.38</v>
      </c>
      <c r="E2251">
        <f>_xlfn.XLOOKUP(
  A2251,
  Repo!A:A,
  Repo!B:B,
  "",
  -1
)</f>
        <v>6.5</v>
      </c>
      <c r="F2251" s="10">
        <f>_xlfn.XLOOKUP(
  A2251,
  CPI!D:D,
  CPI!C:C,
  "",
  -1
)</f>
        <v>5.22</v>
      </c>
      <c r="G2251">
        <v>77745</v>
      </c>
    </row>
    <row r="2252" spans="1:7">
      <c r="A2252" s="1">
        <v>45638</v>
      </c>
      <c r="B2252">
        <v>77400</v>
      </c>
      <c r="C2252">
        <f>_xlfn.XLOOKUP(A2252, USD!A:A, USD!B:B, "")</f>
        <v>84.825000000000003</v>
      </c>
      <c r="D2252">
        <f>_xlfn.XLOOKUP(A2252, Brent!A:A, Brent!B:B, "")</f>
        <v>73.52</v>
      </c>
      <c r="E2252">
        <f>_xlfn.XLOOKUP(
  A2252,
  Repo!A:A,
  Repo!B:B,
  "",
  -1
)</f>
        <v>6.5</v>
      </c>
      <c r="F2252" s="10">
        <f>_xlfn.XLOOKUP(
  A2252,
  CPI!D:D,
  CPI!C:C,
  "",
  -1
)</f>
        <v>5.22</v>
      </c>
      <c r="G2252">
        <v>78287</v>
      </c>
    </row>
    <row r="2253" spans="1:7">
      <c r="A2253" s="1">
        <v>45639</v>
      </c>
      <c r="B2253">
        <v>76592</v>
      </c>
      <c r="C2253">
        <f>_xlfn.XLOOKUP(A2253, USD!A:A, USD!B:B, "")</f>
        <v>84.781999999999996</v>
      </c>
      <c r="D2253">
        <f>_xlfn.XLOOKUP(A2253, Brent!A:A, Brent!B:B, "")</f>
        <v>74.89</v>
      </c>
      <c r="E2253">
        <f>_xlfn.XLOOKUP(
  A2253,
  Repo!A:A,
  Repo!B:B,
  "",
  -1
)</f>
        <v>6.5</v>
      </c>
      <c r="F2253" s="10">
        <f>_xlfn.XLOOKUP(
  A2253,
  CPI!D:D,
  CPI!C:C,
  "",
  -1
)</f>
        <v>5.22</v>
      </c>
      <c r="G2253">
        <v>77400</v>
      </c>
    </row>
    <row r="2254" spans="1:7">
      <c r="A2254" s="1">
        <v>45642</v>
      </c>
      <c r="B2254">
        <v>76486</v>
      </c>
      <c r="C2254">
        <f>_xlfn.XLOOKUP(A2254, USD!A:A, USD!B:B, "")</f>
        <v>84.89</v>
      </c>
      <c r="D2254">
        <f>_xlfn.XLOOKUP(A2254, Brent!A:A, Brent!B:B, "")</f>
        <v>74.3</v>
      </c>
      <c r="E2254">
        <f>_xlfn.XLOOKUP(
  A2254,
  Repo!A:A,
  Repo!B:B,
  "",
  -1
)</f>
        <v>6.5</v>
      </c>
      <c r="F2254" s="10">
        <f>_xlfn.XLOOKUP(
  A2254,
  CPI!D:D,
  CPI!C:C,
  "",
  -1
)</f>
        <v>5.22</v>
      </c>
      <c r="G2254">
        <v>76592</v>
      </c>
    </row>
    <row r="2255" spans="1:7">
      <c r="A2255" s="1">
        <v>45643</v>
      </c>
      <c r="B2255">
        <v>76314</v>
      </c>
      <c r="C2255">
        <f>_xlfn.XLOOKUP(A2255, USD!A:A, USD!B:B, "")</f>
        <v>84.902000000000001</v>
      </c>
      <c r="D2255">
        <f>_xlfn.XLOOKUP(A2255, Brent!A:A, Brent!B:B, "")</f>
        <v>73.16</v>
      </c>
      <c r="E2255">
        <f>_xlfn.XLOOKUP(
  A2255,
  Repo!A:A,
  Repo!B:B,
  "",
  -1
)</f>
        <v>6.5</v>
      </c>
      <c r="F2255" s="10">
        <f>_xlfn.XLOOKUP(
  A2255,
  CPI!D:D,
  CPI!C:C,
  "",
  -1
)</f>
        <v>5.22</v>
      </c>
      <c r="G2255">
        <v>76486</v>
      </c>
    </row>
    <row r="2256" spans="1:7">
      <c r="A2256" s="1">
        <v>45644</v>
      </c>
      <c r="B2256">
        <v>76115</v>
      </c>
      <c r="C2256">
        <f>_xlfn.XLOOKUP(A2256, USD!A:A, USD!B:B, "")</f>
        <v>84.867000000000004</v>
      </c>
      <c r="D2256">
        <f>_xlfn.XLOOKUP(A2256, Brent!A:A, Brent!B:B, "")</f>
        <v>74.569999999999993</v>
      </c>
      <c r="E2256">
        <f>_xlfn.XLOOKUP(
  A2256,
  Repo!A:A,
  Repo!B:B,
  "",
  -1
)</f>
        <v>6.5</v>
      </c>
      <c r="F2256" s="10">
        <f>_xlfn.XLOOKUP(
  A2256,
  CPI!D:D,
  CPI!C:C,
  "",
  -1
)</f>
        <v>5.22</v>
      </c>
      <c r="G2256">
        <v>76314</v>
      </c>
    </row>
    <row r="2257" spans="1:7">
      <c r="A2257" s="1">
        <v>45645</v>
      </c>
      <c r="B2257">
        <v>75191</v>
      </c>
      <c r="C2257">
        <f>_xlfn.XLOOKUP(A2257, USD!A:A, USD!B:B, "")</f>
        <v>85.087999999999994</v>
      </c>
      <c r="D2257">
        <f>_xlfn.XLOOKUP(A2257, Brent!A:A, Brent!B:B, "")</f>
        <v>73.75</v>
      </c>
      <c r="E2257">
        <f>_xlfn.XLOOKUP(
  A2257,
  Repo!A:A,
  Repo!B:B,
  "",
  -1
)</f>
        <v>6.5</v>
      </c>
      <c r="F2257" s="10">
        <f>_xlfn.XLOOKUP(
  A2257,
  CPI!D:D,
  CPI!C:C,
  "",
  -1
)</f>
        <v>5.22</v>
      </c>
      <c r="G2257">
        <v>76115</v>
      </c>
    </row>
    <row r="2258" spans="1:7">
      <c r="A2258" s="1">
        <v>45646</v>
      </c>
      <c r="B2258">
        <v>75786</v>
      </c>
      <c r="C2258">
        <f>_xlfn.XLOOKUP(A2258, USD!A:A, USD!B:B, "")</f>
        <v>84.947000000000003</v>
      </c>
      <c r="D2258">
        <f>_xlfn.XLOOKUP(A2258, Brent!A:A, Brent!B:B, "")</f>
        <v>73.19</v>
      </c>
      <c r="E2258">
        <f>_xlfn.XLOOKUP(
  A2258,
  Repo!A:A,
  Repo!B:B,
  "",
  -1
)</f>
        <v>6.5</v>
      </c>
      <c r="F2258" s="10">
        <f>_xlfn.XLOOKUP(
  A2258,
  CPI!D:D,
  CPI!C:C,
  "",
  -1
)</f>
        <v>5.22</v>
      </c>
      <c r="G2258">
        <v>75191</v>
      </c>
    </row>
    <row r="2259" spans="1:7">
      <c r="A2259" s="1">
        <v>45649</v>
      </c>
      <c r="B2259">
        <v>75506</v>
      </c>
      <c r="C2259">
        <f>_xlfn.XLOOKUP(A2259, USD!A:A, USD!B:B, "")</f>
        <v>85.094999999999999</v>
      </c>
      <c r="D2259">
        <f>_xlfn.XLOOKUP(A2259, Brent!A:A, Brent!B:B, "")</f>
        <v>72.12</v>
      </c>
      <c r="E2259">
        <f>_xlfn.XLOOKUP(
  A2259,
  Repo!A:A,
  Repo!B:B,
  "",
  -1
)</f>
        <v>6.5</v>
      </c>
      <c r="F2259" s="10">
        <f>_xlfn.XLOOKUP(
  A2259,
  CPI!D:D,
  CPI!C:C,
  "",
  -1
)</f>
        <v>5.22</v>
      </c>
      <c r="G2259">
        <v>75786</v>
      </c>
    </row>
    <row r="2260" spans="1:7">
      <c r="A2260" s="1">
        <v>45650</v>
      </c>
      <c r="B2260">
        <v>75562</v>
      </c>
      <c r="C2260">
        <f>_xlfn.XLOOKUP(A2260, USD!A:A, USD!B:B, "")</f>
        <v>85.176000000000002</v>
      </c>
      <c r="D2260">
        <f>_xlfn.XLOOKUP(A2260, Brent!A:A, Brent!B:B, "")</f>
        <v>73.5</v>
      </c>
      <c r="E2260">
        <f>_xlfn.XLOOKUP(
  A2260,
  Repo!A:A,
  Repo!B:B,
  "",
  -1
)</f>
        <v>6.5</v>
      </c>
      <c r="F2260" s="10">
        <f>_xlfn.XLOOKUP(
  A2260,
  CPI!D:D,
  CPI!C:C,
  "",
  -1
)</f>
        <v>5.22</v>
      </c>
      <c r="G2260">
        <v>75506</v>
      </c>
    </row>
    <row r="2261" spans="1:7">
      <c r="A2261" s="1">
        <v>45653</v>
      </c>
      <c r="B2261">
        <v>75783</v>
      </c>
      <c r="C2261">
        <f>_xlfn.XLOOKUP(A2261, USD!A:A, USD!B:B, "")</f>
        <v>85.388000000000005</v>
      </c>
      <c r="D2261">
        <f>_xlfn.XLOOKUP(A2261, Brent!A:A, Brent!B:B, "")</f>
        <v>73.77</v>
      </c>
      <c r="E2261">
        <f>_xlfn.XLOOKUP(
  A2261,
  Repo!A:A,
  Repo!B:B,
  "",
  -1
)</f>
        <v>6.5</v>
      </c>
      <c r="F2261" s="10">
        <f>_xlfn.XLOOKUP(
  A2261,
  CPI!D:D,
  CPI!C:C,
  "",
  -1
)</f>
        <v>5.22</v>
      </c>
      <c r="G2261">
        <v>75562</v>
      </c>
    </row>
    <row r="2262" spans="1:7">
      <c r="A2262" s="1">
        <v>45656</v>
      </c>
      <c r="B2262">
        <v>75517</v>
      </c>
      <c r="C2262">
        <f>_xlfn.XLOOKUP(A2262, USD!A:A, USD!B:B, "")</f>
        <v>85.474000000000004</v>
      </c>
      <c r="D2262">
        <f>_xlfn.XLOOKUP(A2262, Brent!A:A, Brent!B:B, "")</f>
        <v>74.239999999999995</v>
      </c>
      <c r="E2262">
        <f>_xlfn.XLOOKUP(
  A2262,
  Repo!A:A,
  Repo!B:B,
  "",
  -1
)</f>
        <v>6.5</v>
      </c>
      <c r="F2262" s="10">
        <f>_xlfn.XLOOKUP(
  A2262,
  CPI!D:D,
  CPI!C:C,
  "",
  -1
)</f>
        <v>5.22</v>
      </c>
      <c r="G2262">
        <v>75783</v>
      </c>
    </row>
    <row r="2263" spans="1:7">
      <c r="A2263" s="1">
        <v>45657</v>
      </c>
      <c r="B2263">
        <v>76232</v>
      </c>
      <c r="C2263">
        <f>_xlfn.XLOOKUP(A2263, USD!A:A, USD!B:B, "")</f>
        <v>85.554000000000002</v>
      </c>
      <c r="D2263">
        <f>_xlfn.XLOOKUP(A2263, Brent!A:A, Brent!B:B, "")</f>
        <v>74.58</v>
      </c>
      <c r="E2263">
        <f>_xlfn.XLOOKUP(
  A2263,
  Repo!A:A,
  Repo!B:B,
  "",
  -1
)</f>
        <v>6.5</v>
      </c>
      <c r="F2263" s="10">
        <f>_xlfn.XLOOKUP(
  A2263,
  CPI!D:D,
  CPI!C:C,
  "",
  -1
)</f>
        <v>5.22</v>
      </c>
      <c r="G2263">
        <v>75517</v>
      </c>
    </row>
    <row r="2264" spans="1:7">
      <c r="A2264" s="1">
        <v>45659</v>
      </c>
      <c r="B2264">
        <v>76849</v>
      </c>
      <c r="C2264">
        <f>_xlfn.XLOOKUP(A2264, USD!A:A, USD!B:B, "")</f>
        <v>85.76</v>
      </c>
      <c r="D2264">
        <f>_xlfn.XLOOKUP(A2264, Brent!A:A, Brent!B:B, "")</f>
        <v>76.14</v>
      </c>
      <c r="E2264">
        <f>_xlfn.XLOOKUP(
  A2264,
  Repo!A:A,
  Repo!B:B,
  "",
  -1
)</f>
        <v>6.5</v>
      </c>
      <c r="F2264" s="10">
        <f>_xlfn.XLOOKUP(
  A2264,
  CPI!D:D,
  CPI!C:C,
  "",
  -1
)</f>
        <v>4.26</v>
      </c>
      <c r="G2264">
        <v>76232</v>
      </c>
    </row>
    <row r="2265" spans="1:7">
      <c r="A2265" s="1">
        <v>45660</v>
      </c>
      <c r="B2265">
        <v>76813</v>
      </c>
      <c r="C2265">
        <f>_xlfn.XLOOKUP(A2265, USD!A:A, USD!B:B, "")</f>
        <v>85.760999999999996</v>
      </c>
      <c r="D2265">
        <f>_xlfn.XLOOKUP(A2265, Brent!A:A, Brent!B:B, "")</f>
        <v>76.72</v>
      </c>
      <c r="E2265">
        <f>_xlfn.XLOOKUP(
  A2265,
  Repo!A:A,
  Repo!B:B,
  "",
  -1
)</f>
        <v>6.5</v>
      </c>
      <c r="F2265" s="10">
        <f>_xlfn.XLOOKUP(
  A2265,
  CPI!D:D,
  CPI!C:C,
  "",
  -1
)</f>
        <v>4.26</v>
      </c>
      <c r="G2265">
        <v>76849</v>
      </c>
    </row>
    <row r="2266" spans="1:7">
      <c r="A2266" s="1">
        <v>45663</v>
      </c>
      <c r="B2266">
        <v>77149</v>
      </c>
      <c r="C2266">
        <f>_xlfn.XLOOKUP(A2266, USD!A:A, USD!B:B, "")</f>
        <v>85.7</v>
      </c>
      <c r="D2266">
        <f>_xlfn.XLOOKUP(A2266, Brent!A:A, Brent!B:B, "")</f>
        <v>77.27</v>
      </c>
      <c r="E2266">
        <f>_xlfn.XLOOKUP(
  A2266,
  Repo!A:A,
  Repo!B:B,
  "",
  -1
)</f>
        <v>6.5</v>
      </c>
      <c r="F2266" s="10">
        <f>_xlfn.XLOOKUP(
  A2266,
  CPI!D:D,
  CPI!C:C,
  "",
  -1
)</f>
        <v>4.26</v>
      </c>
      <c r="G2266">
        <v>76813</v>
      </c>
    </row>
    <row r="2267" spans="1:7">
      <c r="A2267" s="1">
        <v>45664</v>
      </c>
      <c r="B2267">
        <v>77514</v>
      </c>
      <c r="C2267">
        <f>_xlfn.XLOOKUP(A2267, USD!A:A, USD!B:B, "")</f>
        <v>85.802999999999997</v>
      </c>
      <c r="D2267">
        <f>_xlfn.XLOOKUP(A2267, Brent!A:A, Brent!B:B, "")</f>
        <v>77.84</v>
      </c>
      <c r="E2267">
        <f>_xlfn.XLOOKUP(
  A2267,
  Repo!A:A,
  Repo!B:B,
  "",
  -1
)</f>
        <v>6.5</v>
      </c>
      <c r="F2267" s="10">
        <f>_xlfn.XLOOKUP(
  A2267,
  CPI!D:D,
  CPI!C:C,
  "",
  -1
)</f>
        <v>4.26</v>
      </c>
      <c r="G2267">
        <v>77149</v>
      </c>
    </row>
    <row r="2268" spans="1:7">
      <c r="A2268" s="1">
        <v>45665</v>
      </c>
      <c r="B2268">
        <v>77737</v>
      </c>
      <c r="C2268">
        <f>_xlfn.XLOOKUP(A2268, USD!A:A, USD!B:B, "")</f>
        <v>85.917000000000002</v>
      </c>
      <c r="D2268">
        <f>_xlfn.XLOOKUP(A2268, Brent!A:A, Brent!B:B, "")</f>
        <v>77.37</v>
      </c>
      <c r="E2268">
        <f>_xlfn.XLOOKUP(
  A2268,
  Repo!A:A,
  Repo!B:B,
  "",
  -1
)</f>
        <v>6.5</v>
      </c>
      <c r="F2268" s="10">
        <f>_xlfn.XLOOKUP(
  A2268,
  CPI!D:D,
  CPI!C:C,
  "",
  -1
)</f>
        <v>4.26</v>
      </c>
      <c r="G2268">
        <v>77514</v>
      </c>
    </row>
    <row r="2269" spans="1:7">
      <c r="A2269" s="1">
        <v>45666</v>
      </c>
      <c r="B2269">
        <v>78068</v>
      </c>
      <c r="C2269">
        <f>_xlfn.XLOOKUP(A2269, USD!A:A, USD!B:B, "")</f>
        <v>85.89</v>
      </c>
      <c r="D2269">
        <f>_xlfn.XLOOKUP(A2269, Brent!A:A, Brent!B:B, "")</f>
        <v>78.44</v>
      </c>
      <c r="E2269">
        <f>_xlfn.XLOOKUP(
  A2269,
  Repo!A:A,
  Repo!B:B,
  "",
  -1
)</f>
        <v>6.5</v>
      </c>
      <c r="F2269" s="10">
        <f>_xlfn.XLOOKUP(
  A2269,
  CPI!D:D,
  CPI!C:C,
  "",
  -1
)</f>
        <v>4.26</v>
      </c>
      <c r="G2269">
        <v>77737</v>
      </c>
    </row>
    <row r="2270" spans="1:7">
      <c r="A2270" s="1">
        <v>45667</v>
      </c>
      <c r="B2270">
        <v>78398</v>
      </c>
      <c r="C2270">
        <f>_xlfn.XLOOKUP(A2270, USD!A:A, USD!B:B, "")</f>
        <v>86.165000000000006</v>
      </c>
      <c r="D2270">
        <f>_xlfn.XLOOKUP(A2270, Brent!A:A, Brent!B:B, "")</f>
        <v>79.760000000000005</v>
      </c>
      <c r="E2270">
        <f>_xlfn.XLOOKUP(
  A2270,
  Repo!A:A,
  Repo!B:B,
  "",
  -1
)</f>
        <v>6.5</v>
      </c>
      <c r="F2270" s="10">
        <f>_xlfn.XLOOKUP(
  A2270,
  CPI!D:D,
  CPI!C:C,
  "",
  -1
)</f>
        <v>4.26</v>
      </c>
      <c r="G2270">
        <v>78068</v>
      </c>
    </row>
    <row r="2271" spans="1:7">
      <c r="A2271" s="1">
        <v>45670</v>
      </c>
      <c r="B2271">
        <v>78159</v>
      </c>
      <c r="C2271">
        <f>_xlfn.XLOOKUP(A2271, USD!A:A, USD!B:B, "")</f>
        <v>86.646000000000001</v>
      </c>
      <c r="D2271">
        <f>_xlfn.XLOOKUP(A2271, Brent!A:A, Brent!B:B, "")</f>
        <v>82.69</v>
      </c>
      <c r="E2271">
        <f>_xlfn.XLOOKUP(
  A2271,
  Repo!A:A,
  Repo!B:B,
  "",
  -1
)</f>
        <v>6.5</v>
      </c>
      <c r="F2271" s="10">
        <f>_xlfn.XLOOKUP(
  A2271,
  CPI!D:D,
  CPI!C:C,
  "",
  -1
)</f>
        <v>4.26</v>
      </c>
      <c r="G2271">
        <v>78398</v>
      </c>
    </row>
    <row r="2272" spans="1:7">
      <c r="A2272" s="1">
        <v>45671</v>
      </c>
      <c r="B2272">
        <v>78151</v>
      </c>
      <c r="C2272">
        <f>_xlfn.XLOOKUP(A2272, USD!A:A, USD!B:B, "")</f>
        <v>86.525000000000006</v>
      </c>
      <c r="D2272">
        <f>_xlfn.XLOOKUP(A2272, Brent!A:A, Brent!B:B, "")</f>
        <v>82.39</v>
      </c>
      <c r="E2272">
        <f>_xlfn.XLOOKUP(
  A2272,
  Repo!A:A,
  Repo!B:B,
  "",
  -1
)</f>
        <v>6.5</v>
      </c>
      <c r="F2272" s="10">
        <f>_xlfn.XLOOKUP(
  A2272,
  CPI!D:D,
  CPI!C:C,
  "",
  -1
)</f>
        <v>4.26</v>
      </c>
      <c r="G2272">
        <v>78159</v>
      </c>
    </row>
    <row r="2273" spans="1:7">
      <c r="A2273" s="1">
        <v>45672</v>
      </c>
      <c r="B2273">
        <v>78658</v>
      </c>
      <c r="C2273">
        <f>_xlfn.XLOOKUP(A2273, USD!A:A, USD!B:B, "")</f>
        <v>86.38</v>
      </c>
      <c r="D2273">
        <f>_xlfn.XLOOKUP(A2273, Brent!A:A, Brent!B:B, "")</f>
        <v>83.48</v>
      </c>
      <c r="E2273">
        <f>_xlfn.XLOOKUP(
  A2273,
  Repo!A:A,
  Repo!B:B,
  "",
  -1
)</f>
        <v>6.5</v>
      </c>
      <c r="F2273" s="10">
        <f>_xlfn.XLOOKUP(
  A2273,
  CPI!D:D,
  CPI!C:C,
  "",
  -1
)</f>
        <v>4.26</v>
      </c>
      <c r="G2273">
        <v>78151</v>
      </c>
    </row>
    <row r="2274" spans="1:7">
      <c r="A2274" s="1">
        <v>45673</v>
      </c>
      <c r="B2274">
        <v>79160</v>
      </c>
      <c r="C2274">
        <f>_xlfn.XLOOKUP(A2274, USD!A:A, USD!B:B, "")</f>
        <v>86.57</v>
      </c>
      <c r="D2274">
        <f>_xlfn.XLOOKUP(A2274, Brent!A:A, Brent!B:B, "")</f>
        <v>82.39</v>
      </c>
      <c r="E2274">
        <f>_xlfn.XLOOKUP(
  A2274,
  Repo!A:A,
  Repo!B:B,
  "",
  -1
)</f>
        <v>6.5</v>
      </c>
      <c r="F2274" s="10">
        <f>_xlfn.XLOOKUP(
  A2274,
  CPI!D:D,
  CPI!C:C,
  "",
  -1
)</f>
        <v>4.26</v>
      </c>
      <c r="G2274">
        <v>78658</v>
      </c>
    </row>
    <row r="2275" spans="1:7">
      <c r="A2275" s="1">
        <v>45674</v>
      </c>
      <c r="B2275">
        <v>79003</v>
      </c>
      <c r="C2275">
        <f>_xlfn.XLOOKUP(A2275, USD!A:A, USD!B:B, "")</f>
        <v>86.570999999999998</v>
      </c>
      <c r="D2275">
        <f>_xlfn.XLOOKUP(A2275, Brent!A:A, Brent!B:B, "")</f>
        <v>83.02</v>
      </c>
      <c r="E2275">
        <f>_xlfn.XLOOKUP(
  A2275,
  Repo!A:A,
  Repo!B:B,
  "",
  -1
)</f>
        <v>6.5</v>
      </c>
      <c r="F2275" s="10">
        <f>_xlfn.XLOOKUP(
  A2275,
  CPI!D:D,
  CPI!C:C,
  "",
  -1
)</f>
        <v>4.26</v>
      </c>
      <c r="G2275">
        <v>79160</v>
      </c>
    </row>
    <row r="2276" spans="1:7">
      <c r="A2276" s="1">
        <v>45677</v>
      </c>
      <c r="B2276">
        <v>78530</v>
      </c>
      <c r="C2276">
        <f>_xlfn.XLOOKUP(A2276, USD!A:A, USD!B:B, "")</f>
        <v>86.209000000000003</v>
      </c>
      <c r="D2276">
        <f>_xlfn.XLOOKUP(A2276, Brent!A:A, Brent!B:B, "")</f>
        <v>81.680000000000007</v>
      </c>
      <c r="E2276">
        <f>_xlfn.XLOOKUP(
  A2276,
  Repo!A:A,
  Repo!B:B,
  "",
  -1
)</f>
        <v>6.5</v>
      </c>
      <c r="F2276" s="10">
        <f>_xlfn.XLOOKUP(
  A2276,
  CPI!D:D,
  CPI!C:C,
  "",
  -1
)</f>
        <v>4.26</v>
      </c>
      <c r="G2276">
        <v>79003</v>
      </c>
    </row>
    <row r="2277" spans="1:7">
      <c r="A2277" s="1">
        <v>45678</v>
      </c>
      <c r="B2277">
        <v>79179</v>
      </c>
      <c r="C2277">
        <f>_xlfn.XLOOKUP(A2277, USD!A:A, USD!B:B, "")</f>
        <v>86.451999999999998</v>
      </c>
      <c r="D2277">
        <f>_xlfn.XLOOKUP(A2277, Brent!A:A, Brent!B:B, "")</f>
        <v>80.569999999999993</v>
      </c>
      <c r="E2277">
        <f>_xlfn.XLOOKUP(
  A2277,
  Repo!A:A,
  Repo!B:B,
  "",
  -1
)</f>
        <v>6.5</v>
      </c>
      <c r="F2277" s="10">
        <f>_xlfn.XLOOKUP(
  A2277,
  CPI!D:D,
  CPI!C:C,
  "",
  -1
)</f>
        <v>4.26</v>
      </c>
      <c r="G2277">
        <v>78530</v>
      </c>
    </row>
    <row r="2278" spans="1:7">
      <c r="A2278" s="1">
        <v>45679</v>
      </c>
      <c r="B2278">
        <v>79535</v>
      </c>
      <c r="C2278">
        <f>_xlfn.XLOOKUP(A2278, USD!A:A, USD!B:B, "")</f>
        <v>86.45</v>
      </c>
      <c r="D2278">
        <f>_xlfn.XLOOKUP(A2278, Brent!A:A, Brent!B:B, "")</f>
        <v>80</v>
      </c>
      <c r="E2278">
        <f>_xlfn.XLOOKUP(
  A2278,
  Repo!A:A,
  Repo!B:B,
  "",
  -1
)</f>
        <v>6.5</v>
      </c>
      <c r="F2278" s="10">
        <f>_xlfn.XLOOKUP(
  A2278,
  CPI!D:D,
  CPI!C:C,
  "",
  -1
)</f>
        <v>4.26</v>
      </c>
      <c r="G2278">
        <v>79179</v>
      </c>
    </row>
    <row r="2279" spans="1:7">
      <c r="A2279" s="1">
        <v>45680</v>
      </c>
      <c r="B2279">
        <v>79594</v>
      </c>
      <c r="C2279">
        <f>_xlfn.XLOOKUP(A2279, USD!A:A, USD!B:B, "")</f>
        <v>86.43</v>
      </c>
      <c r="D2279">
        <f>_xlfn.XLOOKUP(A2279, Brent!A:A, Brent!B:B, "")</f>
        <v>78.62</v>
      </c>
      <c r="E2279">
        <f>_xlfn.XLOOKUP(
  A2279,
  Repo!A:A,
  Repo!B:B,
  "",
  -1
)</f>
        <v>6.5</v>
      </c>
      <c r="F2279" s="10">
        <f>_xlfn.XLOOKUP(
  A2279,
  CPI!D:D,
  CPI!C:C,
  "",
  -1
)</f>
        <v>4.26</v>
      </c>
      <c r="G2279">
        <v>79535</v>
      </c>
    </row>
    <row r="2280" spans="1:7">
      <c r="A2280" s="1">
        <v>45681</v>
      </c>
      <c r="B2280">
        <v>79944</v>
      </c>
      <c r="C2280">
        <f>_xlfn.XLOOKUP(A2280, USD!A:A, USD!B:B, "")</f>
        <v>86.2</v>
      </c>
      <c r="D2280">
        <f>_xlfn.XLOOKUP(A2280, Brent!A:A, Brent!B:B, "")</f>
        <v>78.709999999999994</v>
      </c>
      <c r="E2280">
        <f>_xlfn.XLOOKUP(
  A2280,
  Repo!A:A,
  Repo!B:B,
  "",
  -1
)</f>
        <v>6.5</v>
      </c>
      <c r="F2280" s="10">
        <f>_xlfn.XLOOKUP(
  A2280,
  CPI!D:D,
  CPI!C:C,
  "",
  -1
)</f>
        <v>4.26</v>
      </c>
      <c r="G2280">
        <v>79594</v>
      </c>
    </row>
    <row r="2281" spans="1:7">
      <c r="A2281" s="1">
        <v>45684</v>
      </c>
      <c r="B2281">
        <v>79510</v>
      </c>
      <c r="C2281">
        <f>_xlfn.XLOOKUP(A2281, USD!A:A, USD!B:B, "")</f>
        <v>86.35</v>
      </c>
      <c r="D2281">
        <f>_xlfn.XLOOKUP(A2281, Brent!A:A, Brent!B:B, "")</f>
        <v>77.3</v>
      </c>
      <c r="E2281">
        <f>_xlfn.XLOOKUP(
  A2281,
  Repo!A:A,
  Repo!B:B,
  "",
  -1
)</f>
        <v>6.5</v>
      </c>
      <c r="F2281" s="10">
        <f>_xlfn.XLOOKUP(
  A2281,
  CPI!D:D,
  CPI!C:C,
  "",
  -1
)</f>
        <v>4.26</v>
      </c>
      <c r="G2281">
        <v>79944</v>
      </c>
    </row>
    <row r="2282" spans="1:7">
      <c r="A2282" s="1">
        <v>45685</v>
      </c>
      <c r="B2282">
        <v>80163</v>
      </c>
      <c r="C2282">
        <f>_xlfn.XLOOKUP(A2282, USD!A:A, USD!B:B, "")</f>
        <v>86.584000000000003</v>
      </c>
      <c r="D2282">
        <f>_xlfn.XLOOKUP(A2282, Brent!A:A, Brent!B:B, "")</f>
        <v>78.010000000000005</v>
      </c>
      <c r="E2282">
        <f>_xlfn.XLOOKUP(
  A2282,
  Repo!A:A,
  Repo!B:B,
  "",
  -1
)</f>
        <v>6.5</v>
      </c>
      <c r="F2282" s="10">
        <f>_xlfn.XLOOKUP(
  A2282,
  CPI!D:D,
  CPI!C:C,
  "",
  -1
)</f>
        <v>4.26</v>
      </c>
      <c r="G2282">
        <v>79510</v>
      </c>
    </row>
    <row r="2283" spans="1:7">
      <c r="A2283" s="1">
        <v>45686</v>
      </c>
      <c r="B2283">
        <v>80310</v>
      </c>
      <c r="C2283">
        <f>_xlfn.XLOOKUP(A2283, USD!A:A, USD!B:B, "")</f>
        <v>86.63</v>
      </c>
      <c r="D2283">
        <f>_xlfn.XLOOKUP(A2283, Brent!A:A, Brent!B:B, "")</f>
        <v>77.02</v>
      </c>
      <c r="E2283">
        <f>_xlfn.XLOOKUP(
  A2283,
  Repo!A:A,
  Repo!B:B,
  "",
  -1
)</f>
        <v>6.5</v>
      </c>
      <c r="F2283" s="10">
        <f>_xlfn.XLOOKUP(
  A2283,
  CPI!D:D,
  CPI!C:C,
  "",
  -1
)</f>
        <v>4.26</v>
      </c>
      <c r="G2283">
        <v>80163</v>
      </c>
    </row>
    <row r="2284" spans="1:7">
      <c r="A2284" s="1">
        <v>45687</v>
      </c>
      <c r="B2284">
        <v>81539</v>
      </c>
      <c r="C2284">
        <f>_xlfn.XLOOKUP(A2284, USD!A:A, USD!B:B, "")</f>
        <v>86.545000000000002</v>
      </c>
      <c r="D2284">
        <f>_xlfn.XLOOKUP(A2284, Brent!A:A, Brent!B:B, "")</f>
        <v>77.42</v>
      </c>
      <c r="E2284">
        <f>_xlfn.XLOOKUP(
  A2284,
  Repo!A:A,
  Repo!B:B,
  "",
  -1
)</f>
        <v>6.5</v>
      </c>
      <c r="F2284" s="10">
        <f>_xlfn.XLOOKUP(
  A2284,
  CPI!D:D,
  CPI!C:C,
  "",
  -1
)</f>
        <v>4.26</v>
      </c>
      <c r="G2284">
        <v>80310</v>
      </c>
    </row>
    <row r="2285" spans="1:7">
      <c r="A2285" s="1">
        <v>45688</v>
      </c>
      <c r="B2285">
        <v>81836</v>
      </c>
      <c r="C2285">
        <f>_xlfn.XLOOKUP(A2285, USD!A:A, USD!B:B, "")</f>
        <v>86.536000000000001</v>
      </c>
      <c r="D2285">
        <f>_xlfn.XLOOKUP(A2285, Brent!A:A, Brent!B:B, "")</f>
        <v>77.11</v>
      </c>
      <c r="E2285">
        <f>_xlfn.XLOOKUP(
  A2285,
  Repo!A:A,
  Repo!B:B,
  "",
  -1
)</f>
        <v>6.5</v>
      </c>
      <c r="F2285" s="10">
        <f>_xlfn.XLOOKUP(
  A2285,
  CPI!D:D,
  CPI!C:C,
  "",
  -1
)</f>
        <v>4.26</v>
      </c>
      <c r="G2285">
        <v>81539</v>
      </c>
    </row>
    <row r="2286" spans="1:7">
      <c r="A2286" s="1">
        <v>45691</v>
      </c>
      <c r="B2286">
        <v>82625</v>
      </c>
      <c r="C2286">
        <f>_xlfn.XLOOKUP(A2286, USD!A:A, USD!B:B, "")</f>
        <v>86.96</v>
      </c>
      <c r="D2286">
        <f>_xlfn.XLOOKUP(A2286, Brent!A:A, Brent!B:B, "")</f>
        <v>76.489999999999995</v>
      </c>
      <c r="E2286">
        <f>_xlfn.XLOOKUP(
  A2286,
  Repo!A:A,
  Repo!B:B,
  "",
  -1
)</f>
        <v>6.5</v>
      </c>
      <c r="F2286" s="10">
        <f>_xlfn.XLOOKUP(
  A2286,
  CPI!D:D,
  CPI!C:C,
  "",
  -1
)</f>
        <v>3.61</v>
      </c>
      <c r="G2286">
        <v>81836</v>
      </c>
    </row>
    <row r="2287" spans="1:7">
      <c r="A2287" s="1">
        <v>45692</v>
      </c>
      <c r="B2287">
        <v>83162</v>
      </c>
      <c r="C2287">
        <f>_xlfn.XLOOKUP(A2287, USD!A:A, USD!B:B, "")</f>
        <v>87.07</v>
      </c>
      <c r="D2287">
        <f>_xlfn.XLOOKUP(A2287, Brent!A:A, Brent!B:B, "")</f>
        <v>76.58</v>
      </c>
      <c r="E2287">
        <f>_xlfn.XLOOKUP(
  A2287,
  Repo!A:A,
  Repo!B:B,
  "",
  -1
)</f>
        <v>6.5</v>
      </c>
      <c r="F2287" s="10">
        <f>_xlfn.XLOOKUP(
  A2287,
  CPI!D:D,
  CPI!C:C,
  "",
  -1
)</f>
        <v>3.61</v>
      </c>
      <c r="G2287">
        <v>82625</v>
      </c>
    </row>
    <row r="2288" spans="1:7">
      <c r="A2288" s="1">
        <v>45693</v>
      </c>
      <c r="B2288">
        <v>83976</v>
      </c>
      <c r="C2288">
        <f>_xlfn.XLOOKUP(A2288, USD!A:A, USD!B:B, "")</f>
        <v>87.335999999999999</v>
      </c>
      <c r="D2288">
        <f>_xlfn.XLOOKUP(A2288, Brent!A:A, Brent!B:B, "")</f>
        <v>74.709999999999994</v>
      </c>
      <c r="E2288">
        <f>_xlfn.XLOOKUP(
  A2288,
  Repo!A:A,
  Repo!B:B,
  "",
  -1
)</f>
        <v>6.5</v>
      </c>
      <c r="F2288" s="10">
        <f>_xlfn.XLOOKUP(
  A2288,
  CPI!D:D,
  CPI!C:C,
  "",
  -1
)</f>
        <v>3.61</v>
      </c>
      <c r="G2288">
        <v>83162</v>
      </c>
    </row>
    <row r="2289" spans="1:7">
      <c r="A2289" s="1">
        <v>45694</v>
      </c>
      <c r="B2289">
        <v>83856</v>
      </c>
      <c r="C2289">
        <f>_xlfn.XLOOKUP(A2289, USD!A:A, USD!B:B, "")</f>
        <v>87.58</v>
      </c>
      <c r="D2289">
        <f>_xlfn.XLOOKUP(A2289, Brent!A:A, Brent!B:B, "")</f>
        <v>74.540000000000006</v>
      </c>
      <c r="E2289">
        <f>_xlfn.XLOOKUP(
  A2289,
  Repo!A:A,
  Repo!B:B,
  "",
  -1
)</f>
        <v>6.5</v>
      </c>
      <c r="F2289" s="10">
        <f>_xlfn.XLOOKUP(
  A2289,
  CPI!D:D,
  CPI!C:C,
  "",
  -1
)</f>
        <v>3.61</v>
      </c>
      <c r="G2289">
        <v>83976</v>
      </c>
    </row>
    <row r="2290" spans="1:7">
      <c r="A2290" s="1">
        <v>45695</v>
      </c>
      <c r="B2290">
        <v>84378</v>
      </c>
      <c r="C2290">
        <f>_xlfn.XLOOKUP(A2290, USD!A:A, USD!B:B, "")</f>
        <v>87.626999999999995</v>
      </c>
      <c r="D2290">
        <f>_xlfn.XLOOKUP(A2290, Brent!A:A, Brent!B:B, "")</f>
        <v>74.680000000000007</v>
      </c>
      <c r="E2290">
        <f>_xlfn.XLOOKUP(
  A2290,
  Repo!A:A,
  Repo!B:B,
  "",
  -1
)</f>
        <v>6.5</v>
      </c>
      <c r="F2290" s="10">
        <f>_xlfn.XLOOKUP(
  A2290,
  CPI!D:D,
  CPI!C:C,
  "",
  -1
)</f>
        <v>3.61</v>
      </c>
      <c r="G2290">
        <v>83856</v>
      </c>
    </row>
    <row r="2291" spans="1:7">
      <c r="A2291" s="1">
        <v>45698</v>
      </c>
      <c r="B2291">
        <v>85308</v>
      </c>
      <c r="C2291">
        <f>_xlfn.XLOOKUP(A2291, USD!A:A, USD!B:B, "")</f>
        <v>87.468999999999994</v>
      </c>
      <c r="D2291">
        <f>_xlfn.XLOOKUP(A2291, Brent!A:A, Brent!B:B, "")</f>
        <v>76.23</v>
      </c>
      <c r="E2291">
        <f>_xlfn.XLOOKUP(
  A2291,
  Repo!A:A,
  Repo!B:B,
  "",
  -1
)</f>
        <v>6.5</v>
      </c>
      <c r="F2291" s="10">
        <f>_xlfn.XLOOKUP(
  A2291,
  CPI!D:D,
  CPI!C:C,
  "",
  -1
)</f>
        <v>3.61</v>
      </c>
      <c r="G2291">
        <v>84378</v>
      </c>
    </row>
    <row r="2292" spans="1:7">
      <c r="A2292" s="1">
        <v>45699</v>
      </c>
      <c r="B2292">
        <v>85113</v>
      </c>
      <c r="C2292">
        <f>_xlfn.XLOOKUP(A2292, USD!A:A, USD!B:B, "")</f>
        <v>86.789000000000001</v>
      </c>
      <c r="D2292">
        <f>_xlfn.XLOOKUP(A2292, Brent!A:A, Brent!B:B, "")</f>
        <v>77.650000000000006</v>
      </c>
      <c r="E2292">
        <f>_xlfn.XLOOKUP(
  A2292,
  Repo!A:A,
  Repo!B:B,
  "",
  -1
)</f>
        <v>6.5</v>
      </c>
      <c r="F2292" s="10">
        <f>_xlfn.XLOOKUP(
  A2292,
  CPI!D:D,
  CPI!C:C,
  "",
  -1
)</f>
        <v>3.61</v>
      </c>
      <c r="G2292">
        <v>85308</v>
      </c>
    </row>
    <row r="2293" spans="1:7">
      <c r="A2293" s="1">
        <v>45700</v>
      </c>
      <c r="B2293">
        <v>85024</v>
      </c>
      <c r="C2293">
        <f>_xlfn.XLOOKUP(A2293, USD!A:A, USD!B:B, "")</f>
        <v>86.9</v>
      </c>
      <c r="D2293">
        <f>_xlfn.XLOOKUP(A2293, Brent!A:A, Brent!B:B, "")</f>
        <v>75.38</v>
      </c>
      <c r="E2293">
        <f>_xlfn.XLOOKUP(
  A2293,
  Repo!A:A,
  Repo!B:B,
  "",
  -1
)</f>
        <v>6.5</v>
      </c>
      <c r="F2293" s="10">
        <f>_xlfn.XLOOKUP(
  A2293,
  CPI!D:D,
  CPI!C:C,
  "",
  -1
)</f>
        <v>3.61</v>
      </c>
      <c r="G2293">
        <v>85113</v>
      </c>
    </row>
    <row r="2294" spans="1:7">
      <c r="A2294" s="1">
        <v>45701</v>
      </c>
      <c r="B2294">
        <v>85368</v>
      </c>
      <c r="C2294">
        <f>_xlfn.XLOOKUP(A2294, USD!A:A, USD!B:B, "")</f>
        <v>86.69</v>
      </c>
      <c r="D2294">
        <f>_xlfn.XLOOKUP(A2294, Brent!A:A, Brent!B:B, "")</f>
        <v>75.61</v>
      </c>
      <c r="E2294">
        <f>_xlfn.XLOOKUP(
  A2294,
  Repo!A:A,
  Repo!B:B,
  "",
  -1
)</f>
        <v>6.5</v>
      </c>
      <c r="F2294" s="10">
        <f>_xlfn.XLOOKUP(
  A2294,
  CPI!D:D,
  CPI!C:C,
  "",
  -1
)</f>
        <v>3.61</v>
      </c>
      <c r="G2294">
        <v>85024</v>
      </c>
    </row>
    <row r="2295" spans="1:7">
      <c r="A2295" s="1">
        <v>45702</v>
      </c>
      <c r="B2295">
        <v>84331</v>
      </c>
      <c r="C2295">
        <f>_xlfn.XLOOKUP(A2295, USD!A:A, USD!B:B, "")</f>
        <v>86.62</v>
      </c>
      <c r="D2295">
        <f>_xlfn.XLOOKUP(A2295, Brent!A:A, Brent!B:B, "")</f>
        <v>75.19</v>
      </c>
      <c r="E2295">
        <f>_xlfn.XLOOKUP(
  A2295,
  Repo!A:A,
  Repo!B:B,
  "",
  -1
)</f>
        <v>6.5</v>
      </c>
      <c r="F2295" s="10">
        <f>_xlfn.XLOOKUP(
  A2295,
  CPI!D:D,
  CPI!C:C,
  "",
  -1
)</f>
        <v>3.61</v>
      </c>
      <c r="G2295">
        <v>85368</v>
      </c>
    </row>
    <row r="2296" spans="1:7">
      <c r="A2296" s="1">
        <v>45705</v>
      </c>
      <c r="B2296">
        <v>84759</v>
      </c>
      <c r="C2296">
        <f>_xlfn.XLOOKUP(A2296, USD!A:A, USD!B:B, "")</f>
        <v>86.808999999999997</v>
      </c>
      <c r="D2296">
        <f>_xlfn.XLOOKUP(A2296, Brent!A:A, Brent!B:B, "")</f>
        <v>75.81</v>
      </c>
      <c r="E2296">
        <f>_xlfn.XLOOKUP(
  A2296,
  Repo!A:A,
  Repo!B:B,
  "",
  -1
)</f>
        <v>6.5</v>
      </c>
      <c r="F2296" s="10">
        <f>_xlfn.XLOOKUP(
  A2296,
  CPI!D:D,
  CPI!C:C,
  "",
  -1
)</f>
        <v>3.61</v>
      </c>
      <c r="G2296">
        <v>84331</v>
      </c>
    </row>
    <row r="2297" spans="1:7">
      <c r="A2297" s="1">
        <v>45706</v>
      </c>
      <c r="B2297">
        <v>85742</v>
      </c>
      <c r="C2297">
        <f>_xlfn.XLOOKUP(A2297, USD!A:A, USD!B:B, "")</f>
        <v>86.867000000000004</v>
      </c>
      <c r="D2297">
        <f>_xlfn.XLOOKUP(A2297, Brent!A:A, Brent!B:B, "")</f>
        <v>76.459999999999994</v>
      </c>
      <c r="E2297">
        <f>_xlfn.XLOOKUP(
  A2297,
  Repo!A:A,
  Repo!B:B,
  "",
  -1
)</f>
        <v>6.5</v>
      </c>
      <c r="F2297" s="10">
        <f>_xlfn.XLOOKUP(
  A2297,
  CPI!D:D,
  CPI!C:C,
  "",
  -1
)</f>
        <v>3.61</v>
      </c>
      <c r="G2297">
        <v>84759</v>
      </c>
    </row>
    <row r="2298" spans="1:7">
      <c r="A2298" s="1">
        <v>45707</v>
      </c>
      <c r="B2298">
        <v>85719</v>
      </c>
      <c r="C2298">
        <f>_xlfn.XLOOKUP(A2298, USD!A:A, USD!B:B, "")</f>
        <v>86.89</v>
      </c>
      <c r="D2298">
        <f>_xlfn.XLOOKUP(A2298, Brent!A:A, Brent!B:B, "")</f>
        <v>76.34</v>
      </c>
      <c r="E2298">
        <f>_xlfn.XLOOKUP(
  A2298,
  Repo!A:A,
  Repo!B:B,
  "",
  -1
)</f>
        <v>6.5</v>
      </c>
      <c r="F2298" s="10">
        <f>_xlfn.XLOOKUP(
  A2298,
  CPI!D:D,
  CPI!C:C,
  "",
  -1
)</f>
        <v>3.61</v>
      </c>
      <c r="G2298">
        <v>85742</v>
      </c>
    </row>
    <row r="2299" spans="1:7">
      <c r="A2299" s="1">
        <v>45708</v>
      </c>
      <c r="B2299">
        <v>85830</v>
      </c>
      <c r="C2299">
        <f>_xlfn.XLOOKUP(A2299, USD!A:A, USD!B:B, "")</f>
        <v>86.561000000000007</v>
      </c>
      <c r="D2299">
        <f>_xlfn.XLOOKUP(A2299, Brent!A:A, Brent!B:B, "")</f>
        <v>76.95</v>
      </c>
      <c r="E2299">
        <f>_xlfn.XLOOKUP(
  A2299,
  Repo!A:A,
  Repo!B:B,
  "",
  -1
)</f>
        <v>6.5</v>
      </c>
      <c r="F2299" s="10">
        <f>_xlfn.XLOOKUP(
  A2299,
  CPI!D:D,
  CPI!C:C,
  "",
  -1
)</f>
        <v>3.61</v>
      </c>
      <c r="G2299">
        <v>85719</v>
      </c>
    </row>
    <row r="2300" spans="1:7">
      <c r="A2300" s="1">
        <v>45709</v>
      </c>
      <c r="B2300">
        <v>85795</v>
      </c>
      <c r="C2300">
        <f>_xlfn.XLOOKUP(A2300, USD!A:A, USD!B:B, "")</f>
        <v>86.572000000000003</v>
      </c>
      <c r="D2300">
        <f>_xlfn.XLOOKUP(A2300, Brent!A:A, Brent!B:B, "")</f>
        <v>74.88</v>
      </c>
      <c r="E2300">
        <f>_xlfn.XLOOKUP(
  A2300,
  Repo!A:A,
  Repo!B:B,
  "",
  -1
)</f>
        <v>6.5</v>
      </c>
      <c r="F2300" s="10">
        <f>_xlfn.XLOOKUP(
  A2300,
  CPI!D:D,
  CPI!C:C,
  "",
  -1
)</f>
        <v>3.61</v>
      </c>
      <c r="G2300">
        <v>85830</v>
      </c>
    </row>
    <row r="2301" spans="1:7">
      <c r="A2301" s="1">
        <v>45712</v>
      </c>
      <c r="B2301">
        <v>86030</v>
      </c>
      <c r="C2301">
        <f>_xlfn.XLOOKUP(A2301, USD!A:A, USD!B:B, "")</f>
        <v>86.66</v>
      </c>
      <c r="D2301">
        <f>_xlfn.XLOOKUP(A2301, Brent!A:A, Brent!B:B, "")</f>
        <v>74.89</v>
      </c>
      <c r="E2301">
        <f>_xlfn.XLOOKUP(
  A2301,
  Repo!A:A,
  Repo!B:B,
  "",
  -1
)</f>
        <v>6.5</v>
      </c>
      <c r="F2301" s="10">
        <f>_xlfn.XLOOKUP(
  A2301,
  CPI!D:D,
  CPI!C:C,
  "",
  -1
)</f>
        <v>3.61</v>
      </c>
      <c r="G2301">
        <v>85795</v>
      </c>
    </row>
    <row r="2302" spans="1:7">
      <c r="A2302" s="1">
        <v>45713</v>
      </c>
      <c r="B2302">
        <v>85589</v>
      </c>
      <c r="C2302">
        <f>_xlfn.XLOOKUP(A2302, USD!A:A, USD!B:B, "")</f>
        <v>87.13</v>
      </c>
      <c r="D2302">
        <f>_xlfn.XLOOKUP(A2302, Brent!A:A, Brent!B:B, "")</f>
        <v>73.11</v>
      </c>
      <c r="E2302">
        <f>_xlfn.XLOOKUP(
  A2302,
  Repo!A:A,
  Repo!B:B,
  "",
  -1
)</f>
        <v>6.5</v>
      </c>
      <c r="F2302" s="10">
        <f>_xlfn.XLOOKUP(
  A2302,
  CPI!D:D,
  CPI!C:C,
  "",
  -1
)</f>
        <v>3.61</v>
      </c>
      <c r="G2302">
        <v>86030</v>
      </c>
    </row>
    <row r="2303" spans="1:7">
      <c r="A2303" s="1">
        <v>45714</v>
      </c>
      <c r="B2303">
        <v>85837</v>
      </c>
      <c r="C2303">
        <f>_xlfn.XLOOKUP(A2303, USD!A:A, USD!B:B, "")</f>
        <v>87.113</v>
      </c>
      <c r="D2303">
        <f>_xlfn.XLOOKUP(A2303, Brent!A:A, Brent!B:B, "")</f>
        <v>73.489999999999995</v>
      </c>
      <c r="E2303">
        <f>_xlfn.XLOOKUP(
  A2303,
  Repo!A:A,
  Repo!B:B,
  "",
  -1
)</f>
        <v>6.5</v>
      </c>
      <c r="F2303" s="10">
        <f>_xlfn.XLOOKUP(
  A2303,
  CPI!D:D,
  CPI!C:C,
  "",
  -1
)</f>
        <v>3.61</v>
      </c>
      <c r="G2303">
        <v>85589</v>
      </c>
    </row>
    <row r="2304" spans="1:7">
      <c r="A2304" s="1">
        <v>45715</v>
      </c>
      <c r="B2304">
        <v>85123</v>
      </c>
      <c r="C2304">
        <f>_xlfn.XLOOKUP(A2304, USD!A:A, USD!B:B, "")</f>
        <v>87.33</v>
      </c>
      <c r="D2304">
        <f>_xlfn.XLOOKUP(A2304, Brent!A:A, Brent!B:B, "")</f>
        <v>75.010000000000005</v>
      </c>
      <c r="E2304">
        <f>_xlfn.XLOOKUP(
  A2304,
  Repo!A:A,
  Repo!B:B,
  "",
  -1
)</f>
        <v>6.5</v>
      </c>
      <c r="F2304" s="10">
        <f>_xlfn.XLOOKUP(
  A2304,
  CPI!D:D,
  CPI!C:C,
  "",
  -1
)</f>
        <v>3.61</v>
      </c>
      <c r="G2304">
        <v>85837</v>
      </c>
    </row>
    <row r="2305" spans="1:7">
      <c r="A2305" s="1">
        <v>45716</v>
      </c>
      <c r="B2305">
        <v>84269</v>
      </c>
      <c r="C2305">
        <f>_xlfn.XLOOKUP(A2305, USD!A:A, USD!B:B, "")</f>
        <v>87.465999999999994</v>
      </c>
      <c r="D2305">
        <f>_xlfn.XLOOKUP(A2305, Brent!A:A, Brent!B:B, "")</f>
        <v>74.760000000000005</v>
      </c>
      <c r="E2305">
        <f>_xlfn.XLOOKUP(
  A2305,
  Repo!A:A,
  Repo!B:B,
  "",
  -1
)</f>
        <v>6.25</v>
      </c>
      <c r="F2305" s="10">
        <f>_xlfn.XLOOKUP(
  A2305,
  CPI!D:D,
  CPI!C:C,
  "",
  -1
)</f>
        <v>3.61</v>
      </c>
      <c r="G2305">
        <v>85123</v>
      </c>
    </row>
    <row r="2306" spans="1:7">
      <c r="A2306" s="1">
        <v>45719</v>
      </c>
      <c r="B2306">
        <v>85355</v>
      </c>
      <c r="C2306">
        <f>_xlfn.XLOOKUP(A2306, USD!A:A, USD!B:B, "")</f>
        <v>87.26</v>
      </c>
      <c r="D2306">
        <f>_xlfn.XLOOKUP(A2306, Brent!A:A, Brent!B:B, "")</f>
        <v>72.849999999999994</v>
      </c>
      <c r="E2306">
        <f>_xlfn.XLOOKUP(
  A2306,
  Repo!A:A,
  Repo!B:B,
  "",
  -1
)</f>
        <v>6.25</v>
      </c>
      <c r="F2306" s="10">
        <f>_xlfn.XLOOKUP(
  A2306,
  CPI!D:D,
  CPI!C:C,
  "",
  -1
)</f>
        <v>3.34</v>
      </c>
      <c r="G2306">
        <v>84269</v>
      </c>
    </row>
    <row r="2307" spans="1:7">
      <c r="A2307" s="1">
        <v>45720</v>
      </c>
      <c r="B2307">
        <v>86007</v>
      </c>
      <c r="C2307">
        <f>_xlfn.XLOOKUP(A2307, USD!A:A, USD!B:B, "")</f>
        <v>87.254999999999995</v>
      </c>
      <c r="D2307">
        <f>_xlfn.XLOOKUP(A2307, Brent!A:A, Brent!B:B, "")</f>
        <v>72.31</v>
      </c>
      <c r="E2307">
        <f>_xlfn.XLOOKUP(
  A2307,
  Repo!A:A,
  Repo!B:B,
  "",
  -1
)</f>
        <v>6.25</v>
      </c>
      <c r="F2307" s="10">
        <f>_xlfn.XLOOKUP(
  A2307,
  CPI!D:D,
  CPI!C:C,
  "",
  -1
)</f>
        <v>3.34</v>
      </c>
      <c r="G2307">
        <v>85355</v>
      </c>
    </row>
    <row r="2308" spans="1:7">
      <c r="A2308" s="1">
        <v>45721</v>
      </c>
      <c r="B2308">
        <v>85848</v>
      </c>
      <c r="C2308">
        <f>_xlfn.XLOOKUP(A2308, USD!A:A, USD!B:B, "")</f>
        <v>86.88</v>
      </c>
      <c r="D2308">
        <f>_xlfn.XLOOKUP(A2308, Brent!A:A, Brent!B:B, "")</f>
        <v>70.92</v>
      </c>
      <c r="E2308">
        <f>_xlfn.XLOOKUP(
  A2308,
  Repo!A:A,
  Repo!B:B,
  "",
  -1
)</f>
        <v>6.25</v>
      </c>
      <c r="F2308" s="10">
        <f>_xlfn.XLOOKUP(
  A2308,
  CPI!D:D,
  CPI!C:C,
  "",
  -1
)</f>
        <v>3.34</v>
      </c>
      <c r="G2308">
        <v>86007</v>
      </c>
    </row>
    <row r="2309" spans="1:7">
      <c r="A2309" s="1">
        <v>45722</v>
      </c>
      <c r="B2309">
        <v>86002</v>
      </c>
      <c r="C2309">
        <f>_xlfn.XLOOKUP(A2309, USD!A:A, USD!B:B, "")</f>
        <v>87.010999999999996</v>
      </c>
      <c r="D2309">
        <f>_xlfn.XLOOKUP(A2309, Brent!A:A, Brent!B:B, "")</f>
        <v>71.08</v>
      </c>
      <c r="E2309">
        <f>_xlfn.XLOOKUP(
  A2309,
  Repo!A:A,
  Repo!B:B,
  "",
  -1
)</f>
        <v>6.25</v>
      </c>
      <c r="F2309" s="10">
        <f>_xlfn.XLOOKUP(
  A2309,
  CPI!D:D,
  CPI!C:C,
  "",
  -1
)</f>
        <v>3.34</v>
      </c>
      <c r="G2309">
        <v>85848</v>
      </c>
    </row>
    <row r="2310" spans="1:7">
      <c r="A2310" s="1">
        <v>45723</v>
      </c>
      <c r="B2310">
        <v>85896</v>
      </c>
      <c r="C2310">
        <f>_xlfn.XLOOKUP(A2310, USD!A:A, USD!B:B, "")</f>
        <v>87.1</v>
      </c>
      <c r="D2310">
        <f>_xlfn.XLOOKUP(A2310, Brent!A:A, Brent!B:B, "")</f>
        <v>72.489999999999995</v>
      </c>
      <c r="E2310">
        <f>_xlfn.XLOOKUP(
  A2310,
  Repo!A:A,
  Repo!B:B,
  "",
  -1
)</f>
        <v>6.25</v>
      </c>
      <c r="F2310" s="10">
        <f>_xlfn.XLOOKUP(
  A2310,
  CPI!D:D,
  CPI!C:C,
  "",
  -1
)</f>
        <v>3.34</v>
      </c>
      <c r="G2310">
        <v>86002</v>
      </c>
    </row>
    <row r="2311" spans="1:7">
      <c r="A2311" s="1">
        <v>45726</v>
      </c>
      <c r="B2311">
        <v>85460</v>
      </c>
      <c r="C2311">
        <f>_xlfn.XLOOKUP(A2311, USD!A:A, USD!B:B, "")</f>
        <v>87.29</v>
      </c>
      <c r="D2311">
        <f>_xlfn.XLOOKUP(A2311, Brent!A:A, Brent!B:B, "")</f>
        <v>71.08</v>
      </c>
      <c r="E2311">
        <f>_xlfn.XLOOKUP(
  A2311,
  Repo!A:A,
  Repo!B:B,
  "",
  -1
)</f>
        <v>6.25</v>
      </c>
      <c r="F2311" s="10">
        <f>_xlfn.XLOOKUP(
  A2311,
  CPI!D:D,
  CPI!C:C,
  "",
  -1
)</f>
        <v>3.34</v>
      </c>
      <c r="G2311">
        <v>85896</v>
      </c>
    </row>
    <row r="2312" spans="1:7">
      <c r="A2312" s="1">
        <v>45727</v>
      </c>
      <c r="B2312">
        <v>86113</v>
      </c>
      <c r="C2312">
        <f>_xlfn.XLOOKUP(A2312, USD!A:A, USD!B:B, "")</f>
        <v>87.176000000000002</v>
      </c>
      <c r="D2312">
        <f>_xlfn.XLOOKUP(A2312, Brent!A:A, Brent!B:B, "")</f>
        <v>71.510000000000005</v>
      </c>
      <c r="E2312">
        <f>_xlfn.XLOOKUP(
  A2312,
  Repo!A:A,
  Repo!B:B,
  "",
  -1
)</f>
        <v>6.25</v>
      </c>
      <c r="F2312" s="10">
        <f>_xlfn.XLOOKUP(
  A2312,
  CPI!D:D,
  CPI!C:C,
  "",
  -1
)</f>
        <v>3.34</v>
      </c>
      <c r="G2312">
        <v>85460</v>
      </c>
    </row>
    <row r="2313" spans="1:7">
      <c r="A2313" s="1">
        <v>45728</v>
      </c>
      <c r="B2313">
        <v>86661</v>
      </c>
      <c r="C2313">
        <f>_xlfn.XLOOKUP(A2313, USD!A:A, USD!B:B, "")</f>
        <v>87.15</v>
      </c>
      <c r="D2313">
        <f>_xlfn.XLOOKUP(A2313, Brent!A:A, Brent!B:B, "")</f>
        <v>72.36</v>
      </c>
      <c r="E2313">
        <f>_xlfn.XLOOKUP(
  A2313,
  Repo!A:A,
  Repo!B:B,
  "",
  -1
)</f>
        <v>6.25</v>
      </c>
      <c r="F2313" s="10">
        <f>_xlfn.XLOOKUP(
  A2313,
  CPI!D:D,
  CPI!C:C,
  "",
  -1
)</f>
        <v>3.34</v>
      </c>
      <c r="G2313">
        <v>86113</v>
      </c>
    </row>
    <row r="2314" spans="1:7">
      <c r="A2314" s="1">
        <v>45729</v>
      </c>
      <c r="B2314">
        <v>87694</v>
      </c>
      <c r="C2314">
        <f>_xlfn.XLOOKUP(A2314, USD!A:A, USD!B:B, "")</f>
        <v>86.897000000000006</v>
      </c>
      <c r="D2314">
        <f>_xlfn.XLOOKUP(A2314, Brent!A:A, Brent!B:B, "")</f>
        <v>70.819999999999993</v>
      </c>
      <c r="E2314">
        <f>_xlfn.XLOOKUP(
  A2314,
  Repo!A:A,
  Repo!B:B,
  "",
  -1
)</f>
        <v>6.25</v>
      </c>
      <c r="F2314" s="10">
        <f>_xlfn.XLOOKUP(
  A2314,
  CPI!D:D,
  CPI!C:C,
  "",
  -1
)</f>
        <v>3.34</v>
      </c>
      <c r="G2314">
        <v>86661</v>
      </c>
    </row>
    <row r="2315" spans="1:7">
      <c r="A2315" s="1">
        <v>45730</v>
      </c>
      <c r="B2315">
        <v>87924</v>
      </c>
      <c r="C2315">
        <f>_xlfn.XLOOKUP(A2315, USD!A:A, USD!B:B, "")</f>
        <v>86.941000000000003</v>
      </c>
      <c r="D2315">
        <f>_xlfn.XLOOKUP(A2315, Brent!A:A, Brent!B:B, "")</f>
        <v>71.94</v>
      </c>
      <c r="E2315">
        <f>_xlfn.XLOOKUP(
  A2315,
  Repo!A:A,
  Repo!B:B,
  "",
  -1
)</f>
        <v>6.25</v>
      </c>
      <c r="F2315" s="10">
        <f>_xlfn.XLOOKUP(
  A2315,
  CPI!D:D,
  CPI!C:C,
  "",
  -1
)</f>
        <v>3.34</v>
      </c>
      <c r="G2315">
        <v>87694</v>
      </c>
    </row>
    <row r="2316" spans="1:7">
      <c r="A2316" s="1">
        <v>45733</v>
      </c>
      <c r="B2316">
        <v>87976</v>
      </c>
      <c r="C2316">
        <f>_xlfn.XLOOKUP(A2316, USD!A:A, USD!B:B, "")</f>
        <v>86.69</v>
      </c>
      <c r="D2316">
        <f>_xlfn.XLOOKUP(A2316, Brent!A:A, Brent!B:B, "")</f>
        <v>71.930000000000007</v>
      </c>
      <c r="E2316">
        <f>_xlfn.XLOOKUP(
  A2316,
  Repo!A:A,
  Repo!B:B,
  "",
  -1
)</f>
        <v>6.25</v>
      </c>
      <c r="F2316" s="10">
        <f>_xlfn.XLOOKUP(
  A2316,
  CPI!D:D,
  CPI!C:C,
  "",
  -1
)</f>
        <v>3.34</v>
      </c>
      <c r="G2316">
        <v>87924</v>
      </c>
    </row>
    <row r="2317" spans="1:7">
      <c r="A2317" s="1">
        <v>45734</v>
      </c>
      <c r="B2317">
        <v>88660</v>
      </c>
      <c r="C2317">
        <f>_xlfn.XLOOKUP(A2317, USD!A:A, USD!B:B, "")</f>
        <v>86.51</v>
      </c>
      <c r="D2317">
        <f>_xlfn.XLOOKUP(A2317, Brent!A:A, Brent!B:B, "")</f>
        <v>71.930000000000007</v>
      </c>
      <c r="E2317">
        <f>_xlfn.XLOOKUP(
  A2317,
  Repo!A:A,
  Repo!B:B,
  "",
  -1
)</f>
        <v>6.25</v>
      </c>
      <c r="F2317" s="10">
        <f>_xlfn.XLOOKUP(
  A2317,
  CPI!D:D,
  CPI!C:C,
  "",
  -1
)</f>
        <v>3.34</v>
      </c>
      <c r="G2317">
        <v>87976</v>
      </c>
    </row>
    <row r="2318" spans="1:7">
      <c r="A2318" s="1">
        <v>45735</v>
      </c>
      <c r="B2318">
        <v>88564</v>
      </c>
      <c r="C2318">
        <f>_xlfn.XLOOKUP(A2318, USD!A:A, USD!B:B, "")</f>
        <v>86.31</v>
      </c>
      <c r="D2318">
        <f>_xlfn.XLOOKUP(A2318, Brent!A:A, Brent!B:B, "")</f>
        <v>71.94</v>
      </c>
      <c r="E2318">
        <f>_xlfn.XLOOKUP(
  A2318,
  Repo!A:A,
  Repo!B:B,
  "",
  -1
)</f>
        <v>6.25</v>
      </c>
      <c r="F2318" s="10">
        <f>_xlfn.XLOOKUP(
  A2318,
  CPI!D:D,
  CPI!C:C,
  "",
  -1
)</f>
        <v>3.34</v>
      </c>
      <c r="G2318">
        <v>88660</v>
      </c>
    </row>
    <row r="2319" spans="1:7">
      <c r="A2319" s="1">
        <v>45736</v>
      </c>
      <c r="B2319">
        <v>88646</v>
      </c>
      <c r="C2319">
        <f>_xlfn.XLOOKUP(A2319, USD!A:A, USD!B:B, "")</f>
        <v>86.32</v>
      </c>
      <c r="D2319">
        <f>_xlfn.XLOOKUP(A2319, Brent!A:A, Brent!B:B, "")</f>
        <v>72.61</v>
      </c>
      <c r="E2319">
        <f>_xlfn.XLOOKUP(
  A2319,
  Repo!A:A,
  Repo!B:B,
  "",
  -1
)</f>
        <v>6.25</v>
      </c>
      <c r="F2319" s="10">
        <f>_xlfn.XLOOKUP(
  A2319,
  CPI!D:D,
  CPI!C:C,
  "",
  -1
)</f>
        <v>3.34</v>
      </c>
      <c r="G2319">
        <v>88564</v>
      </c>
    </row>
    <row r="2320" spans="1:7">
      <c r="A2320" s="1">
        <v>45737</v>
      </c>
      <c r="B2320">
        <v>87785</v>
      </c>
      <c r="C2320">
        <f>_xlfn.XLOOKUP(A2320, USD!A:A, USD!B:B, "")</f>
        <v>85.99</v>
      </c>
      <c r="D2320">
        <f>_xlfn.XLOOKUP(A2320, Brent!A:A, Brent!B:B, "")</f>
        <v>72.64</v>
      </c>
      <c r="E2320">
        <f>_xlfn.XLOOKUP(
  A2320,
  Repo!A:A,
  Repo!B:B,
  "",
  -1
)</f>
        <v>6.25</v>
      </c>
      <c r="F2320" s="10">
        <f>_xlfn.XLOOKUP(
  A2320,
  CPI!D:D,
  CPI!C:C,
  "",
  -1
)</f>
        <v>3.34</v>
      </c>
      <c r="G2320">
        <v>88646</v>
      </c>
    </row>
    <row r="2321" spans="1:7">
      <c r="A2321" s="1">
        <v>45740</v>
      </c>
      <c r="B2321">
        <v>87313</v>
      </c>
      <c r="C2321">
        <f>_xlfn.XLOOKUP(A2321, USD!A:A, USD!B:B, "")</f>
        <v>85.56</v>
      </c>
      <c r="D2321">
        <f>_xlfn.XLOOKUP(A2321, Brent!A:A, Brent!B:B, "")</f>
        <v>73.959999999999994</v>
      </c>
      <c r="E2321">
        <f>_xlfn.XLOOKUP(
  A2321,
  Repo!A:A,
  Repo!B:B,
  "",
  -1
)</f>
        <v>6.25</v>
      </c>
      <c r="F2321" s="10">
        <f>_xlfn.XLOOKUP(
  A2321,
  CPI!D:D,
  CPI!C:C,
  "",
  -1
)</f>
        <v>3.34</v>
      </c>
      <c r="G2321">
        <v>87785</v>
      </c>
    </row>
    <row r="2322" spans="1:7">
      <c r="A2322" s="1">
        <v>45741</v>
      </c>
      <c r="B2322">
        <v>87566</v>
      </c>
      <c r="C2322">
        <f>_xlfn.XLOOKUP(A2322, USD!A:A, USD!B:B, "")</f>
        <v>85.582999999999998</v>
      </c>
      <c r="D2322">
        <f>_xlfn.XLOOKUP(A2322, Brent!A:A, Brent!B:B, "")</f>
        <v>73.78</v>
      </c>
      <c r="E2322">
        <f>_xlfn.XLOOKUP(
  A2322,
  Repo!A:A,
  Repo!B:B,
  "",
  -1
)</f>
        <v>6.25</v>
      </c>
      <c r="F2322" s="10">
        <f>_xlfn.XLOOKUP(
  A2322,
  CPI!D:D,
  CPI!C:C,
  "",
  -1
)</f>
        <v>3.34</v>
      </c>
      <c r="G2322">
        <v>87313</v>
      </c>
    </row>
    <row r="2323" spans="1:7">
      <c r="A2323" s="1">
        <v>45742</v>
      </c>
      <c r="B2323">
        <v>87506</v>
      </c>
      <c r="C2323">
        <f>_xlfn.XLOOKUP(A2323, USD!A:A, USD!B:B, "")</f>
        <v>85.625</v>
      </c>
      <c r="D2323">
        <f>_xlfn.XLOOKUP(A2323, Brent!A:A, Brent!B:B, "")</f>
        <v>74.599999999999994</v>
      </c>
      <c r="E2323">
        <f>_xlfn.XLOOKUP(
  A2323,
  Repo!A:A,
  Repo!B:B,
  "",
  -1
)</f>
        <v>6.25</v>
      </c>
      <c r="F2323" s="10">
        <f>_xlfn.XLOOKUP(
  A2323,
  CPI!D:D,
  CPI!C:C,
  "",
  -1
)</f>
        <v>3.34</v>
      </c>
      <c r="G2323">
        <v>87566</v>
      </c>
    </row>
    <row r="2324" spans="1:7">
      <c r="A2324" s="1">
        <v>45743</v>
      </c>
      <c r="B2324">
        <v>88213</v>
      </c>
      <c r="C2324">
        <f>_xlfn.XLOOKUP(A2324, USD!A:A, USD!B:B, "")</f>
        <v>85.64</v>
      </c>
      <c r="D2324">
        <f>_xlfn.XLOOKUP(A2324, Brent!A:A, Brent!B:B, "")</f>
        <v>74.72</v>
      </c>
      <c r="E2324">
        <f>_xlfn.XLOOKUP(
  A2324,
  Repo!A:A,
  Repo!B:B,
  "",
  -1
)</f>
        <v>6.25</v>
      </c>
      <c r="F2324" s="10">
        <f>_xlfn.XLOOKUP(
  A2324,
  CPI!D:D,
  CPI!C:C,
  "",
  -1
)</f>
        <v>3.34</v>
      </c>
      <c r="G2324">
        <v>87506</v>
      </c>
    </row>
    <row r="2325" spans="1:7">
      <c r="A2325" s="1">
        <v>45744</v>
      </c>
      <c r="B2325">
        <v>88759</v>
      </c>
      <c r="C2325">
        <f>_xlfn.XLOOKUP(A2325, USD!A:A, USD!B:B, "")</f>
        <v>85.534000000000006</v>
      </c>
      <c r="D2325">
        <f>_xlfn.XLOOKUP(A2325, Brent!A:A, Brent!B:B, "")</f>
        <v>74.69</v>
      </c>
      <c r="E2325">
        <f>_xlfn.XLOOKUP(
  A2325,
  Repo!A:A,
  Repo!B:B,
  "",
  -1
)</f>
        <v>6.25</v>
      </c>
      <c r="F2325" s="10">
        <f>_xlfn.XLOOKUP(
  A2325,
  CPI!D:D,
  CPI!C:C,
  "",
  -1
)</f>
        <v>3.34</v>
      </c>
      <c r="G2325">
        <v>88213</v>
      </c>
    </row>
    <row r="2326" spans="1:7">
      <c r="A2326" s="1">
        <v>45747</v>
      </c>
      <c r="B2326">
        <v>90138</v>
      </c>
      <c r="C2326">
        <f>_xlfn.XLOOKUP(A2326, USD!A:A, USD!B:B, "")</f>
        <v>85.45</v>
      </c>
      <c r="D2326">
        <f>_xlfn.XLOOKUP(A2326, Brent!A:A, Brent!B:B, "")</f>
        <v>77.23</v>
      </c>
      <c r="E2326">
        <f>_xlfn.XLOOKUP(
  A2326,
  Repo!A:A,
  Repo!B:B,
  "",
  -1
)</f>
        <v>6.25</v>
      </c>
      <c r="F2326" s="10">
        <f>_xlfn.XLOOKUP(
  A2326,
  CPI!D:D,
  CPI!C:C,
  "",
  -1
)</f>
        <v>3.34</v>
      </c>
      <c r="G2326">
        <v>88759</v>
      </c>
    </row>
    <row r="2327" spans="1:7">
      <c r="A2327" s="1">
        <v>45748</v>
      </c>
      <c r="B2327">
        <v>90409</v>
      </c>
      <c r="C2327">
        <f>_xlfn.XLOOKUP(A2327, USD!A:A, USD!B:B, "")</f>
        <v>85.57</v>
      </c>
      <c r="D2327">
        <f>_xlfn.XLOOKUP(A2327, Brent!A:A, Brent!B:B, "")</f>
        <v>77.78</v>
      </c>
      <c r="E2327">
        <f>_xlfn.XLOOKUP(
  A2327,
  Repo!A:A,
  Repo!B:B,
  "",
  -1
)</f>
        <v>6.25</v>
      </c>
      <c r="F2327" s="10">
        <f>_xlfn.XLOOKUP(
  A2327,
  CPI!D:D,
  CPI!C:C,
  "",
  -1
)</f>
        <v>3.16</v>
      </c>
      <c r="G2327">
        <v>90138</v>
      </c>
    </row>
    <row r="2328" spans="1:7">
      <c r="A2328" s="1">
        <v>45749</v>
      </c>
      <c r="B2328">
        <v>90364</v>
      </c>
      <c r="C2328">
        <f>_xlfn.XLOOKUP(A2328, USD!A:A, USD!B:B, "")</f>
        <v>85.45</v>
      </c>
      <c r="D2328">
        <f>_xlfn.XLOOKUP(A2328, Brent!A:A, Brent!B:B, "")</f>
        <v>77.27</v>
      </c>
      <c r="E2328">
        <f>_xlfn.XLOOKUP(
  A2328,
  Repo!A:A,
  Repo!B:B,
  "",
  -1
)</f>
        <v>6.25</v>
      </c>
      <c r="F2328" s="10">
        <f>_xlfn.XLOOKUP(
  A2328,
  CPI!D:D,
  CPI!C:C,
  "",
  -1
)</f>
        <v>3.16</v>
      </c>
      <c r="G2328">
        <v>90409</v>
      </c>
    </row>
    <row r="2329" spans="1:7">
      <c r="A2329" s="1">
        <v>45750</v>
      </c>
      <c r="B2329">
        <v>89763</v>
      </c>
      <c r="C2329">
        <f>_xlfn.XLOOKUP(A2329, USD!A:A, USD!B:B, "")</f>
        <v>85.247</v>
      </c>
      <c r="D2329">
        <f>_xlfn.XLOOKUP(A2329, Brent!A:A, Brent!B:B, "")</f>
        <v>72.540000000000006</v>
      </c>
      <c r="E2329">
        <f>_xlfn.XLOOKUP(
  A2329,
  Repo!A:A,
  Repo!B:B,
  "",
  -1
)</f>
        <v>6.25</v>
      </c>
      <c r="F2329" s="10">
        <f>_xlfn.XLOOKUP(
  A2329,
  CPI!D:D,
  CPI!C:C,
  "",
  -1
)</f>
        <v>3.16</v>
      </c>
      <c r="G2329">
        <v>90364</v>
      </c>
    </row>
    <row r="2330" spans="1:7">
      <c r="A2330" s="1">
        <v>45751</v>
      </c>
      <c r="B2330">
        <v>87940</v>
      </c>
      <c r="C2330">
        <f>_xlfn.XLOOKUP(A2330, USD!A:A, USD!B:B, "")</f>
        <v>85.501999999999995</v>
      </c>
      <c r="D2330">
        <f>_xlfn.XLOOKUP(A2330, Brent!A:A, Brent!B:B, "")</f>
        <v>68.36</v>
      </c>
      <c r="E2330">
        <f>_xlfn.XLOOKUP(
  A2330,
  Repo!A:A,
  Repo!B:B,
  "",
  -1
)</f>
        <v>6.25</v>
      </c>
      <c r="F2330" s="10">
        <f>_xlfn.XLOOKUP(
  A2330,
  CPI!D:D,
  CPI!C:C,
  "",
  -1
)</f>
        <v>3.16</v>
      </c>
      <c r="G2330">
        <v>89763</v>
      </c>
    </row>
    <row r="2331" spans="1:7">
      <c r="A2331" s="1">
        <v>45754</v>
      </c>
      <c r="B2331">
        <v>86819</v>
      </c>
      <c r="C2331">
        <f>_xlfn.XLOOKUP(A2331, USD!A:A, USD!B:B, "")</f>
        <v>85.853999999999999</v>
      </c>
      <c r="D2331">
        <f>_xlfn.XLOOKUP(A2331, Brent!A:A, Brent!B:B, "")</f>
        <v>66.13</v>
      </c>
      <c r="E2331">
        <f>_xlfn.XLOOKUP(
  A2331,
  Repo!A:A,
  Repo!B:B,
  "",
  -1
)</f>
        <v>6.25</v>
      </c>
      <c r="F2331" s="10">
        <f>_xlfn.XLOOKUP(
  A2331,
  CPI!D:D,
  CPI!C:C,
  "",
  -1
)</f>
        <v>3.16</v>
      </c>
      <c r="G2331">
        <v>87940</v>
      </c>
    </row>
    <row r="2332" spans="1:7">
      <c r="A2332" s="1">
        <v>45755</v>
      </c>
      <c r="B2332">
        <v>87449</v>
      </c>
      <c r="C2332">
        <f>_xlfn.XLOOKUP(A2332, USD!A:A, USD!B:B, "")</f>
        <v>86.24</v>
      </c>
      <c r="D2332">
        <f>_xlfn.XLOOKUP(A2332, Brent!A:A, Brent!B:B, "")</f>
        <v>64.86</v>
      </c>
      <c r="E2332">
        <f>_xlfn.XLOOKUP(
  A2332,
  Repo!A:A,
  Repo!B:B,
  "",
  -1
)</f>
        <v>6.25</v>
      </c>
      <c r="F2332" s="10">
        <f>_xlfn.XLOOKUP(
  A2332,
  CPI!D:D,
  CPI!C:C,
  "",
  -1
)</f>
        <v>3.16</v>
      </c>
      <c r="G2332">
        <v>86819</v>
      </c>
    </row>
    <row r="2333" spans="1:7">
      <c r="A2333" s="1">
        <v>45756</v>
      </c>
      <c r="B2333">
        <v>89489</v>
      </c>
      <c r="C2333">
        <f>_xlfn.XLOOKUP(A2333, USD!A:A, USD!B:B, "")</f>
        <v>86.65</v>
      </c>
      <c r="D2333">
        <f>_xlfn.XLOOKUP(A2333, Brent!A:A, Brent!B:B, "")</f>
        <v>67.3</v>
      </c>
      <c r="E2333">
        <f>_xlfn.XLOOKUP(
  A2333,
  Repo!A:A,
  Repo!B:B,
  "",
  -1
)</f>
        <v>6.25</v>
      </c>
      <c r="F2333" s="10">
        <f>_xlfn.XLOOKUP(
  A2333,
  CPI!D:D,
  CPI!C:C,
  "",
  -1
)</f>
        <v>3.16</v>
      </c>
      <c r="G2333">
        <v>87449</v>
      </c>
    </row>
    <row r="2334" spans="1:7">
      <c r="A2334" s="1">
        <v>45757</v>
      </c>
      <c r="B2334">
        <v>91646</v>
      </c>
      <c r="C2334">
        <f>_xlfn.XLOOKUP(A2334, USD!A:A, USD!B:B, "")</f>
        <v>86.19</v>
      </c>
      <c r="D2334">
        <f>_xlfn.XLOOKUP(A2334, Brent!A:A, Brent!B:B, "")</f>
        <v>65.37</v>
      </c>
      <c r="E2334">
        <f>_xlfn.XLOOKUP(
  A2334,
  Repo!A:A,
  Repo!B:B,
  "",
  -1
)</f>
        <v>6.25</v>
      </c>
      <c r="F2334" s="10">
        <f>_xlfn.XLOOKUP(
  A2334,
  CPI!D:D,
  CPI!C:C,
  "",
  -1
)</f>
        <v>3.16</v>
      </c>
      <c r="G2334">
        <v>89489</v>
      </c>
    </row>
    <row r="2335" spans="1:7">
      <c r="A2335" s="1">
        <v>45758</v>
      </c>
      <c r="B2335">
        <v>93280</v>
      </c>
      <c r="C2335">
        <f>_xlfn.XLOOKUP(A2335, USD!A:A, USD!B:B, "")</f>
        <v>86.19</v>
      </c>
      <c r="D2335">
        <f>_xlfn.XLOOKUP(A2335, Brent!A:A, Brent!B:B, "")</f>
        <v>66.83</v>
      </c>
      <c r="E2335">
        <f>_xlfn.XLOOKUP(
  A2335,
  Repo!A:A,
  Repo!B:B,
  "",
  -1
)</f>
        <v>6.25</v>
      </c>
      <c r="F2335" s="10">
        <f>_xlfn.XLOOKUP(
  A2335,
  CPI!D:D,
  CPI!C:C,
  "",
  -1
)</f>
        <v>3.16</v>
      </c>
      <c r="G2335">
        <v>91646</v>
      </c>
    </row>
    <row r="2336" spans="1:7">
      <c r="A2336" s="1">
        <v>45761</v>
      </c>
      <c r="B2336">
        <v>92835</v>
      </c>
      <c r="C2336">
        <f>_xlfn.XLOOKUP(A2336, USD!A:A, USD!B:B, "")</f>
        <v>86.021000000000001</v>
      </c>
      <c r="D2336">
        <f>_xlfn.XLOOKUP(A2336, Brent!A:A, Brent!B:B, "")</f>
        <v>67.180000000000007</v>
      </c>
      <c r="E2336">
        <f>_xlfn.XLOOKUP(
  A2336,
  Repo!A:A,
  Repo!B:B,
  "",
  -1
)</f>
        <v>6.25</v>
      </c>
      <c r="F2336" s="10">
        <f>_xlfn.XLOOKUP(
  A2336,
  CPI!D:D,
  CPI!C:C,
  "",
  -1
)</f>
        <v>3.16</v>
      </c>
      <c r="G2336">
        <v>93280</v>
      </c>
    </row>
    <row r="2337" spans="1:7">
      <c r="A2337" s="1">
        <v>45762</v>
      </c>
      <c r="B2337">
        <v>93071</v>
      </c>
      <c r="C2337">
        <f>_xlfn.XLOOKUP(A2337, USD!A:A, USD!B:B, "")</f>
        <v>85.680999999999997</v>
      </c>
      <c r="D2337">
        <f>_xlfn.XLOOKUP(A2337, Brent!A:A, Brent!B:B, "")</f>
        <v>66.58</v>
      </c>
      <c r="E2337">
        <f>_xlfn.XLOOKUP(
  A2337,
  Repo!A:A,
  Repo!B:B,
  "",
  -1
)</f>
        <v>6.25</v>
      </c>
      <c r="F2337" s="10">
        <f>_xlfn.XLOOKUP(
  A2337,
  CPI!D:D,
  CPI!C:C,
  "",
  -1
)</f>
        <v>3.16</v>
      </c>
      <c r="G2337">
        <v>92835</v>
      </c>
    </row>
    <row r="2338" spans="1:7">
      <c r="A2338" s="1">
        <v>45763</v>
      </c>
      <c r="B2338">
        <v>95163</v>
      </c>
      <c r="C2338">
        <f>_xlfn.XLOOKUP(A2338, USD!A:A, USD!B:B, "")</f>
        <v>85.587000000000003</v>
      </c>
      <c r="D2338">
        <f>_xlfn.XLOOKUP(A2338, Brent!A:A, Brent!B:B, "")</f>
        <v>67.94</v>
      </c>
      <c r="E2338">
        <f>_xlfn.XLOOKUP(
  A2338,
  Repo!A:A,
  Repo!B:B,
  "",
  -1
)</f>
        <v>6.25</v>
      </c>
      <c r="F2338" s="10">
        <f>_xlfn.XLOOKUP(
  A2338,
  CPI!D:D,
  CPI!C:C,
  "",
  -1
)</f>
        <v>3.16</v>
      </c>
      <c r="G2338">
        <v>93071</v>
      </c>
    </row>
    <row r="2339" spans="1:7">
      <c r="A2339" s="1">
        <v>45764</v>
      </c>
      <c r="B2339">
        <v>94784</v>
      </c>
      <c r="C2339">
        <f>_xlfn.XLOOKUP(A2339, USD!A:A, USD!B:B, "")</f>
        <v>85.38</v>
      </c>
      <c r="D2339">
        <f>_xlfn.XLOOKUP(A2339, Brent!A:A, Brent!B:B, "")</f>
        <v>69.33</v>
      </c>
      <c r="E2339">
        <f>_xlfn.XLOOKUP(
  A2339,
  Repo!A:A,
  Repo!B:B,
  "",
  -1
)</f>
        <v>6.25</v>
      </c>
      <c r="F2339" s="10">
        <f>_xlfn.XLOOKUP(
  A2339,
  CPI!D:D,
  CPI!C:C,
  "",
  -1
)</f>
        <v>3.16</v>
      </c>
      <c r="G2339">
        <v>95163</v>
      </c>
    </row>
    <row r="2340" spans="1:7">
      <c r="A2340" s="1">
        <v>45769</v>
      </c>
      <c r="B2340">
        <v>97057</v>
      </c>
      <c r="C2340">
        <f>_xlfn.XLOOKUP(A2340, USD!A:A, USD!B:B, "")</f>
        <v>85.18</v>
      </c>
      <c r="D2340">
        <f>_xlfn.XLOOKUP(A2340, Brent!A:A, Brent!B:B, "")</f>
        <v>68.930000000000007</v>
      </c>
      <c r="E2340">
        <f>_xlfn.XLOOKUP(
  A2340,
  Repo!A:A,
  Repo!B:B,
  "",
  -1
)</f>
        <v>6.25</v>
      </c>
      <c r="F2340" s="10">
        <f>_xlfn.XLOOKUP(
  A2340,
  CPI!D:D,
  CPI!C:C,
  "",
  -1
)</f>
        <v>3.16</v>
      </c>
      <c r="G2340">
        <v>94784</v>
      </c>
    </row>
    <row r="2341" spans="1:7">
      <c r="A2341" s="1">
        <v>45770</v>
      </c>
      <c r="B2341">
        <v>94530</v>
      </c>
      <c r="C2341">
        <f>_xlfn.XLOOKUP(A2341, USD!A:A, USD!B:B, "")</f>
        <v>85.35</v>
      </c>
      <c r="D2341">
        <f>_xlfn.XLOOKUP(A2341, Brent!A:A, Brent!B:B, "")</f>
        <v>68.260000000000005</v>
      </c>
      <c r="E2341">
        <f>_xlfn.XLOOKUP(
  A2341,
  Repo!A:A,
  Repo!B:B,
  "",
  -1
)</f>
        <v>6.25</v>
      </c>
      <c r="F2341" s="10">
        <f>_xlfn.XLOOKUP(
  A2341,
  CPI!D:D,
  CPI!C:C,
  "",
  -1
)</f>
        <v>3.16</v>
      </c>
      <c r="G2341">
        <v>97057</v>
      </c>
    </row>
    <row r="2342" spans="1:7">
      <c r="A2342" s="1">
        <v>45771</v>
      </c>
      <c r="B2342">
        <v>95807</v>
      </c>
      <c r="C2342">
        <f>_xlfn.XLOOKUP(A2342, USD!A:A, USD!B:B, "")</f>
        <v>85.325999999999993</v>
      </c>
      <c r="D2342">
        <f>_xlfn.XLOOKUP(A2342, Brent!A:A, Brent!B:B, "")</f>
        <v>67.5</v>
      </c>
      <c r="E2342">
        <f>_xlfn.XLOOKUP(
  A2342,
  Repo!A:A,
  Repo!B:B,
  "",
  -1
)</f>
        <v>6.25</v>
      </c>
      <c r="F2342" s="10">
        <f>_xlfn.XLOOKUP(
  A2342,
  CPI!D:D,
  CPI!C:C,
  "",
  -1
)</f>
        <v>3.16</v>
      </c>
      <c r="G2342">
        <v>94530</v>
      </c>
    </row>
    <row r="2343" spans="1:7">
      <c r="A2343" s="1">
        <v>45772</v>
      </c>
      <c r="B2343">
        <v>95071</v>
      </c>
      <c r="C2343">
        <f>_xlfn.XLOOKUP(A2343, USD!A:A, USD!B:B, "")</f>
        <v>85.385000000000005</v>
      </c>
      <c r="D2343">
        <f>_xlfn.XLOOKUP(A2343, Brent!A:A, Brent!B:B, "")</f>
        <v>66.989999999999995</v>
      </c>
      <c r="E2343">
        <f>_xlfn.XLOOKUP(
  A2343,
  Repo!A:A,
  Repo!B:B,
  "",
  -1
)</f>
        <v>6.25</v>
      </c>
      <c r="F2343" s="10">
        <f>_xlfn.XLOOKUP(
  A2343,
  CPI!D:D,
  CPI!C:C,
  "",
  -1
)</f>
        <v>3.16</v>
      </c>
      <c r="G2343">
        <v>95807</v>
      </c>
    </row>
    <row r="2344" spans="1:7">
      <c r="A2344" s="1">
        <v>45775</v>
      </c>
      <c r="B2344">
        <v>96159</v>
      </c>
      <c r="C2344">
        <f>_xlfn.XLOOKUP(A2344, USD!A:A, USD!B:B, "")</f>
        <v>85.162999999999997</v>
      </c>
      <c r="D2344">
        <f>_xlfn.XLOOKUP(A2344, Brent!A:A, Brent!B:B, "")</f>
        <v>66.13</v>
      </c>
      <c r="E2344">
        <f>_xlfn.XLOOKUP(
  A2344,
  Repo!A:A,
  Repo!B:B,
  "",
  -1
)</f>
        <v>6.25</v>
      </c>
      <c r="F2344" s="10">
        <f>_xlfn.XLOOKUP(
  A2344,
  CPI!D:D,
  CPI!C:C,
  "",
  -1
)</f>
        <v>3.16</v>
      </c>
      <c r="G2344">
        <v>95071</v>
      </c>
    </row>
    <row r="2345" spans="1:7">
      <c r="A2345" s="1">
        <v>45776</v>
      </c>
      <c r="B2345">
        <v>95559</v>
      </c>
      <c r="C2345">
        <f>_xlfn.XLOOKUP(A2345, USD!A:A, USD!B:B, "")</f>
        <v>85.155000000000001</v>
      </c>
      <c r="D2345">
        <f>_xlfn.XLOOKUP(A2345, Brent!A:A, Brent!B:B, "")</f>
        <v>64.040000000000006</v>
      </c>
      <c r="E2345">
        <f>_xlfn.XLOOKUP(
  A2345,
  Repo!A:A,
  Repo!B:B,
  "",
  -1
)</f>
        <v>6.25</v>
      </c>
      <c r="F2345" s="10">
        <f>_xlfn.XLOOKUP(
  A2345,
  CPI!D:D,
  CPI!C:C,
  "",
  -1
)</f>
        <v>3.16</v>
      </c>
      <c r="G2345">
        <v>96159</v>
      </c>
    </row>
    <row r="2346" spans="1:7">
      <c r="A2346" s="1">
        <v>45777</v>
      </c>
      <c r="B2346">
        <v>94718</v>
      </c>
      <c r="C2346">
        <f>_xlfn.XLOOKUP(A2346, USD!A:A, USD!B:B, "")</f>
        <v>84.599000000000004</v>
      </c>
      <c r="D2346">
        <f>_xlfn.XLOOKUP(A2346, Brent!A:A, Brent!B:B, "")</f>
        <v>63.37</v>
      </c>
      <c r="E2346">
        <f>_xlfn.XLOOKUP(
  A2346,
  Repo!A:A,
  Repo!B:B,
  "",
  -1
)</f>
        <v>6</v>
      </c>
      <c r="F2346" s="10">
        <f>_xlfn.XLOOKUP(
  A2346,
  CPI!D:D,
  CPI!C:C,
  "",
  -1
)</f>
        <v>3.16</v>
      </c>
      <c r="G2346">
        <v>95559</v>
      </c>
    </row>
    <row r="2347" spans="1:7">
      <c r="A2347" s="1">
        <v>45778</v>
      </c>
      <c r="B2347">
        <v>92382</v>
      </c>
      <c r="C2347">
        <f>_xlfn.XLOOKUP(A2347, USD!A:A, USD!B:B, "")</f>
        <v>84.59</v>
      </c>
      <c r="D2347">
        <f>_xlfn.XLOOKUP(A2347, Brent!A:A, Brent!B:B, "")</f>
        <v>62.37</v>
      </c>
      <c r="E2347">
        <f>_xlfn.XLOOKUP(
  A2347,
  Repo!A:A,
  Repo!B:B,
  "",
  -1
)</f>
        <v>6</v>
      </c>
      <c r="F2347" s="10">
        <f>_xlfn.XLOOKUP(
  A2347,
  CPI!D:D,
  CPI!C:C,
  "",
  -1
)</f>
        <v>2.82</v>
      </c>
      <c r="G2347">
        <v>94718</v>
      </c>
    </row>
    <row r="2348" spans="1:7">
      <c r="A2348" s="1">
        <v>45779</v>
      </c>
      <c r="B2348">
        <v>92692</v>
      </c>
      <c r="C2348">
        <f>_xlfn.XLOOKUP(A2348, USD!A:A, USD!B:B, "")</f>
        <v>84.527000000000001</v>
      </c>
      <c r="D2348">
        <f>_xlfn.XLOOKUP(A2348, Brent!A:A, Brent!B:B, "")</f>
        <v>61.57</v>
      </c>
      <c r="E2348">
        <f>_xlfn.XLOOKUP(
  A2348,
  Repo!A:A,
  Repo!B:B,
  "",
  -1
)</f>
        <v>6</v>
      </c>
      <c r="F2348" s="10">
        <f>_xlfn.XLOOKUP(
  A2348,
  CPI!D:D,
  CPI!C:C,
  "",
  -1
)</f>
        <v>2.82</v>
      </c>
      <c r="G2348">
        <v>92382</v>
      </c>
    </row>
    <row r="2349" spans="1:7">
      <c r="A2349" s="1">
        <v>45783</v>
      </c>
      <c r="B2349">
        <v>97460</v>
      </c>
      <c r="C2349">
        <f>_xlfn.XLOOKUP(A2349, USD!A:A, USD!B:B, "")</f>
        <v>84.305000000000007</v>
      </c>
      <c r="D2349">
        <f>_xlfn.XLOOKUP(A2349, Brent!A:A, Brent!B:B, "")</f>
        <v>62.37</v>
      </c>
      <c r="E2349">
        <f>_xlfn.XLOOKUP(
  A2349,
  Repo!A:A,
  Repo!B:B,
  "",
  -1
)</f>
        <v>6</v>
      </c>
      <c r="F2349" s="10">
        <f>_xlfn.XLOOKUP(
  A2349,
  CPI!D:D,
  CPI!C:C,
  "",
  -1
)</f>
        <v>2.82</v>
      </c>
      <c r="G2349">
        <v>92692</v>
      </c>
    </row>
    <row r="2350" spans="1:7">
      <c r="A2350" s="1">
        <v>45784</v>
      </c>
      <c r="B2350">
        <v>97065</v>
      </c>
      <c r="C2350">
        <f>_xlfn.XLOOKUP(A2350, USD!A:A, USD!B:B, "")</f>
        <v>84.721000000000004</v>
      </c>
      <c r="D2350">
        <f>_xlfn.XLOOKUP(A2350, Brent!A:A, Brent!B:B, "")</f>
        <v>60.31</v>
      </c>
      <c r="E2350">
        <f>_xlfn.XLOOKUP(
  A2350,
  Repo!A:A,
  Repo!B:B,
  "",
  -1
)</f>
        <v>6</v>
      </c>
      <c r="F2350" s="10">
        <f>_xlfn.XLOOKUP(
  A2350,
  CPI!D:D,
  CPI!C:C,
  "",
  -1
)</f>
        <v>2.82</v>
      </c>
      <c r="G2350">
        <v>97460</v>
      </c>
    </row>
    <row r="2351" spans="1:7">
      <c r="A2351" s="1">
        <v>45785</v>
      </c>
      <c r="B2351">
        <v>96153</v>
      </c>
      <c r="C2351">
        <f>_xlfn.XLOOKUP(A2351, USD!A:A, USD!B:B, "")</f>
        <v>85.536000000000001</v>
      </c>
      <c r="D2351">
        <f>_xlfn.XLOOKUP(A2351, Brent!A:A, Brent!B:B, "")</f>
        <v>62.22</v>
      </c>
      <c r="E2351">
        <f>_xlfn.XLOOKUP(
  A2351,
  Repo!A:A,
  Repo!B:B,
  "",
  -1
)</f>
        <v>6</v>
      </c>
      <c r="F2351" s="10">
        <f>_xlfn.XLOOKUP(
  A2351,
  CPI!D:D,
  CPI!C:C,
  "",
  -1
)</f>
        <v>2.82</v>
      </c>
      <c r="G2351">
        <v>97065</v>
      </c>
    </row>
    <row r="2352" spans="1:7">
      <c r="A2352" s="1">
        <v>45786</v>
      </c>
      <c r="B2352">
        <v>96490</v>
      </c>
      <c r="C2352">
        <f>_xlfn.XLOOKUP(A2352, USD!A:A, USD!B:B, "")</f>
        <v>85.409000000000006</v>
      </c>
      <c r="D2352">
        <f>_xlfn.XLOOKUP(A2352, Brent!A:A, Brent!B:B, "")</f>
        <v>64.260000000000005</v>
      </c>
      <c r="E2352">
        <f>_xlfn.XLOOKUP(
  A2352,
  Repo!A:A,
  Repo!B:B,
  "",
  -1
)</f>
        <v>6</v>
      </c>
      <c r="F2352" s="10">
        <f>_xlfn.XLOOKUP(
  A2352,
  CPI!D:D,
  CPI!C:C,
  "",
  -1
)</f>
        <v>2.82</v>
      </c>
      <c r="G2352">
        <v>96153</v>
      </c>
    </row>
    <row r="2353" spans="1:7">
      <c r="A2353" s="1">
        <v>45789</v>
      </c>
      <c r="B2353">
        <v>92948</v>
      </c>
      <c r="C2353">
        <f>_xlfn.XLOOKUP(A2353, USD!A:A, USD!B:B, "")</f>
        <v>84.885000000000005</v>
      </c>
      <c r="D2353">
        <f>_xlfn.XLOOKUP(A2353, Brent!A:A, Brent!B:B, "")</f>
        <v>65.28</v>
      </c>
      <c r="E2353">
        <f>_xlfn.XLOOKUP(
  A2353,
  Repo!A:A,
  Repo!B:B,
  "",
  -1
)</f>
        <v>6</v>
      </c>
      <c r="F2353" s="10">
        <f>_xlfn.XLOOKUP(
  A2353,
  CPI!D:D,
  CPI!C:C,
  "",
  -1
)</f>
        <v>2.82</v>
      </c>
      <c r="G2353">
        <v>96490</v>
      </c>
    </row>
    <row r="2354" spans="1:7">
      <c r="A2354" s="1">
        <v>45790</v>
      </c>
      <c r="B2354">
        <v>93659</v>
      </c>
      <c r="C2354">
        <f>_xlfn.XLOOKUP(A2354, USD!A:A, USD!B:B, "")</f>
        <v>85.275000000000006</v>
      </c>
      <c r="D2354">
        <f>_xlfn.XLOOKUP(A2354, Brent!A:A, Brent!B:B, "")</f>
        <v>66.930000000000007</v>
      </c>
      <c r="E2354">
        <f>_xlfn.XLOOKUP(
  A2354,
  Repo!A:A,
  Repo!B:B,
  "",
  -1
)</f>
        <v>6</v>
      </c>
      <c r="F2354" s="10">
        <f>_xlfn.XLOOKUP(
  A2354,
  CPI!D:D,
  CPI!C:C,
  "",
  -1
)</f>
        <v>2.82</v>
      </c>
      <c r="G2354">
        <v>92948</v>
      </c>
    </row>
    <row r="2355" spans="1:7">
      <c r="A2355" s="1">
        <v>45791</v>
      </c>
      <c r="B2355">
        <v>92305</v>
      </c>
      <c r="C2355">
        <f>_xlfn.XLOOKUP(A2355, USD!A:A, USD!B:B, "")</f>
        <v>85.394999999999996</v>
      </c>
      <c r="D2355">
        <f>_xlfn.XLOOKUP(A2355, Brent!A:A, Brent!B:B, "")</f>
        <v>65.91</v>
      </c>
      <c r="E2355">
        <f>_xlfn.XLOOKUP(
  A2355,
  Repo!A:A,
  Repo!B:B,
  "",
  -1
)</f>
        <v>6</v>
      </c>
      <c r="F2355" s="10">
        <f>_xlfn.XLOOKUP(
  A2355,
  CPI!D:D,
  CPI!C:C,
  "",
  -1
)</f>
        <v>2.82</v>
      </c>
      <c r="G2355">
        <v>93659</v>
      </c>
    </row>
    <row r="2356" spans="1:7">
      <c r="A2356" s="1">
        <v>45792</v>
      </c>
      <c r="B2356">
        <v>93155</v>
      </c>
      <c r="C2356">
        <f>_xlfn.XLOOKUP(A2356, USD!A:A, USD!B:B, "")</f>
        <v>85.546000000000006</v>
      </c>
      <c r="D2356">
        <f>_xlfn.XLOOKUP(A2356, Brent!A:A, Brent!B:B, "")</f>
        <v>64.36</v>
      </c>
      <c r="E2356">
        <f>_xlfn.XLOOKUP(
  A2356,
  Repo!A:A,
  Repo!B:B,
  "",
  -1
)</f>
        <v>6</v>
      </c>
      <c r="F2356" s="10">
        <f>_xlfn.XLOOKUP(
  A2356,
  CPI!D:D,
  CPI!C:C,
  "",
  -1
)</f>
        <v>2.82</v>
      </c>
      <c r="G2356">
        <v>92305</v>
      </c>
    </row>
    <row r="2357" spans="1:7">
      <c r="A2357" s="1">
        <v>45793</v>
      </c>
      <c r="B2357">
        <v>92443</v>
      </c>
      <c r="C2357">
        <f>_xlfn.XLOOKUP(A2357, USD!A:A, USD!B:B, "")</f>
        <v>85.5</v>
      </c>
      <c r="D2357">
        <f>_xlfn.XLOOKUP(A2357, Brent!A:A, Brent!B:B, "")</f>
        <v>65.2</v>
      </c>
      <c r="E2357">
        <f>_xlfn.XLOOKUP(
  A2357,
  Repo!A:A,
  Repo!B:B,
  "",
  -1
)</f>
        <v>6</v>
      </c>
      <c r="F2357" s="10">
        <f>_xlfn.XLOOKUP(
  A2357,
  CPI!D:D,
  CPI!C:C,
  "",
  -1
)</f>
        <v>2.82</v>
      </c>
      <c r="G2357">
        <v>93155</v>
      </c>
    </row>
    <row r="2358" spans="1:7">
      <c r="A2358" s="1">
        <v>45796</v>
      </c>
      <c r="B2358">
        <v>93314</v>
      </c>
      <c r="C2358">
        <f>_xlfn.XLOOKUP(A2358, USD!A:A, USD!B:B, "")</f>
        <v>85.39</v>
      </c>
      <c r="D2358">
        <f>_xlfn.XLOOKUP(A2358, Brent!A:A, Brent!B:B, "")</f>
        <v>66.25</v>
      </c>
      <c r="E2358">
        <f>_xlfn.XLOOKUP(
  A2358,
  Repo!A:A,
  Repo!B:B,
  "",
  -1
)</f>
        <v>6</v>
      </c>
      <c r="F2358" s="10">
        <f>_xlfn.XLOOKUP(
  A2358,
  CPI!D:D,
  CPI!C:C,
  "",
  -1
)</f>
        <v>2.82</v>
      </c>
      <c r="G2358">
        <v>92443</v>
      </c>
    </row>
    <row r="2359" spans="1:7">
      <c r="A2359" s="1">
        <v>45797</v>
      </c>
      <c r="B2359">
        <v>94761</v>
      </c>
      <c r="C2359">
        <f>_xlfn.XLOOKUP(A2359, USD!A:A, USD!B:B, "")</f>
        <v>85.54</v>
      </c>
      <c r="D2359">
        <f>_xlfn.XLOOKUP(A2359, Brent!A:A, Brent!B:B, "")</f>
        <v>66.930000000000007</v>
      </c>
      <c r="E2359">
        <f>_xlfn.XLOOKUP(
  A2359,
  Repo!A:A,
  Repo!B:B,
  "",
  -1
)</f>
        <v>6</v>
      </c>
      <c r="F2359" s="10">
        <f>_xlfn.XLOOKUP(
  A2359,
  CPI!D:D,
  CPI!C:C,
  "",
  -1
)</f>
        <v>2.82</v>
      </c>
      <c r="G2359">
        <v>93314</v>
      </c>
    </row>
    <row r="2360" spans="1:7">
      <c r="A2360" s="1">
        <v>45798</v>
      </c>
      <c r="B2360">
        <v>95473</v>
      </c>
      <c r="C2360">
        <f>_xlfn.XLOOKUP(A2360, USD!A:A, USD!B:B, "")</f>
        <v>85.6</v>
      </c>
      <c r="D2360">
        <f>_xlfn.XLOOKUP(A2360, Brent!A:A, Brent!B:B, "")</f>
        <v>65.86</v>
      </c>
      <c r="E2360">
        <f>_xlfn.XLOOKUP(
  A2360,
  Repo!A:A,
  Repo!B:B,
  "",
  -1
)</f>
        <v>6</v>
      </c>
      <c r="F2360" s="10">
        <f>_xlfn.XLOOKUP(
  A2360,
  CPI!D:D,
  CPI!C:C,
  "",
  -1
)</f>
        <v>2.82</v>
      </c>
      <c r="G2360">
        <v>94761</v>
      </c>
    </row>
    <row r="2361" spans="1:7">
      <c r="A2361" s="1">
        <v>45799</v>
      </c>
      <c r="B2361">
        <v>95461</v>
      </c>
      <c r="C2361">
        <f>_xlfn.XLOOKUP(A2361, USD!A:A, USD!B:B, "")</f>
        <v>85.995000000000005</v>
      </c>
      <c r="D2361">
        <f>_xlfn.XLOOKUP(A2361, Brent!A:A, Brent!B:B, "")</f>
        <v>64.87</v>
      </c>
      <c r="E2361">
        <f>_xlfn.XLOOKUP(
  A2361,
  Repo!A:A,
  Repo!B:B,
  "",
  -1
)</f>
        <v>6</v>
      </c>
      <c r="F2361" s="10">
        <f>_xlfn.XLOOKUP(
  A2361,
  CPI!D:D,
  CPI!C:C,
  "",
  -1
)</f>
        <v>2.82</v>
      </c>
      <c r="G2361">
        <v>95473</v>
      </c>
    </row>
    <row r="2362" spans="1:7">
      <c r="A2362" s="1">
        <v>45800</v>
      </c>
      <c r="B2362">
        <v>96210</v>
      </c>
      <c r="C2362">
        <f>_xlfn.XLOOKUP(A2362, USD!A:A, USD!B:B, "")</f>
        <v>85.2</v>
      </c>
      <c r="D2362">
        <f>_xlfn.XLOOKUP(A2362, Brent!A:A, Brent!B:B, "")</f>
        <v>65.41</v>
      </c>
      <c r="E2362">
        <f>_xlfn.XLOOKUP(
  A2362,
  Repo!A:A,
  Repo!B:B,
  "",
  -1
)</f>
        <v>6</v>
      </c>
      <c r="F2362" s="10">
        <f>_xlfn.XLOOKUP(
  A2362,
  CPI!D:D,
  CPI!C:C,
  "",
  -1
)</f>
        <v>2.82</v>
      </c>
      <c r="G2362">
        <v>95461</v>
      </c>
    </row>
    <row r="2363" spans="1:7">
      <c r="A2363" s="1">
        <v>45804</v>
      </c>
      <c r="B2363">
        <v>95055</v>
      </c>
      <c r="C2363">
        <f>_xlfn.XLOOKUP(A2363, USD!A:A, USD!B:B, "")</f>
        <v>85.33</v>
      </c>
      <c r="D2363">
        <f>_xlfn.XLOOKUP(A2363, Brent!A:A, Brent!B:B, "")</f>
        <v>64.319999999999993</v>
      </c>
      <c r="E2363">
        <f>_xlfn.XLOOKUP(
  A2363,
  Repo!A:A,
  Repo!B:B,
  "",
  -1
)</f>
        <v>6</v>
      </c>
      <c r="F2363" s="10">
        <f>_xlfn.XLOOKUP(
  A2363,
  CPI!D:D,
  CPI!C:C,
  "",
  -1
)</f>
        <v>2.82</v>
      </c>
      <c r="G2363">
        <v>96210</v>
      </c>
    </row>
    <row r="2364" spans="1:7">
      <c r="A2364" s="1">
        <v>45805</v>
      </c>
      <c r="B2364">
        <v>95177</v>
      </c>
      <c r="C2364">
        <f>_xlfn.XLOOKUP(A2364, USD!A:A, USD!B:B, "")</f>
        <v>85.414000000000001</v>
      </c>
      <c r="D2364">
        <f>_xlfn.XLOOKUP(A2364, Brent!A:A, Brent!B:B, "")</f>
        <v>65.72</v>
      </c>
      <c r="E2364">
        <f>_xlfn.XLOOKUP(
  A2364,
  Repo!A:A,
  Repo!B:B,
  "",
  -1
)</f>
        <v>6</v>
      </c>
      <c r="F2364" s="10">
        <f>_xlfn.XLOOKUP(
  A2364,
  CPI!D:D,
  CPI!C:C,
  "",
  -1
)</f>
        <v>2.82</v>
      </c>
      <c r="G2364">
        <v>95055</v>
      </c>
    </row>
    <row r="2365" spans="1:7">
      <c r="A2365" s="1">
        <v>45806</v>
      </c>
      <c r="B2365">
        <v>95295</v>
      </c>
      <c r="C2365">
        <f>_xlfn.XLOOKUP(A2365, USD!A:A, USD!B:B, "")</f>
        <v>85.418999999999997</v>
      </c>
      <c r="D2365">
        <f>_xlfn.XLOOKUP(A2365, Brent!A:A, Brent!B:B, "")</f>
        <v>64.599999999999994</v>
      </c>
      <c r="E2365">
        <f>_xlfn.XLOOKUP(
  A2365,
  Repo!A:A,
  Repo!B:B,
  "",
  -1
)</f>
        <v>6</v>
      </c>
      <c r="F2365" s="10">
        <f>_xlfn.XLOOKUP(
  A2365,
  CPI!D:D,
  CPI!C:C,
  "",
  -1
)</f>
        <v>2.82</v>
      </c>
      <c r="G2365">
        <v>95177</v>
      </c>
    </row>
    <row r="2366" spans="1:7">
      <c r="A2366" s="1">
        <v>45807</v>
      </c>
      <c r="B2366">
        <v>94712</v>
      </c>
      <c r="C2366">
        <f>_xlfn.XLOOKUP(A2366, USD!A:A, USD!B:B, "")</f>
        <v>85.525000000000006</v>
      </c>
      <c r="D2366">
        <f>_xlfn.XLOOKUP(A2366, Brent!A:A, Brent!B:B, "")</f>
        <v>64.319999999999993</v>
      </c>
      <c r="E2366">
        <f>_xlfn.XLOOKUP(
  A2366,
  Repo!A:A,
  Repo!B:B,
  "",
  -1
)</f>
        <v>6</v>
      </c>
      <c r="F2366" s="10">
        <f>_xlfn.XLOOKUP(
  A2366,
  CPI!D:D,
  CPI!C:C,
  "",
  -1
)</f>
        <v>2.82</v>
      </c>
      <c r="G2366">
        <v>95295</v>
      </c>
    </row>
    <row r="2367" spans="1:7">
      <c r="A2367" s="1">
        <v>45810</v>
      </c>
      <c r="B2367">
        <v>97393</v>
      </c>
      <c r="C2367">
        <f>_xlfn.XLOOKUP(A2367, USD!A:A, USD!B:B, "")</f>
        <v>85.353999999999999</v>
      </c>
      <c r="D2367">
        <f>_xlfn.XLOOKUP(A2367, Brent!A:A, Brent!B:B, "")</f>
        <v>66.55</v>
      </c>
      <c r="E2367">
        <f>_xlfn.XLOOKUP(
  A2367,
  Repo!A:A,
  Repo!B:B,
  "",
  -1
)</f>
        <v>6</v>
      </c>
      <c r="F2367" s="10">
        <f>_xlfn.XLOOKUP(
  A2367,
  CPI!D:D,
  CPI!C:C,
  "",
  -1
)</f>
        <v>2.1</v>
      </c>
      <c r="G2367">
        <v>94712</v>
      </c>
    </row>
    <row r="2368" spans="1:7">
      <c r="A2368" s="1">
        <v>45811</v>
      </c>
      <c r="B2368">
        <v>97208</v>
      </c>
      <c r="C2368">
        <f>_xlfn.XLOOKUP(A2368, USD!A:A, USD!B:B, "")</f>
        <v>85.709000000000003</v>
      </c>
      <c r="D2368">
        <f>_xlfn.XLOOKUP(A2368, Brent!A:A, Brent!B:B, "")</f>
        <v>67.48</v>
      </c>
      <c r="E2368">
        <f>_xlfn.XLOOKUP(
  A2368,
  Repo!A:A,
  Repo!B:B,
  "",
  -1
)</f>
        <v>6</v>
      </c>
      <c r="F2368" s="10">
        <f>_xlfn.XLOOKUP(
  A2368,
  CPI!D:D,
  CPI!C:C,
  "",
  -1
)</f>
        <v>2.1</v>
      </c>
      <c r="G2368">
        <v>97393</v>
      </c>
    </row>
    <row r="2369" spans="1:7">
      <c r="A2369" s="1">
        <v>45812</v>
      </c>
      <c r="B2369">
        <v>97973</v>
      </c>
      <c r="C2369">
        <f>_xlfn.XLOOKUP(A2369, USD!A:A, USD!B:B, "")</f>
        <v>85.875</v>
      </c>
      <c r="D2369">
        <f>_xlfn.XLOOKUP(A2369, Brent!A:A, Brent!B:B, "")</f>
        <v>66.69</v>
      </c>
      <c r="E2369">
        <f>_xlfn.XLOOKUP(
  A2369,
  Repo!A:A,
  Repo!B:B,
  "",
  -1
)</f>
        <v>6</v>
      </c>
      <c r="F2369" s="10">
        <f>_xlfn.XLOOKUP(
  A2369,
  CPI!D:D,
  CPI!C:C,
  "",
  -1
)</f>
        <v>2.1</v>
      </c>
      <c r="G2369">
        <v>97208</v>
      </c>
    </row>
    <row r="2370" spans="1:7">
      <c r="A2370" s="1">
        <v>45813</v>
      </c>
      <c r="B2370">
        <v>97415</v>
      </c>
      <c r="C2370">
        <f>_xlfn.XLOOKUP(A2370, USD!A:A, USD!B:B, "")</f>
        <v>85.834999999999994</v>
      </c>
      <c r="D2370">
        <f>_xlfn.XLOOKUP(A2370, Brent!A:A, Brent!B:B, "")</f>
        <v>67.14</v>
      </c>
      <c r="E2370">
        <f>_xlfn.XLOOKUP(
  A2370,
  Repo!A:A,
  Repo!B:B,
  "",
  -1
)</f>
        <v>6</v>
      </c>
      <c r="F2370" s="10">
        <f>_xlfn.XLOOKUP(
  A2370,
  CPI!D:D,
  CPI!C:C,
  "",
  -1
)</f>
        <v>2.1</v>
      </c>
      <c r="G2370">
        <v>97973</v>
      </c>
    </row>
    <row r="2371" spans="1:7">
      <c r="A2371" s="1">
        <v>45814</v>
      </c>
      <c r="B2371">
        <v>96645</v>
      </c>
      <c r="C2371">
        <f>_xlfn.XLOOKUP(A2371, USD!A:A, USD!B:B, "")</f>
        <v>85.786000000000001</v>
      </c>
      <c r="D2371">
        <f>_xlfn.XLOOKUP(A2371, Brent!A:A, Brent!B:B, "")</f>
        <v>68.02</v>
      </c>
      <c r="E2371">
        <f>_xlfn.XLOOKUP(
  A2371,
  Repo!A:A,
  Repo!B:B,
  "",
  -1
)</f>
        <v>6</v>
      </c>
      <c r="F2371" s="10">
        <f>_xlfn.XLOOKUP(
  A2371,
  CPI!D:D,
  CPI!C:C,
  "",
  -1
)</f>
        <v>2.1</v>
      </c>
      <c r="G2371">
        <v>97415</v>
      </c>
    </row>
    <row r="2372" spans="1:7">
      <c r="A2372" s="1">
        <v>45817</v>
      </c>
      <c r="B2372">
        <v>96703</v>
      </c>
      <c r="C2372">
        <f>_xlfn.XLOOKUP(A2372, USD!A:A, USD!B:B, "")</f>
        <v>85.67</v>
      </c>
      <c r="D2372">
        <f>_xlfn.XLOOKUP(A2372, Brent!A:A, Brent!B:B, "")</f>
        <v>68.73</v>
      </c>
      <c r="E2372">
        <f>_xlfn.XLOOKUP(
  A2372,
  Repo!A:A,
  Repo!B:B,
  "",
  -1
)</f>
        <v>6</v>
      </c>
      <c r="F2372" s="10">
        <f>_xlfn.XLOOKUP(
  A2372,
  CPI!D:D,
  CPI!C:C,
  "",
  -1
)</f>
        <v>2.1</v>
      </c>
      <c r="G2372">
        <v>96645</v>
      </c>
    </row>
    <row r="2373" spans="1:7">
      <c r="A2373" s="1">
        <v>45818</v>
      </c>
      <c r="B2373">
        <v>96442</v>
      </c>
      <c r="C2373">
        <f>_xlfn.XLOOKUP(A2373, USD!A:A, USD!B:B, "")</f>
        <v>85.596000000000004</v>
      </c>
      <c r="D2373">
        <f>_xlfn.XLOOKUP(A2373, Brent!A:A, Brent!B:B, "")</f>
        <v>68.41</v>
      </c>
      <c r="E2373">
        <f>_xlfn.XLOOKUP(
  A2373,
  Repo!A:A,
  Repo!B:B,
  "",
  -1
)</f>
        <v>6</v>
      </c>
      <c r="F2373" s="10">
        <f>_xlfn.XLOOKUP(
  A2373,
  CPI!D:D,
  CPI!C:C,
  "",
  -1
)</f>
        <v>2.1</v>
      </c>
      <c r="G2373">
        <v>96703</v>
      </c>
    </row>
    <row r="2374" spans="1:7">
      <c r="A2374" s="1">
        <v>45819</v>
      </c>
      <c r="B2374">
        <v>96267</v>
      </c>
      <c r="C2374">
        <f>_xlfn.XLOOKUP(A2374, USD!A:A, USD!B:B, "")</f>
        <v>85.468000000000004</v>
      </c>
      <c r="D2374">
        <f>_xlfn.XLOOKUP(A2374, Brent!A:A, Brent!B:B, "")</f>
        <v>71.290000000000006</v>
      </c>
      <c r="E2374">
        <f>_xlfn.XLOOKUP(
  A2374,
  Repo!A:A,
  Repo!B:B,
  "",
  -1
)</f>
        <v>6</v>
      </c>
      <c r="F2374" s="10">
        <f>_xlfn.XLOOKUP(
  A2374,
  CPI!D:D,
  CPI!C:C,
  "",
  -1
)</f>
        <v>2.1</v>
      </c>
      <c r="G2374">
        <v>96442</v>
      </c>
    </row>
    <row r="2375" spans="1:7">
      <c r="A2375" s="1">
        <v>45820</v>
      </c>
      <c r="B2375">
        <v>97786</v>
      </c>
      <c r="C2375">
        <f>_xlfn.XLOOKUP(A2375, USD!A:A, USD!B:B, "")</f>
        <v>85.581000000000003</v>
      </c>
      <c r="D2375">
        <f>_xlfn.XLOOKUP(A2375, Brent!A:A, Brent!B:B, "")</f>
        <v>70.84</v>
      </c>
      <c r="E2375">
        <f>_xlfn.XLOOKUP(
  A2375,
  Repo!A:A,
  Repo!B:B,
  "",
  -1
)</f>
        <v>6</v>
      </c>
      <c r="F2375" s="10">
        <f>_xlfn.XLOOKUP(
  A2375,
  CPI!D:D,
  CPI!C:C,
  "",
  -1
)</f>
        <v>2.1</v>
      </c>
      <c r="G2375">
        <v>96267</v>
      </c>
    </row>
    <row r="2376" spans="1:7">
      <c r="A2376" s="1">
        <v>45821</v>
      </c>
      <c r="B2376">
        <v>99555</v>
      </c>
      <c r="C2376">
        <f>_xlfn.XLOOKUP(A2376, USD!A:A, USD!B:B, "")</f>
        <v>86.108000000000004</v>
      </c>
      <c r="D2376">
        <f>_xlfn.XLOOKUP(A2376, Brent!A:A, Brent!B:B, "")</f>
        <v>76</v>
      </c>
      <c r="E2376">
        <f>_xlfn.XLOOKUP(
  A2376,
  Repo!A:A,
  Repo!B:B,
  "",
  -1
)</f>
        <v>6</v>
      </c>
      <c r="F2376" s="10">
        <f>_xlfn.XLOOKUP(
  A2376,
  CPI!D:D,
  CPI!C:C,
  "",
  -1
)</f>
        <v>2.1</v>
      </c>
      <c r="G2376">
        <v>97786</v>
      </c>
    </row>
    <row r="2377" spans="1:7">
      <c r="A2377" s="1">
        <v>45824</v>
      </c>
      <c r="B2377">
        <v>98594</v>
      </c>
      <c r="C2377">
        <f>_xlfn.XLOOKUP(A2377, USD!A:A, USD!B:B, "")</f>
        <v>85.846000000000004</v>
      </c>
      <c r="D2377">
        <f>_xlfn.XLOOKUP(A2377, Brent!A:A, Brent!B:B, "")</f>
        <v>75.05</v>
      </c>
      <c r="E2377">
        <f>_xlfn.XLOOKUP(
  A2377,
  Repo!A:A,
  Repo!B:B,
  "",
  -1
)</f>
        <v>6</v>
      </c>
      <c r="F2377" s="10">
        <f>_xlfn.XLOOKUP(
  A2377,
  CPI!D:D,
  CPI!C:C,
  "",
  -1
)</f>
        <v>2.1</v>
      </c>
      <c r="G2377">
        <v>99555</v>
      </c>
    </row>
    <row r="2378" spans="1:7">
      <c r="A2378" s="1">
        <v>45825</v>
      </c>
      <c r="B2378">
        <v>98911</v>
      </c>
      <c r="C2378">
        <f>_xlfn.XLOOKUP(A2378, USD!A:A, USD!B:B, "")</f>
        <v>86.317999999999998</v>
      </c>
      <c r="D2378">
        <f>_xlfn.XLOOKUP(A2378, Brent!A:A, Brent!B:B, "")</f>
        <v>78.7</v>
      </c>
      <c r="E2378">
        <f>_xlfn.XLOOKUP(
  A2378,
  Repo!A:A,
  Repo!B:B,
  "",
  -1
)</f>
        <v>6</v>
      </c>
      <c r="F2378" s="10">
        <f>_xlfn.XLOOKUP(
  A2378,
  CPI!D:D,
  CPI!C:C,
  "",
  -1
)</f>
        <v>2.1</v>
      </c>
      <c r="G2378">
        <v>98594</v>
      </c>
    </row>
    <row r="2379" spans="1:7">
      <c r="A2379" s="1">
        <v>45826</v>
      </c>
      <c r="B2379">
        <v>99045</v>
      </c>
      <c r="C2379">
        <f>_xlfn.XLOOKUP(A2379, USD!A:A, USD!B:B, "")</f>
        <v>86.43</v>
      </c>
      <c r="D2379">
        <f>_xlfn.XLOOKUP(A2379, Brent!A:A, Brent!B:B, "")</f>
        <v>78.38</v>
      </c>
      <c r="E2379">
        <f>_xlfn.XLOOKUP(
  A2379,
  Repo!A:A,
  Repo!B:B,
  "",
  -1
)</f>
        <v>6</v>
      </c>
      <c r="F2379" s="10">
        <f>_xlfn.XLOOKUP(
  A2379,
  CPI!D:D,
  CPI!C:C,
  "",
  -1
)</f>
        <v>2.1</v>
      </c>
      <c r="G2379">
        <v>98911</v>
      </c>
    </row>
    <row r="2380" spans="1:7">
      <c r="A2380" s="1">
        <v>45827</v>
      </c>
      <c r="B2380">
        <v>98868</v>
      </c>
      <c r="C2380">
        <f>_xlfn.XLOOKUP(A2380, USD!A:A, USD!B:B, "")</f>
        <v>86.84</v>
      </c>
      <c r="D2380">
        <f>_xlfn.XLOOKUP(A2380, Brent!A:A, Brent!B:B, "")</f>
        <v>80.37</v>
      </c>
      <c r="E2380">
        <f>_xlfn.XLOOKUP(
  A2380,
  Repo!A:A,
  Repo!B:B,
  "",
  -1
)</f>
        <v>6</v>
      </c>
      <c r="F2380" s="10">
        <f>_xlfn.XLOOKUP(
  A2380,
  CPI!D:D,
  CPI!C:C,
  "",
  -1
)</f>
        <v>2.1</v>
      </c>
      <c r="G2380">
        <v>99045</v>
      </c>
    </row>
    <row r="2381" spans="1:7">
      <c r="A2381" s="1">
        <v>45828</v>
      </c>
      <c r="B2381">
        <v>98574</v>
      </c>
      <c r="C2381">
        <f>_xlfn.XLOOKUP(A2381, USD!A:A, USD!B:B, "")</f>
        <v>86.58</v>
      </c>
      <c r="D2381">
        <f>_xlfn.XLOOKUP(A2381, Brent!A:A, Brent!B:B, "")</f>
        <v>78.73</v>
      </c>
      <c r="E2381">
        <f>_xlfn.XLOOKUP(
  A2381,
  Repo!A:A,
  Repo!B:B,
  "",
  -1
)</f>
        <v>6</v>
      </c>
      <c r="F2381" s="10">
        <f>_xlfn.XLOOKUP(
  A2381,
  CPI!D:D,
  CPI!C:C,
  "",
  -1
)</f>
        <v>2.1</v>
      </c>
      <c r="G2381">
        <v>98868</v>
      </c>
    </row>
    <row r="2382" spans="1:7">
      <c r="A2382" s="1">
        <v>45831</v>
      </c>
      <c r="B2382">
        <v>98852</v>
      </c>
      <c r="C2382">
        <f>_xlfn.XLOOKUP(A2382, USD!A:A, USD!B:B, "")</f>
        <v>86.58</v>
      </c>
      <c r="D2382">
        <f>_xlfn.XLOOKUP(A2382, Brent!A:A, Brent!B:B, "")</f>
        <v>74.34</v>
      </c>
      <c r="E2382">
        <f>_xlfn.XLOOKUP(
  A2382,
  Repo!A:A,
  Repo!B:B,
  "",
  -1
)</f>
        <v>6</v>
      </c>
      <c r="F2382" s="10">
        <f>_xlfn.XLOOKUP(
  A2382,
  CPI!D:D,
  CPI!C:C,
  "",
  -1
)</f>
        <v>2.1</v>
      </c>
      <c r="G2382">
        <v>98574</v>
      </c>
    </row>
    <row r="2383" spans="1:7">
      <c r="A2383" s="1">
        <v>45832</v>
      </c>
      <c r="B2383">
        <v>96521</v>
      </c>
      <c r="C2383">
        <f>_xlfn.XLOOKUP(A2383, USD!A:A, USD!B:B, "")</f>
        <v>85.944000000000003</v>
      </c>
      <c r="D2383">
        <f>_xlfn.XLOOKUP(A2383, Brent!A:A, Brent!B:B, "")</f>
        <v>69.13</v>
      </c>
      <c r="E2383">
        <f>_xlfn.XLOOKUP(
  A2383,
  Repo!A:A,
  Repo!B:B,
  "",
  -1
)</f>
        <v>6</v>
      </c>
      <c r="F2383" s="10">
        <f>_xlfn.XLOOKUP(
  A2383,
  CPI!D:D,
  CPI!C:C,
  "",
  -1
)</f>
        <v>2.1</v>
      </c>
      <c r="G2383">
        <v>98852</v>
      </c>
    </row>
    <row r="2384" spans="1:7">
      <c r="A2384" s="1">
        <v>45833</v>
      </c>
      <c r="B2384">
        <v>96760</v>
      </c>
      <c r="C2384">
        <f>_xlfn.XLOOKUP(A2384, USD!A:A, USD!B:B, "")</f>
        <v>86.04</v>
      </c>
      <c r="D2384">
        <f>_xlfn.XLOOKUP(A2384, Brent!A:A, Brent!B:B, "")</f>
        <v>68.400000000000006</v>
      </c>
      <c r="E2384">
        <f>_xlfn.XLOOKUP(
  A2384,
  Repo!A:A,
  Repo!B:B,
  "",
  -1
)</f>
        <v>6</v>
      </c>
      <c r="F2384" s="10">
        <f>_xlfn.XLOOKUP(
  A2384,
  CPI!D:D,
  CPI!C:C,
  "",
  -1
)</f>
        <v>2.1</v>
      </c>
      <c r="G2384">
        <v>96521</v>
      </c>
    </row>
    <row r="2385" spans="1:7">
      <c r="A2385" s="1">
        <v>45834</v>
      </c>
      <c r="B2385">
        <v>96452</v>
      </c>
      <c r="C2385">
        <f>_xlfn.XLOOKUP(A2385, USD!A:A, USD!B:B, "")</f>
        <v>85.64</v>
      </c>
      <c r="D2385">
        <f>_xlfn.XLOOKUP(A2385, Brent!A:A, Brent!B:B, "")</f>
        <v>68.569999999999993</v>
      </c>
      <c r="E2385">
        <f>_xlfn.XLOOKUP(
  A2385,
  Repo!A:A,
  Repo!B:B,
  "",
  -1
)</f>
        <v>6</v>
      </c>
      <c r="F2385" s="10">
        <f>_xlfn.XLOOKUP(
  A2385,
  CPI!D:D,
  CPI!C:C,
  "",
  -1
)</f>
        <v>2.1</v>
      </c>
      <c r="G2385">
        <v>96760</v>
      </c>
    </row>
    <row r="2386" spans="1:7">
      <c r="A2386" s="1">
        <v>45835</v>
      </c>
      <c r="B2386">
        <v>94908</v>
      </c>
      <c r="C2386">
        <f>_xlfn.XLOOKUP(A2386, USD!A:A, USD!B:B, "")</f>
        <v>85.454999999999998</v>
      </c>
      <c r="D2386">
        <f>_xlfn.XLOOKUP(A2386, Brent!A:A, Brent!B:B, "")</f>
        <v>69.37</v>
      </c>
      <c r="E2386">
        <f>_xlfn.XLOOKUP(
  A2386,
  Repo!A:A,
  Repo!B:B,
  "",
  -1
)</f>
        <v>6</v>
      </c>
      <c r="F2386" s="10">
        <f>_xlfn.XLOOKUP(
  A2386,
  CPI!D:D,
  CPI!C:C,
  "",
  -1
)</f>
        <v>2.1</v>
      </c>
      <c r="G2386">
        <v>96452</v>
      </c>
    </row>
    <row r="2387" spans="1:7">
      <c r="A2387" s="1">
        <v>45838</v>
      </c>
      <c r="B2387">
        <v>95678</v>
      </c>
      <c r="C2387">
        <f>_xlfn.XLOOKUP(A2387, USD!A:A, USD!B:B, "")</f>
        <v>85.7</v>
      </c>
      <c r="D2387">
        <f>_xlfn.XLOOKUP(A2387, Brent!A:A, Brent!B:B, "")</f>
        <v>68.150000000000006</v>
      </c>
      <c r="E2387">
        <f>_xlfn.XLOOKUP(
  A2387,
  Repo!A:A,
  Repo!B:B,
  "",
  -1
)</f>
        <v>5.5</v>
      </c>
      <c r="F2387" s="10">
        <f>_xlfn.XLOOKUP(
  A2387,
  CPI!D:D,
  CPI!C:C,
  "",
  -1
)</f>
        <v>2.1</v>
      </c>
      <c r="G2387">
        <v>94908</v>
      </c>
    </row>
    <row r="2388" spans="1:7">
      <c r="A2388" s="1">
        <v>45839</v>
      </c>
      <c r="B2388">
        <v>97239</v>
      </c>
      <c r="C2388">
        <f>_xlfn.XLOOKUP(A2388, USD!A:A, USD!B:B, "")</f>
        <v>85.63</v>
      </c>
      <c r="D2388">
        <f>_xlfn.XLOOKUP(A2388, Brent!A:A, Brent!B:B, "")</f>
        <v>67.63</v>
      </c>
      <c r="E2388">
        <f>_xlfn.XLOOKUP(
  A2388,
  Repo!A:A,
  Repo!B:B,
  "",
  -1
)</f>
        <v>5.5</v>
      </c>
      <c r="F2388" s="10">
        <f>_xlfn.XLOOKUP(
  A2388,
  CPI!D:D,
  CPI!C:C,
  "",
  -1
)</f>
        <v>1.61</v>
      </c>
      <c r="G2388">
        <v>95678</v>
      </c>
    </row>
    <row r="2389" spans="1:7">
      <c r="A2389" s="1">
        <v>45840</v>
      </c>
      <c r="B2389">
        <v>97351</v>
      </c>
      <c r="C2389">
        <f>_xlfn.XLOOKUP(A2389, USD!A:A, USD!B:B, "")</f>
        <v>85.625</v>
      </c>
      <c r="D2389">
        <f>_xlfn.XLOOKUP(A2389, Brent!A:A, Brent!B:B, "")</f>
        <v>70.8</v>
      </c>
      <c r="E2389">
        <f>_xlfn.XLOOKUP(
  A2389,
  Repo!A:A,
  Repo!B:B,
  "",
  -1
)</f>
        <v>5.5</v>
      </c>
      <c r="F2389" s="10">
        <f>_xlfn.XLOOKUP(
  A2389,
  CPI!D:D,
  CPI!C:C,
  "",
  -1
)</f>
        <v>1.61</v>
      </c>
      <c r="G2389">
        <v>97239</v>
      </c>
    </row>
    <row r="2390" spans="1:7">
      <c r="A2390" s="1">
        <v>45841</v>
      </c>
      <c r="B2390">
        <v>96801</v>
      </c>
      <c r="C2390">
        <f>_xlfn.XLOOKUP(A2390, USD!A:A, USD!B:B, "")</f>
        <v>85.433000000000007</v>
      </c>
      <c r="D2390">
        <f>_xlfn.XLOOKUP(A2390, Brent!A:A, Brent!B:B, "")</f>
        <v>70.42</v>
      </c>
      <c r="E2390">
        <f>_xlfn.XLOOKUP(
  A2390,
  Repo!A:A,
  Repo!B:B,
  "",
  -1
)</f>
        <v>5.5</v>
      </c>
      <c r="F2390" s="10">
        <f>_xlfn.XLOOKUP(
  A2390,
  CPI!D:D,
  CPI!C:C,
  "",
  -1
)</f>
        <v>1.61</v>
      </c>
      <c r="G2390">
        <v>97351</v>
      </c>
    </row>
    <row r="2391" spans="1:7">
      <c r="A2391" s="1">
        <v>45842</v>
      </c>
      <c r="B2391">
        <v>96967</v>
      </c>
      <c r="C2391">
        <f>_xlfn.XLOOKUP(A2391, USD!A:A, USD!B:B, "")</f>
        <v>85.497</v>
      </c>
      <c r="D2391">
        <f>_xlfn.XLOOKUP(A2391, Brent!A:A, Brent!B:B, "")</f>
        <v>71.03</v>
      </c>
      <c r="E2391">
        <f>_xlfn.XLOOKUP(
  A2391,
  Repo!A:A,
  Repo!B:B,
  "",
  -1
)</f>
        <v>5.5</v>
      </c>
      <c r="F2391" s="10">
        <f>_xlfn.XLOOKUP(
  A2391,
  CPI!D:D,
  CPI!C:C,
  "",
  -1
)</f>
        <v>1.61</v>
      </c>
      <c r="G2391">
        <v>96801</v>
      </c>
    </row>
    <row r="2392" spans="1:7">
      <c r="A2392" s="1">
        <v>45845</v>
      </c>
      <c r="B2392">
        <v>97231</v>
      </c>
      <c r="C2392">
        <f>_xlfn.XLOOKUP(A2392, USD!A:A, USD!B:B, "")</f>
        <v>85.76</v>
      </c>
      <c r="D2392">
        <f>_xlfn.XLOOKUP(A2392, Brent!A:A, Brent!B:B, "")</f>
        <v>71.95</v>
      </c>
      <c r="E2392">
        <f>_xlfn.XLOOKUP(
  A2392,
  Repo!A:A,
  Repo!B:B,
  "",
  -1
)</f>
        <v>5.5</v>
      </c>
      <c r="F2392" s="10">
        <f>_xlfn.XLOOKUP(
  A2392,
  CPI!D:D,
  CPI!C:C,
  "",
  -1
)</f>
        <v>1.61</v>
      </c>
      <c r="G2392">
        <v>96967</v>
      </c>
    </row>
    <row r="2393" spans="1:7">
      <c r="A2393" s="1">
        <v>45846</v>
      </c>
      <c r="B2393">
        <v>96485</v>
      </c>
      <c r="C2393">
        <f>_xlfn.XLOOKUP(A2393, USD!A:A, USD!B:B, "")</f>
        <v>85.76</v>
      </c>
      <c r="D2393">
        <f>_xlfn.XLOOKUP(A2393, Brent!A:A, Brent!B:B, "")</f>
        <v>72.5</v>
      </c>
      <c r="E2393">
        <f>_xlfn.XLOOKUP(
  A2393,
  Repo!A:A,
  Repo!B:B,
  "",
  -1
)</f>
        <v>5.5</v>
      </c>
      <c r="F2393" s="10">
        <f>_xlfn.XLOOKUP(
  A2393,
  CPI!D:D,
  CPI!C:C,
  "",
  -1
)</f>
        <v>1.61</v>
      </c>
      <c r="G2393">
        <v>97231</v>
      </c>
    </row>
    <row r="2394" spans="1:7">
      <c r="A2394" s="1">
        <v>45847</v>
      </c>
      <c r="B2394">
        <v>96451</v>
      </c>
      <c r="C2394">
        <f>_xlfn.XLOOKUP(A2394, USD!A:A, USD!B:B, "")</f>
        <v>85.68</v>
      </c>
      <c r="D2394">
        <f>_xlfn.XLOOKUP(A2394, Brent!A:A, Brent!B:B, "")</f>
        <v>71.98</v>
      </c>
      <c r="E2394">
        <f>_xlfn.XLOOKUP(
  A2394,
  Repo!A:A,
  Repo!B:B,
  "",
  -1
)</f>
        <v>5.5</v>
      </c>
      <c r="F2394" s="10">
        <f>_xlfn.XLOOKUP(
  A2394,
  CPI!D:D,
  CPI!C:C,
  "",
  -1
)</f>
        <v>1.61</v>
      </c>
      <c r="G2394">
        <v>96485</v>
      </c>
    </row>
    <row r="2395" spans="1:7">
      <c r="A2395" s="1">
        <v>45848</v>
      </c>
      <c r="B2395">
        <v>96678</v>
      </c>
      <c r="C2395">
        <f>_xlfn.XLOOKUP(A2395, USD!A:A, USD!B:B, "")</f>
        <v>85.748999999999995</v>
      </c>
      <c r="D2395">
        <f>_xlfn.XLOOKUP(A2395, Brent!A:A, Brent!B:B, "")</f>
        <v>70.38</v>
      </c>
      <c r="E2395">
        <f>_xlfn.XLOOKUP(
  A2395,
  Repo!A:A,
  Repo!B:B,
  "",
  -1
)</f>
        <v>5.5</v>
      </c>
      <c r="F2395" s="10">
        <f>_xlfn.XLOOKUP(
  A2395,
  CPI!D:D,
  CPI!C:C,
  "",
  -1
)</f>
        <v>1.61</v>
      </c>
      <c r="G2395">
        <v>96451</v>
      </c>
    </row>
    <row r="2396" spans="1:7">
      <c r="A2396" s="1">
        <v>45849</v>
      </c>
      <c r="B2396">
        <v>97759</v>
      </c>
      <c r="C2396">
        <f>_xlfn.XLOOKUP(A2396, USD!A:A, USD!B:B, "")</f>
        <v>85.825000000000003</v>
      </c>
      <c r="D2396">
        <f>_xlfn.XLOOKUP(A2396, Brent!A:A, Brent!B:B, "")</f>
        <v>72.06</v>
      </c>
      <c r="E2396">
        <f>_xlfn.XLOOKUP(
  A2396,
  Repo!A:A,
  Repo!B:B,
  "",
  -1
)</f>
        <v>5.5</v>
      </c>
      <c r="F2396" s="10">
        <f>_xlfn.XLOOKUP(
  A2396,
  CPI!D:D,
  CPI!C:C,
  "",
  -1
)</f>
        <v>1.61</v>
      </c>
      <c r="G2396">
        <v>96678</v>
      </c>
    </row>
    <row r="2397" spans="1:7">
      <c r="A2397" s="1">
        <v>45852</v>
      </c>
      <c r="B2397">
        <v>97749</v>
      </c>
      <c r="C2397">
        <f>_xlfn.XLOOKUP(A2397, USD!A:A, USD!B:B, "")</f>
        <v>86.016999999999996</v>
      </c>
      <c r="D2397">
        <f>_xlfn.XLOOKUP(A2397, Brent!A:A, Brent!B:B, "")</f>
        <v>70.959999999999994</v>
      </c>
      <c r="E2397">
        <f>_xlfn.XLOOKUP(
  A2397,
  Repo!A:A,
  Repo!B:B,
  "",
  -1
)</f>
        <v>5.5</v>
      </c>
      <c r="F2397" s="10">
        <f>_xlfn.XLOOKUP(
  A2397,
  CPI!D:D,
  CPI!C:C,
  "",
  -1
)</f>
        <v>1.61</v>
      </c>
      <c r="G2397">
        <v>97759</v>
      </c>
    </row>
    <row r="2398" spans="1:7">
      <c r="A2398" s="1">
        <v>45853</v>
      </c>
      <c r="B2398">
        <v>97214</v>
      </c>
      <c r="C2398">
        <f>_xlfn.XLOOKUP(A2398, USD!A:A, USD!B:B, "")</f>
        <v>85.991</v>
      </c>
      <c r="D2398">
        <f>_xlfn.XLOOKUP(A2398, Brent!A:A, Brent!B:B, "")</f>
        <v>70.27</v>
      </c>
      <c r="E2398">
        <f>_xlfn.XLOOKUP(
  A2398,
  Repo!A:A,
  Repo!B:B,
  "",
  -1
)</f>
        <v>5.5</v>
      </c>
      <c r="F2398" s="10">
        <f>_xlfn.XLOOKUP(
  A2398,
  CPI!D:D,
  CPI!C:C,
  "",
  -1
)</f>
        <v>1.61</v>
      </c>
      <c r="G2398">
        <v>97749</v>
      </c>
    </row>
    <row r="2399" spans="1:7">
      <c r="A2399" s="1">
        <v>45854</v>
      </c>
      <c r="B2399">
        <v>97758</v>
      </c>
      <c r="C2399">
        <f>_xlfn.XLOOKUP(A2399, USD!A:A, USD!B:B, "")</f>
        <v>85.885000000000005</v>
      </c>
      <c r="D2399">
        <f>_xlfn.XLOOKUP(A2399, Brent!A:A, Brent!B:B, "")</f>
        <v>69.67</v>
      </c>
      <c r="E2399">
        <f>_xlfn.XLOOKUP(
  A2399,
  Repo!A:A,
  Repo!B:B,
  "",
  -1
)</f>
        <v>5.5</v>
      </c>
      <c r="F2399" s="10">
        <f>_xlfn.XLOOKUP(
  A2399,
  CPI!D:D,
  CPI!C:C,
  "",
  -1
)</f>
        <v>1.61</v>
      </c>
      <c r="G2399">
        <v>97214</v>
      </c>
    </row>
    <row r="2400" spans="1:7">
      <c r="A2400" s="1">
        <v>45855</v>
      </c>
      <c r="B2400">
        <v>97454</v>
      </c>
      <c r="C2400">
        <f>_xlfn.XLOOKUP(A2400, USD!A:A, USD!B:B, "")</f>
        <v>86.034999999999997</v>
      </c>
      <c r="D2400">
        <f>_xlfn.XLOOKUP(A2400, Brent!A:A, Brent!B:B, "")</f>
        <v>71.319999999999993</v>
      </c>
      <c r="E2400">
        <f>_xlfn.XLOOKUP(
  A2400,
  Repo!A:A,
  Repo!B:B,
  "",
  -1
)</f>
        <v>5.5</v>
      </c>
      <c r="F2400" s="10">
        <f>_xlfn.XLOOKUP(
  A2400,
  CPI!D:D,
  CPI!C:C,
  "",
  -1
)</f>
        <v>1.61</v>
      </c>
      <c r="G2400">
        <v>97758</v>
      </c>
    </row>
    <row r="2401" spans="1:7">
      <c r="A2401" s="1">
        <v>45856</v>
      </c>
      <c r="B2401">
        <v>97965</v>
      </c>
      <c r="C2401">
        <f>_xlfn.XLOOKUP(A2401, USD!A:A, USD!B:B, "")</f>
        <v>86.15</v>
      </c>
      <c r="D2401">
        <f>_xlfn.XLOOKUP(A2401, Brent!A:A, Brent!B:B, "")</f>
        <v>71.06</v>
      </c>
      <c r="E2401">
        <f>_xlfn.XLOOKUP(
  A2401,
  Repo!A:A,
  Repo!B:B,
  "",
  -1
)</f>
        <v>5.5</v>
      </c>
      <c r="F2401" s="10">
        <f>_xlfn.XLOOKUP(
  A2401,
  CPI!D:D,
  CPI!C:C,
  "",
  -1
)</f>
        <v>1.61</v>
      </c>
      <c r="G2401">
        <v>97454</v>
      </c>
    </row>
    <row r="2402" spans="1:7">
      <c r="A2402" s="1">
        <v>45859</v>
      </c>
      <c r="B2402">
        <v>99217</v>
      </c>
      <c r="C2402">
        <f>_xlfn.XLOOKUP(A2402, USD!A:A, USD!B:B, "")</f>
        <v>86.194999999999993</v>
      </c>
      <c r="D2402">
        <f>_xlfn.XLOOKUP(A2402, Brent!A:A, Brent!B:B, "")</f>
        <v>71.92</v>
      </c>
      <c r="E2402">
        <f>_xlfn.XLOOKUP(
  A2402,
  Repo!A:A,
  Repo!B:B,
  "",
  -1
)</f>
        <v>5.5</v>
      </c>
      <c r="F2402" s="10">
        <f>_xlfn.XLOOKUP(
  A2402,
  CPI!D:D,
  CPI!C:C,
  "",
  -1
)</f>
        <v>1.61</v>
      </c>
      <c r="G2402">
        <v>97965</v>
      </c>
    </row>
    <row r="2403" spans="1:7">
      <c r="A2403" s="1">
        <v>45860</v>
      </c>
      <c r="B2403">
        <v>100168</v>
      </c>
      <c r="C2403">
        <f>_xlfn.XLOOKUP(A2403, USD!A:A, USD!B:B, "")</f>
        <v>86.322000000000003</v>
      </c>
      <c r="D2403">
        <f>_xlfn.XLOOKUP(A2403, Brent!A:A, Brent!B:B, "")</f>
        <v>69.69</v>
      </c>
      <c r="E2403">
        <f>_xlfn.XLOOKUP(
  A2403,
  Repo!A:A,
  Repo!B:B,
  "",
  -1
)</f>
        <v>5.5</v>
      </c>
      <c r="F2403" s="10">
        <f>_xlfn.XLOOKUP(
  A2403,
  CPI!D:D,
  CPI!C:C,
  "",
  -1
)</f>
        <v>1.61</v>
      </c>
      <c r="G2403">
        <v>99217</v>
      </c>
    </row>
    <row r="2404" spans="1:7">
      <c r="A2404" s="1">
        <v>45861</v>
      </c>
      <c r="B2404">
        <v>99304</v>
      </c>
      <c r="C2404">
        <f>_xlfn.XLOOKUP(A2404, USD!A:A, USD!B:B, "")</f>
        <v>86.38</v>
      </c>
      <c r="D2404">
        <f>_xlfn.XLOOKUP(A2404, Brent!A:A, Brent!B:B, "")</f>
        <v>69.17</v>
      </c>
      <c r="E2404">
        <f>_xlfn.XLOOKUP(
  A2404,
  Repo!A:A,
  Repo!B:B,
  "",
  -1
)</f>
        <v>5.5</v>
      </c>
      <c r="F2404" s="10">
        <f>_xlfn.XLOOKUP(
  A2404,
  CPI!D:D,
  CPI!C:C,
  "",
  -1
)</f>
        <v>1.61</v>
      </c>
      <c r="G2404">
        <v>100168</v>
      </c>
    </row>
    <row r="2405" spans="1:7">
      <c r="A2405" s="1">
        <v>45862</v>
      </c>
      <c r="B2405">
        <v>98668</v>
      </c>
      <c r="C2405">
        <f>_xlfn.XLOOKUP(A2405, USD!A:A, USD!B:B, "")</f>
        <v>86.38</v>
      </c>
      <c r="D2405">
        <f>_xlfn.XLOOKUP(A2405, Brent!A:A, Brent!B:B, "")</f>
        <v>70.42</v>
      </c>
      <c r="E2405">
        <f>_xlfn.XLOOKUP(
  A2405,
  Repo!A:A,
  Repo!B:B,
  "",
  -1
)</f>
        <v>5.5</v>
      </c>
      <c r="F2405" s="10">
        <f>_xlfn.XLOOKUP(
  A2405,
  CPI!D:D,
  CPI!C:C,
  "",
  -1
)</f>
        <v>1.61</v>
      </c>
      <c r="G2405">
        <v>99304</v>
      </c>
    </row>
    <row r="2406" spans="1:7">
      <c r="A2406" s="1">
        <v>45863</v>
      </c>
      <c r="B2406">
        <v>97842</v>
      </c>
      <c r="C2406">
        <f>_xlfn.XLOOKUP(A2406, USD!A:A, USD!B:B, "")</f>
        <v>86.503</v>
      </c>
      <c r="D2406">
        <f>_xlfn.XLOOKUP(A2406, Brent!A:A, Brent!B:B, "")</f>
        <v>69.23</v>
      </c>
      <c r="E2406">
        <f>_xlfn.XLOOKUP(
  A2406,
  Repo!A:A,
  Repo!B:B,
  "",
  -1
)</f>
        <v>5.5</v>
      </c>
      <c r="F2406" s="10">
        <f>_xlfn.XLOOKUP(
  A2406,
  CPI!D:D,
  CPI!C:C,
  "",
  -1
)</f>
        <v>1.61</v>
      </c>
      <c r="G2406">
        <v>98668</v>
      </c>
    </row>
    <row r="2407" spans="1:7">
      <c r="A2407" s="1">
        <v>45866</v>
      </c>
      <c r="B2407">
        <v>97505</v>
      </c>
      <c r="C2407">
        <f>_xlfn.XLOOKUP(A2407, USD!A:A, USD!B:B, "")</f>
        <v>86.697000000000003</v>
      </c>
      <c r="D2407">
        <f>_xlfn.XLOOKUP(A2407, Brent!A:A, Brent!B:B, "")</f>
        <v>70.87</v>
      </c>
      <c r="E2407">
        <f>_xlfn.XLOOKUP(
  A2407,
  Repo!A:A,
  Repo!B:B,
  "",
  -1
)</f>
        <v>5.5</v>
      </c>
      <c r="F2407" s="10">
        <f>_xlfn.XLOOKUP(
  A2407,
  CPI!D:D,
  CPI!C:C,
  "",
  -1
)</f>
        <v>1.61</v>
      </c>
      <c r="G2407">
        <v>97842</v>
      </c>
    </row>
    <row r="2408" spans="1:7">
      <c r="A2408" s="1">
        <v>45867</v>
      </c>
      <c r="B2408">
        <v>98125</v>
      </c>
      <c r="C2408">
        <f>_xlfn.XLOOKUP(A2408, USD!A:A, USD!B:B, "")</f>
        <v>87.108000000000004</v>
      </c>
      <c r="D2408">
        <f>_xlfn.XLOOKUP(A2408, Brent!A:A, Brent!B:B, "")</f>
        <v>73.209999999999994</v>
      </c>
      <c r="E2408">
        <f>_xlfn.XLOOKUP(
  A2408,
  Repo!A:A,
  Repo!B:B,
  "",
  -1
)</f>
        <v>5.5</v>
      </c>
      <c r="F2408" s="10">
        <f>_xlfn.XLOOKUP(
  A2408,
  CPI!D:D,
  CPI!C:C,
  "",
  -1
)</f>
        <v>1.61</v>
      </c>
      <c r="G2408">
        <v>97505</v>
      </c>
    </row>
    <row r="2409" spans="1:7">
      <c r="A2409" s="1">
        <v>45868</v>
      </c>
      <c r="B2409">
        <v>98003</v>
      </c>
      <c r="C2409">
        <f>_xlfn.XLOOKUP(A2409, USD!A:A, USD!B:B, "")</f>
        <v>87.691000000000003</v>
      </c>
      <c r="D2409">
        <f>_xlfn.XLOOKUP(A2409, Brent!A:A, Brent!B:B, "")</f>
        <v>73.98</v>
      </c>
      <c r="E2409">
        <f>_xlfn.XLOOKUP(
  A2409,
  Repo!A:A,
  Repo!B:B,
  "",
  -1
)</f>
        <v>5.5</v>
      </c>
      <c r="F2409" s="10">
        <f>_xlfn.XLOOKUP(
  A2409,
  CPI!D:D,
  CPI!C:C,
  "",
  -1
)</f>
        <v>1.61</v>
      </c>
      <c r="G2409">
        <v>98125</v>
      </c>
    </row>
    <row r="2410" spans="1:7">
      <c r="A2410" s="1">
        <v>45869</v>
      </c>
      <c r="B2410">
        <v>98358</v>
      </c>
      <c r="C2410">
        <f>_xlfn.XLOOKUP(A2410, USD!A:A, USD!B:B, "")</f>
        <v>87.524000000000001</v>
      </c>
      <c r="D2410">
        <f>_xlfn.XLOOKUP(A2410, Brent!A:A, Brent!B:B, "")</f>
        <v>73.430000000000007</v>
      </c>
      <c r="E2410">
        <f>_xlfn.XLOOKUP(
  A2410,
  Repo!A:A,
  Repo!B:B,
  "",
  -1
)</f>
        <v>5.5</v>
      </c>
      <c r="F2410" s="10">
        <f>_xlfn.XLOOKUP(
  A2410,
  CPI!D:D,
  CPI!C:C,
  "",
  -1
)</f>
        <v>1.61</v>
      </c>
      <c r="G2410">
        <v>98003</v>
      </c>
    </row>
    <row r="2411" spans="1:7">
      <c r="A2411" s="1">
        <v>45870</v>
      </c>
      <c r="B2411">
        <v>99240</v>
      </c>
      <c r="C2411">
        <f>_xlfn.XLOOKUP(A2411, USD!A:A, USD!B:B, "")</f>
        <v>87.245000000000005</v>
      </c>
      <c r="D2411">
        <f>_xlfn.XLOOKUP(A2411, Brent!A:A, Brent!B:B, "")</f>
        <v>70.55</v>
      </c>
      <c r="E2411">
        <f>_xlfn.XLOOKUP(
  A2411,
  Repo!A:A,
  Repo!B:B,
  "",
  -1
)</f>
        <v>5.5</v>
      </c>
      <c r="F2411" s="10">
        <f>_xlfn.XLOOKUP(
  A2411,
  CPI!D:D,
  CPI!C:C,
  "",
  -1
)</f>
        <v>2.0699999999999998</v>
      </c>
      <c r="G2411">
        <v>98358</v>
      </c>
    </row>
    <row r="2412" spans="1:7">
      <c r="A2412" s="1">
        <v>45873</v>
      </c>
      <c r="B2412">
        <v>100607</v>
      </c>
      <c r="C2412">
        <f>_xlfn.XLOOKUP(A2412, USD!A:A, USD!B:B, "")</f>
        <v>87.68</v>
      </c>
      <c r="D2412">
        <f>_xlfn.XLOOKUP(A2412, Brent!A:A, Brent!B:B, "")</f>
        <v>69.56</v>
      </c>
      <c r="E2412">
        <f>_xlfn.XLOOKUP(
  A2412,
  Repo!A:A,
  Repo!B:B,
  "",
  -1
)</f>
        <v>5.5</v>
      </c>
      <c r="F2412" s="10">
        <f>_xlfn.XLOOKUP(
  A2412,
  CPI!D:D,
  CPI!C:C,
  "",
  -1
)</f>
        <v>2.0699999999999998</v>
      </c>
      <c r="G2412">
        <v>99240</v>
      </c>
    </row>
    <row r="2413" spans="1:7">
      <c r="A2413" s="1">
        <v>45874</v>
      </c>
      <c r="B2413">
        <v>100765</v>
      </c>
      <c r="C2413">
        <f>_xlfn.XLOOKUP(A2413, USD!A:A, USD!B:B, "")</f>
        <v>87.83</v>
      </c>
      <c r="D2413">
        <f>_xlfn.XLOOKUP(A2413, Brent!A:A, Brent!B:B, "")</f>
        <v>69.14</v>
      </c>
      <c r="E2413">
        <f>_xlfn.XLOOKUP(
  A2413,
  Repo!A:A,
  Repo!B:B,
  "",
  -1
)</f>
        <v>5.5</v>
      </c>
      <c r="F2413" s="10">
        <f>_xlfn.XLOOKUP(
  A2413,
  CPI!D:D,
  CPI!C:C,
  "",
  -1
)</f>
        <v>2.0699999999999998</v>
      </c>
      <c r="G2413">
        <v>100607</v>
      </c>
    </row>
    <row r="2414" spans="1:7">
      <c r="A2414" s="1">
        <v>45875</v>
      </c>
      <c r="B2414">
        <v>100687</v>
      </c>
      <c r="C2414">
        <f>_xlfn.XLOOKUP(A2414, USD!A:A, USD!B:B, "")</f>
        <v>87.724999999999994</v>
      </c>
      <c r="D2414">
        <f>_xlfn.XLOOKUP(A2414, Brent!A:A, Brent!B:B, "")</f>
        <v>67.97</v>
      </c>
      <c r="E2414">
        <f>_xlfn.XLOOKUP(
  A2414,
  Repo!A:A,
  Repo!B:B,
  "",
  -1
)</f>
        <v>5.5</v>
      </c>
      <c r="F2414" s="10">
        <f>_xlfn.XLOOKUP(
  A2414,
  CPI!D:D,
  CPI!C:C,
  "",
  -1
)</f>
        <v>2.0699999999999998</v>
      </c>
      <c r="G2414">
        <v>100765</v>
      </c>
    </row>
    <row r="2415" spans="1:7">
      <c r="A2415" s="1">
        <v>45876</v>
      </c>
      <c r="B2415">
        <v>100835</v>
      </c>
      <c r="C2415">
        <f>_xlfn.XLOOKUP(A2415, USD!A:A, USD!B:B, "")</f>
        <v>87.445999999999998</v>
      </c>
      <c r="D2415">
        <f>_xlfn.XLOOKUP(A2415, Brent!A:A, Brent!B:B, "")</f>
        <v>66.989999999999995</v>
      </c>
      <c r="E2415">
        <f>_xlfn.XLOOKUP(
  A2415,
  Repo!A:A,
  Repo!B:B,
  "",
  -1
)</f>
        <v>5.5</v>
      </c>
      <c r="F2415" s="10">
        <f>_xlfn.XLOOKUP(
  A2415,
  CPI!D:D,
  CPI!C:C,
  "",
  -1
)</f>
        <v>2.0699999999999998</v>
      </c>
      <c r="G2415">
        <v>100687</v>
      </c>
    </row>
    <row r="2416" spans="1:7">
      <c r="A2416" s="1">
        <v>45877</v>
      </c>
      <c r="B2416">
        <v>101212</v>
      </c>
      <c r="C2416">
        <f>_xlfn.XLOOKUP(A2416, USD!A:A, USD!B:B, "")</f>
        <v>87.489000000000004</v>
      </c>
      <c r="D2416">
        <f>_xlfn.XLOOKUP(A2416, Brent!A:A, Brent!B:B, "")</f>
        <v>67.17</v>
      </c>
      <c r="E2416">
        <f>_xlfn.XLOOKUP(
  A2416,
  Repo!A:A,
  Repo!B:B,
  "",
  -1
)</f>
        <v>5.5</v>
      </c>
      <c r="F2416" s="10">
        <f>_xlfn.XLOOKUP(
  A2416,
  CPI!D:D,
  CPI!C:C,
  "",
  -1
)</f>
        <v>2.0699999999999998</v>
      </c>
      <c r="G2416">
        <v>100835</v>
      </c>
    </row>
    <row r="2417" spans="1:7">
      <c r="A2417" s="1">
        <v>45880</v>
      </c>
      <c r="B2417">
        <v>99785</v>
      </c>
      <c r="C2417">
        <f>_xlfn.XLOOKUP(A2417, USD!A:A, USD!B:B, "")</f>
        <v>87.66</v>
      </c>
      <c r="D2417">
        <f>_xlfn.XLOOKUP(A2417, Brent!A:A, Brent!B:B, "")</f>
        <v>67.36</v>
      </c>
      <c r="E2417">
        <f>_xlfn.XLOOKUP(
  A2417,
  Repo!A:A,
  Repo!B:B,
  "",
  -1
)</f>
        <v>5.5</v>
      </c>
      <c r="F2417" s="10">
        <f>_xlfn.XLOOKUP(
  A2417,
  CPI!D:D,
  CPI!C:C,
  "",
  -1
)</f>
        <v>2.0699999999999998</v>
      </c>
      <c r="G2417">
        <v>101212</v>
      </c>
    </row>
    <row r="2418" spans="1:7">
      <c r="A2418" s="1">
        <v>45881</v>
      </c>
      <c r="B2418">
        <v>99620</v>
      </c>
      <c r="C2418">
        <f>_xlfn.XLOOKUP(A2418, USD!A:A, USD!B:B, "")</f>
        <v>87.605999999999995</v>
      </c>
      <c r="D2418">
        <f>_xlfn.XLOOKUP(A2418, Brent!A:A, Brent!B:B, "")</f>
        <v>66.8</v>
      </c>
      <c r="E2418">
        <f>_xlfn.XLOOKUP(
  A2418,
  Repo!A:A,
  Repo!B:B,
  "",
  -1
)</f>
        <v>5.5</v>
      </c>
      <c r="F2418" s="10">
        <f>_xlfn.XLOOKUP(
  A2418,
  CPI!D:D,
  CPI!C:C,
  "",
  -1
)</f>
        <v>2.0699999999999998</v>
      </c>
      <c r="G2418">
        <v>99785</v>
      </c>
    </row>
    <row r="2419" spans="1:7">
      <c r="A2419" s="1">
        <v>45882</v>
      </c>
      <c r="B2419">
        <v>99656</v>
      </c>
      <c r="C2419">
        <f>_xlfn.XLOOKUP(A2419, USD!A:A, USD!B:B, "")</f>
        <v>87.45</v>
      </c>
      <c r="D2419">
        <f>_xlfn.XLOOKUP(A2419, Brent!A:A, Brent!B:B, "")</f>
        <v>66.25</v>
      </c>
      <c r="E2419">
        <f>_xlfn.XLOOKUP(
  A2419,
  Repo!A:A,
  Repo!B:B,
  "",
  -1
)</f>
        <v>5.5</v>
      </c>
      <c r="F2419" s="10">
        <f>_xlfn.XLOOKUP(
  A2419,
  CPI!D:D,
  CPI!C:C,
  "",
  -1
)</f>
        <v>2.0699999999999998</v>
      </c>
      <c r="G2419">
        <v>99620</v>
      </c>
    </row>
    <row r="2420" spans="1:7">
      <c r="A2420" s="1">
        <v>45883</v>
      </c>
      <c r="B2420">
        <v>99362</v>
      </c>
      <c r="C2420">
        <f>_xlfn.XLOOKUP(A2420, USD!A:A, USD!B:B, "")</f>
        <v>87.691000000000003</v>
      </c>
      <c r="D2420">
        <f>_xlfn.XLOOKUP(A2420, Brent!A:A, Brent!B:B, "")</f>
        <v>68.12</v>
      </c>
      <c r="E2420">
        <f>_xlfn.XLOOKUP(
  A2420,
  Repo!A:A,
  Repo!B:B,
  "",
  -1
)</f>
        <v>5.5</v>
      </c>
      <c r="F2420" s="10">
        <f>_xlfn.XLOOKUP(
  A2420,
  CPI!D:D,
  CPI!C:C,
  "",
  -1
)</f>
        <v>2.0699999999999998</v>
      </c>
      <c r="G2420">
        <v>99656</v>
      </c>
    </row>
    <row r="2421" spans="1:7">
      <c r="A2421" s="1">
        <v>45887</v>
      </c>
      <c r="B2421">
        <v>99020</v>
      </c>
      <c r="C2421">
        <f>_xlfn.XLOOKUP(A2421, USD!A:A, USD!B:B, "")</f>
        <v>87.311000000000007</v>
      </c>
      <c r="D2421">
        <f>_xlfn.XLOOKUP(A2421, Brent!A:A, Brent!B:B, "")</f>
        <v>68.180000000000007</v>
      </c>
      <c r="E2421">
        <f>_xlfn.XLOOKUP(
  A2421,
  Repo!A:A,
  Repo!B:B,
  "",
  -1
)</f>
        <v>5.5</v>
      </c>
      <c r="F2421" s="10">
        <f>_xlfn.XLOOKUP(
  A2421,
  CPI!D:D,
  CPI!C:C,
  "",
  -1
)</f>
        <v>2.0699999999999998</v>
      </c>
      <c r="G2421">
        <v>99362</v>
      </c>
    </row>
    <row r="2422" spans="1:7">
      <c r="A2422" s="1">
        <v>45888</v>
      </c>
      <c r="B2422">
        <v>98359</v>
      </c>
      <c r="C2422">
        <f>_xlfn.XLOOKUP(A2422, USD!A:A, USD!B:B, "")</f>
        <v>87.07</v>
      </c>
      <c r="D2422">
        <f>_xlfn.XLOOKUP(A2422, Brent!A:A, Brent!B:B, "")</f>
        <v>66.62</v>
      </c>
      <c r="E2422">
        <f>_xlfn.XLOOKUP(
  A2422,
  Repo!A:A,
  Repo!B:B,
  "",
  -1
)</f>
        <v>5.5</v>
      </c>
      <c r="F2422" s="10">
        <f>_xlfn.XLOOKUP(
  A2422,
  CPI!D:D,
  CPI!C:C,
  "",
  -1
)</f>
        <v>2.0699999999999998</v>
      </c>
      <c r="G2422">
        <v>99020</v>
      </c>
    </row>
    <row r="2423" spans="1:7">
      <c r="A2423" s="1">
        <v>45889</v>
      </c>
      <c r="B2423">
        <v>98903</v>
      </c>
      <c r="C2423">
        <f>_xlfn.XLOOKUP(A2423, USD!A:A, USD!B:B, "")</f>
        <v>87.018000000000001</v>
      </c>
      <c r="D2423">
        <f>_xlfn.XLOOKUP(A2423, Brent!A:A, Brent!B:B, "")</f>
        <v>67.61</v>
      </c>
      <c r="E2423">
        <f>_xlfn.XLOOKUP(
  A2423,
  Repo!A:A,
  Repo!B:B,
  "",
  -1
)</f>
        <v>5.5</v>
      </c>
      <c r="F2423" s="10">
        <f>_xlfn.XLOOKUP(
  A2423,
  CPI!D:D,
  CPI!C:C,
  "",
  -1
)</f>
        <v>2.0699999999999998</v>
      </c>
      <c r="G2423">
        <v>98359</v>
      </c>
    </row>
    <row r="2424" spans="1:7">
      <c r="A2424" s="1">
        <v>45890</v>
      </c>
      <c r="B2424">
        <v>99035</v>
      </c>
      <c r="C2424">
        <f>_xlfn.XLOOKUP(A2424, USD!A:A, USD!B:B, "")</f>
        <v>87.293999999999997</v>
      </c>
      <c r="D2424">
        <f>_xlfn.XLOOKUP(A2424, Brent!A:A, Brent!B:B, "")</f>
        <v>68.41</v>
      </c>
      <c r="E2424">
        <f>_xlfn.XLOOKUP(
  A2424,
  Repo!A:A,
  Repo!B:B,
  "",
  -1
)</f>
        <v>5.5</v>
      </c>
      <c r="F2424" s="10">
        <f>_xlfn.XLOOKUP(
  A2424,
  CPI!D:D,
  CPI!C:C,
  "",
  -1
)</f>
        <v>2.0699999999999998</v>
      </c>
      <c r="G2424">
        <v>98903</v>
      </c>
    </row>
    <row r="2425" spans="1:7">
      <c r="A2425" s="1">
        <v>45891</v>
      </c>
      <c r="B2425">
        <v>99857</v>
      </c>
      <c r="C2425">
        <f>_xlfn.XLOOKUP(A2425, USD!A:A, USD!B:B, "")</f>
        <v>87.331000000000003</v>
      </c>
      <c r="D2425">
        <f>_xlfn.XLOOKUP(A2425, Brent!A:A, Brent!B:B, "")</f>
        <v>68.290000000000006</v>
      </c>
      <c r="E2425">
        <f>_xlfn.XLOOKUP(
  A2425,
  Repo!A:A,
  Repo!B:B,
  "",
  -1
)</f>
        <v>5.5</v>
      </c>
      <c r="F2425" s="10">
        <f>_xlfn.XLOOKUP(
  A2425,
  CPI!D:D,
  CPI!C:C,
  "",
  -1
)</f>
        <v>2.0699999999999998</v>
      </c>
      <c r="G2425">
        <v>99035</v>
      </c>
    </row>
    <row r="2426" spans="1:7">
      <c r="A2426" s="1">
        <v>45895</v>
      </c>
      <c r="B2426">
        <v>100531</v>
      </c>
      <c r="C2426">
        <f>_xlfn.XLOOKUP(A2426, USD!A:A, USD!B:B, "")</f>
        <v>87.635000000000005</v>
      </c>
      <c r="D2426">
        <f>_xlfn.XLOOKUP(A2426, Brent!A:A, Brent!B:B, "")</f>
        <v>66.89</v>
      </c>
      <c r="E2426">
        <f>_xlfn.XLOOKUP(
  A2426,
  Repo!A:A,
  Repo!B:B,
  "",
  -1
)</f>
        <v>5.5</v>
      </c>
      <c r="F2426" s="10">
        <f>_xlfn.XLOOKUP(
  A2426,
  CPI!D:D,
  CPI!C:C,
  "",
  -1
)</f>
        <v>2.0699999999999998</v>
      </c>
      <c r="G2426">
        <v>99857</v>
      </c>
    </row>
    <row r="2427" spans="1:7">
      <c r="A2427" s="1">
        <v>45896</v>
      </c>
      <c r="B2427">
        <v>100967</v>
      </c>
      <c r="C2427">
        <f>_xlfn.XLOOKUP(A2427, USD!A:A, USD!B:B, "")</f>
        <v>87.661000000000001</v>
      </c>
      <c r="D2427">
        <f>_xlfn.XLOOKUP(A2427, Brent!A:A, Brent!B:B, "")</f>
        <v>67.75</v>
      </c>
      <c r="E2427">
        <f>_xlfn.XLOOKUP(
  A2427,
  Repo!A:A,
  Repo!B:B,
  "",
  -1
)</f>
        <v>5.5</v>
      </c>
      <c r="F2427" s="10">
        <f>_xlfn.XLOOKUP(
  A2427,
  CPI!D:D,
  CPI!C:C,
  "",
  -1
)</f>
        <v>2.0699999999999998</v>
      </c>
      <c r="G2427">
        <v>100531</v>
      </c>
    </row>
    <row r="2428" spans="1:7">
      <c r="A2428" s="1">
        <v>45897</v>
      </c>
      <c r="B2428">
        <v>101481</v>
      </c>
      <c r="C2428">
        <f>_xlfn.XLOOKUP(A2428, USD!A:A, USD!B:B, "")</f>
        <v>87.590999999999994</v>
      </c>
      <c r="D2428">
        <f>_xlfn.XLOOKUP(A2428, Brent!A:A, Brent!B:B, "")</f>
        <v>68.61</v>
      </c>
      <c r="E2428">
        <f>_xlfn.XLOOKUP(
  A2428,
  Repo!A:A,
  Repo!B:B,
  "",
  -1
)</f>
        <v>5.5</v>
      </c>
      <c r="F2428" s="10">
        <f>_xlfn.XLOOKUP(
  A2428,
  CPI!D:D,
  CPI!C:C,
  "",
  -1
)</f>
        <v>2.0699999999999998</v>
      </c>
      <c r="G2428">
        <v>100967</v>
      </c>
    </row>
    <row r="2429" spans="1:7">
      <c r="A2429" s="1">
        <v>45898</v>
      </c>
      <c r="B2429">
        <v>103164</v>
      </c>
      <c r="C2429">
        <f>_xlfn.XLOOKUP(A2429, USD!A:A, USD!B:B, "")</f>
        <v>88.174000000000007</v>
      </c>
      <c r="D2429">
        <f>_xlfn.XLOOKUP(A2429, Brent!A:A, Brent!B:B, "")</f>
        <v>67.83</v>
      </c>
      <c r="E2429">
        <f>_xlfn.XLOOKUP(
  A2429,
  Repo!A:A,
  Repo!B:B,
  "",
  -1
)</f>
        <v>5.5</v>
      </c>
      <c r="F2429" s="10">
        <f>_xlfn.XLOOKUP(
  A2429,
  CPI!D:D,
  CPI!C:C,
  "",
  -1
)</f>
        <v>2.0699999999999998</v>
      </c>
      <c r="G2429">
        <v>101481</v>
      </c>
    </row>
    <row r="2430" spans="1:7">
      <c r="A2430" s="1">
        <v>45901</v>
      </c>
      <c r="B2430">
        <v>103904</v>
      </c>
      <c r="C2430">
        <f>_xlfn.XLOOKUP(A2430, USD!A:A, USD!B:B, "")</f>
        <v>88.001000000000005</v>
      </c>
      <c r="D2430">
        <f>_xlfn.XLOOKUP(A2430, Brent!A:A, Brent!B:B, "")</f>
        <v>67.09</v>
      </c>
      <c r="E2430">
        <f>_xlfn.XLOOKUP(
  A2430,
  Repo!A:A,
  Repo!B:B,
  "",
  -1
)</f>
        <v>5.5</v>
      </c>
      <c r="F2430" s="10">
        <f>_xlfn.XLOOKUP(
  A2430,
  CPI!D:D,
  CPI!C:C,
  "",
  -1
)</f>
        <v>1.44</v>
      </c>
      <c r="G2430">
        <v>103164</v>
      </c>
    </row>
    <row r="2431" spans="1:7">
      <c r="A2431" s="1">
        <v>45902</v>
      </c>
      <c r="B2431">
        <v>105695</v>
      </c>
      <c r="C2431">
        <f>_xlfn.XLOOKUP(A2431, USD!A:A, USD!B:B, "")</f>
        <v>87.998000000000005</v>
      </c>
      <c r="D2431">
        <f>_xlfn.XLOOKUP(A2431, Brent!A:A, Brent!B:B, "")</f>
        <v>68.09</v>
      </c>
      <c r="E2431">
        <f>_xlfn.XLOOKUP(
  A2431,
  Repo!A:A,
  Repo!B:B,
  "",
  -1
)</f>
        <v>5.5</v>
      </c>
      <c r="F2431" s="10">
        <f>_xlfn.XLOOKUP(
  A2431,
  CPI!D:D,
  CPI!C:C,
  "",
  -1
)</f>
        <v>1.44</v>
      </c>
      <c r="G2431">
        <v>103904</v>
      </c>
    </row>
    <row r="2432" spans="1:7">
      <c r="A2432" s="1">
        <v>45903</v>
      </c>
      <c r="B2432">
        <v>107080</v>
      </c>
      <c r="C2432">
        <f>_xlfn.XLOOKUP(A2432, USD!A:A, USD!B:B, "")</f>
        <v>88.072999999999993</v>
      </c>
      <c r="D2432">
        <f>_xlfn.XLOOKUP(A2432, Brent!A:A, Brent!B:B, "")</f>
        <v>67.760000000000005</v>
      </c>
      <c r="E2432">
        <f>_xlfn.XLOOKUP(
  A2432,
  Repo!A:A,
  Repo!B:B,
  "",
  -1
)</f>
        <v>5.5</v>
      </c>
      <c r="F2432" s="10">
        <f>_xlfn.XLOOKUP(
  A2432,
  CPI!D:D,
  CPI!C:C,
  "",
  -1
)</f>
        <v>1.44</v>
      </c>
      <c r="G2432">
        <v>105695</v>
      </c>
    </row>
    <row r="2433" spans="1:7">
      <c r="A2433" s="1">
        <v>45904</v>
      </c>
      <c r="B2433">
        <v>106310</v>
      </c>
      <c r="C2433">
        <f>_xlfn.XLOOKUP(A2433, USD!A:A, USD!B:B, "")</f>
        <v>88.192999999999998</v>
      </c>
      <c r="D2433">
        <f>_xlfn.XLOOKUP(A2433, Brent!A:A, Brent!B:B, "")</f>
        <v>66.41</v>
      </c>
      <c r="E2433">
        <f>_xlfn.XLOOKUP(
  A2433,
  Repo!A:A,
  Repo!B:B,
  "",
  -1
)</f>
        <v>5.5</v>
      </c>
      <c r="F2433" s="10">
        <f>_xlfn.XLOOKUP(
  A2433,
  CPI!D:D,
  CPI!C:C,
  "",
  -1
)</f>
        <v>1.44</v>
      </c>
      <c r="G2433">
        <v>107080</v>
      </c>
    </row>
    <row r="2434" spans="1:7">
      <c r="A2434" s="1">
        <v>45905</v>
      </c>
      <c r="B2434">
        <v>107605</v>
      </c>
      <c r="C2434">
        <f>_xlfn.XLOOKUP(A2434, USD!A:A, USD!B:B, "")</f>
        <v>88.186999999999998</v>
      </c>
      <c r="D2434">
        <f>_xlfn.XLOOKUP(A2434, Brent!A:A, Brent!B:B, "")</f>
        <v>64.92</v>
      </c>
      <c r="E2434">
        <f>_xlfn.XLOOKUP(
  A2434,
  Repo!A:A,
  Repo!B:B,
  "",
  -1
)</f>
        <v>5.5</v>
      </c>
      <c r="F2434" s="10">
        <f>_xlfn.XLOOKUP(
  A2434,
  CPI!D:D,
  CPI!C:C,
  "",
  -1
)</f>
        <v>1.44</v>
      </c>
      <c r="G2434">
        <v>106310</v>
      </c>
    </row>
    <row r="2435" spans="1:7">
      <c r="A2435" s="1">
        <v>45908</v>
      </c>
      <c r="B2435">
        <v>108393</v>
      </c>
      <c r="C2435">
        <f>_xlfn.XLOOKUP(A2435, USD!A:A, USD!B:B, "")</f>
        <v>87.980999999999995</v>
      </c>
      <c r="D2435">
        <f>_xlfn.XLOOKUP(A2435, Brent!A:A, Brent!B:B, "")</f>
        <v>65.44</v>
      </c>
      <c r="E2435">
        <f>_xlfn.XLOOKUP(
  A2435,
  Repo!A:A,
  Repo!B:B,
  "",
  -1
)</f>
        <v>5.5</v>
      </c>
      <c r="F2435" s="10">
        <f>_xlfn.XLOOKUP(
  A2435,
  CPI!D:D,
  CPI!C:C,
  "",
  -1
)</f>
        <v>1.44</v>
      </c>
      <c r="G2435">
        <v>107605</v>
      </c>
    </row>
    <row r="2436" spans="1:7">
      <c r="A2436" s="1">
        <v>45909</v>
      </c>
      <c r="B2436">
        <v>108907</v>
      </c>
      <c r="C2436">
        <f>_xlfn.XLOOKUP(A2436, USD!A:A, USD!B:B, "")</f>
        <v>88.248000000000005</v>
      </c>
      <c r="D2436">
        <f>_xlfn.XLOOKUP(A2436, Brent!A:A, Brent!B:B, "")</f>
        <v>67.97</v>
      </c>
      <c r="E2436">
        <f>_xlfn.XLOOKUP(
  A2436,
  Repo!A:A,
  Repo!B:B,
  "",
  -1
)</f>
        <v>5.5</v>
      </c>
      <c r="F2436" s="10">
        <f>_xlfn.XLOOKUP(
  A2436,
  CPI!D:D,
  CPI!C:C,
  "",
  -1
)</f>
        <v>1.44</v>
      </c>
      <c r="G2436">
        <v>108393</v>
      </c>
    </row>
    <row r="2437" spans="1:7">
      <c r="A2437" s="1">
        <v>45910</v>
      </c>
      <c r="B2437">
        <v>108884</v>
      </c>
      <c r="C2437">
        <f>_xlfn.XLOOKUP(A2437, USD!A:A, USD!B:B, "")</f>
        <v>88.054000000000002</v>
      </c>
      <c r="D2437">
        <f>_xlfn.XLOOKUP(A2437, Brent!A:A, Brent!B:B, "")</f>
        <v>67.62</v>
      </c>
      <c r="E2437">
        <f>_xlfn.XLOOKUP(
  A2437,
  Repo!A:A,
  Repo!B:B,
  "",
  -1
)</f>
        <v>5.5</v>
      </c>
      <c r="F2437" s="10">
        <f>_xlfn.XLOOKUP(
  A2437,
  CPI!D:D,
  CPI!C:C,
  "",
  -1
)</f>
        <v>1.44</v>
      </c>
      <c r="G2437">
        <v>108907</v>
      </c>
    </row>
    <row r="2438" spans="1:7">
      <c r="A2438" s="1">
        <v>45911</v>
      </c>
      <c r="B2438">
        <v>108870</v>
      </c>
      <c r="C2438">
        <f>_xlfn.XLOOKUP(A2438, USD!A:A, USD!B:B, "")</f>
        <v>88.266999999999996</v>
      </c>
      <c r="D2438">
        <f>_xlfn.XLOOKUP(A2438, Brent!A:A, Brent!B:B, "")</f>
        <v>67.25</v>
      </c>
      <c r="E2438">
        <f>_xlfn.XLOOKUP(
  A2438,
  Repo!A:A,
  Repo!B:B,
  "",
  -1
)</f>
        <v>5.5</v>
      </c>
      <c r="F2438" s="10">
        <f>_xlfn.XLOOKUP(
  A2438,
  CPI!D:D,
  CPI!C:C,
  "",
  -1
)</f>
        <v>1.44</v>
      </c>
      <c r="G2438">
        <v>108884</v>
      </c>
    </row>
    <row r="2439" spans="1:7">
      <c r="A2439" s="1">
        <v>45912</v>
      </c>
      <c r="B2439">
        <v>109237</v>
      </c>
      <c r="C2439">
        <f>_xlfn.XLOOKUP(A2439, USD!A:A, USD!B:B, "")</f>
        <v>88.277000000000001</v>
      </c>
      <c r="D2439">
        <f>_xlfn.XLOOKUP(A2439, Brent!A:A, Brent!B:B, "")</f>
        <v>67.87</v>
      </c>
      <c r="E2439">
        <f>_xlfn.XLOOKUP(
  A2439,
  Repo!A:A,
  Repo!B:B,
  "",
  -1
)</f>
        <v>5.5</v>
      </c>
      <c r="F2439" s="10">
        <f>_xlfn.XLOOKUP(
  A2439,
  CPI!D:D,
  CPI!C:C,
  "",
  -1
)</f>
        <v>1.44</v>
      </c>
      <c r="G2439">
        <v>108870</v>
      </c>
    </row>
    <row r="2440" spans="1:7">
      <c r="A2440" s="1">
        <v>45915</v>
      </c>
      <c r="B2440">
        <v>110045</v>
      </c>
      <c r="C2440">
        <f>_xlfn.XLOOKUP(A2440, USD!A:A, USD!B:B, "")</f>
        <v>88.122</v>
      </c>
      <c r="D2440">
        <f>_xlfn.XLOOKUP(A2440, Brent!A:A, Brent!B:B, "")</f>
        <v>67.88</v>
      </c>
      <c r="E2440">
        <f>_xlfn.XLOOKUP(
  A2440,
  Repo!A:A,
  Repo!B:B,
  "",
  -1
)</f>
        <v>5.5</v>
      </c>
      <c r="F2440" s="10">
        <f>_xlfn.XLOOKUP(
  A2440,
  CPI!D:D,
  CPI!C:C,
  "",
  -1
)</f>
        <v>1.44</v>
      </c>
      <c r="G2440">
        <v>109237</v>
      </c>
    </row>
    <row r="2441" spans="1:7">
      <c r="A2441" s="1">
        <v>45916</v>
      </c>
      <c r="B2441">
        <v>110040</v>
      </c>
      <c r="C2441">
        <f>_xlfn.XLOOKUP(A2441, USD!A:A, USD!B:B, "")</f>
        <v>87.882999999999996</v>
      </c>
      <c r="D2441">
        <f>_xlfn.XLOOKUP(A2441, Brent!A:A, Brent!B:B, "")</f>
        <v>69.69</v>
      </c>
      <c r="E2441">
        <f>_xlfn.XLOOKUP(
  A2441,
  Repo!A:A,
  Repo!B:B,
  "",
  -1
)</f>
        <v>5.5</v>
      </c>
      <c r="F2441" s="10">
        <f>_xlfn.XLOOKUP(
  A2441,
  CPI!D:D,
  CPI!C:C,
  "",
  -1
)</f>
        <v>1.44</v>
      </c>
      <c r="G2441">
        <v>110045</v>
      </c>
    </row>
    <row r="2442" spans="1:7">
      <c r="A2442" s="1">
        <v>45917</v>
      </c>
      <c r="B2442">
        <v>109692</v>
      </c>
      <c r="C2442">
        <f>_xlfn.XLOOKUP(A2442, USD!A:A, USD!B:B, "")</f>
        <v>87.745000000000005</v>
      </c>
      <c r="D2442">
        <f>_xlfn.XLOOKUP(A2442, Brent!A:A, Brent!B:B, "")</f>
        <v>69.19</v>
      </c>
      <c r="E2442">
        <f>_xlfn.XLOOKUP(
  A2442,
  Repo!A:A,
  Repo!B:B,
  "",
  -1
)</f>
        <v>5.5</v>
      </c>
      <c r="F2442" s="10">
        <f>_xlfn.XLOOKUP(
  A2442,
  CPI!D:D,
  CPI!C:C,
  "",
  -1
)</f>
        <v>1.44</v>
      </c>
      <c r="G2442">
        <v>110040</v>
      </c>
    </row>
    <row r="2443" spans="1:7">
      <c r="A2443" s="1">
        <v>45918</v>
      </c>
      <c r="B2443">
        <v>108951</v>
      </c>
      <c r="C2443">
        <f>_xlfn.XLOOKUP(A2443, USD!A:A, USD!B:B, "")</f>
        <v>88.206000000000003</v>
      </c>
      <c r="D2443">
        <f>_xlfn.XLOOKUP(A2443, Brent!A:A, Brent!B:B, "")</f>
        <v>67.83</v>
      </c>
      <c r="E2443">
        <f>_xlfn.XLOOKUP(
  A2443,
  Repo!A:A,
  Repo!B:B,
  "",
  -1
)</f>
        <v>5.5</v>
      </c>
      <c r="F2443" s="10">
        <f>_xlfn.XLOOKUP(
  A2443,
  CPI!D:D,
  CPI!C:C,
  "",
  -1
)</f>
        <v>1.44</v>
      </c>
      <c r="G2443">
        <v>109692</v>
      </c>
    </row>
    <row r="2444" spans="1:7">
      <c r="A2444" s="1">
        <v>45919</v>
      </c>
      <c r="B2444">
        <v>109715</v>
      </c>
      <c r="C2444">
        <f>_xlfn.XLOOKUP(A2444, USD!A:A, USD!B:B, "")</f>
        <v>88.1</v>
      </c>
      <c r="D2444">
        <f>_xlfn.XLOOKUP(A2444, Brent!A:A, Brent!B:B, "")</f>
        <v>67.05</v>
      </c>
      <c r="E2444">
        <f>_xlfn.XLOOKUP(
  A2444,
  Repo!A:A,
  Repo!B:B,
  "",
  -1
)</f>
        <v>5.5</v>
      </c>
      <c r="F2444" s="10">
        <f>_xlfn.XLOOKUP(
  A2444,
  CPI!D:D,
  CPI!C:C,
  "",
  -1
)</f>
        <v>1.44</v>
      </c>
      <c r="G2444">
        <v>108951</v>
      </c>
    </row>
    <row r="2445" spans="1:7">
      <c r="A2445" s="1">
        <v>45922</v>
      </c>
      <c r="B2445">
        <v>112070</v>
      </c>
      <c r="C2445">
        <f>_xlfn.XLOOKUP(A2445, USD!A:A, USD!B:B, "")</f>
        <v>88.302999999999997</v>
      </c>
      <c r="D2445">
        <f>_xlfn.XLOOKUP(A2445, Brent!A:A, Brent!B:B, "")</f>
        <v>66.87</v>
      </c>
      <c r="E2445">
        <f>_xlfn.XLOOKUP(
  A2445,
  Repo!A:A,
  Repo!B:B,
  "",
  -1
)</f>
        <v>5.5</v>
      </c>
      <c r="F2445" s="10">
        <f>_xlfn.XLOOKUP(
  A2445,
  CPI!D:D,
  CPI!C:C,
  "",
  -1
)</f>
        <v>1.44</v>
      </c>
      <c r="G2445">
        <v>109715</v>
      </c>
    </row>
    <row r="2446" spans="1:7">
      <c r="A2446" s="1">
        <v>45923</v>
      </c>
      <c r="B2446">
        <v>113715</v>
      </c>
      <c r="C2446">
        <f>_xlfn.XLOOKUP(A2446, USD!A:A, USD!B:B, "")</f>
        <v>88.808000000000007</v>
      </c>
      <c r="D2446">
        <f>_xlfn.XLOOKUP(A2446, Brent!A:A, Brent!B:B, "")</f>
        <v>67.959999999999994</v>
      </c>
      <c r="E2446">
        <f>_xlfn.XLOOKUP(
  A2446,
  Repo!A:A,
  Repo!B:B,
  "",
  -1
)</f>
        <v>5.5</v>
      </c>
      <c r="F2446" s="10">
        <f>_xlfn.XLOOKUP(
  A2446,
  CPI!D:D,
  CPI!C:C,
  "",
  -1
)</f>
        <v>1.44</v>
      </c>
      <c r="G2446">
        <v>112070</v>
      </c>
    </row>
    <row r="2447" spans="1:7">
      <c r="A2447" s="1">
        <v>45924</v>
      </c>
      <c r="B2447">
        <v>112475</v>
      </c>
      <c r="C2447">
        <f>_xlfn.XLOOKUP(A2447, USD!A:A, USD!B:B, "")</f>
        <v>88.777000000000001</v>
      </c>
      <c r="D2447">
        <f>_xlfn.XLOOKUP(A2447, Brent!A:A, Brent!B:B, "")</f>
        <v>69.64</v>
      </c>
      <c r="E2447">
        <f>_xlfn.XLOOKUP(
  A2447,
  Repo!A:A,
  Repo!B:B,
  "",
  -1
)</f>
        <v>5.5</v>
      </c>
      <c r="F2447" s="10">
        <f>_xlfn.XLOOKUP(
  A2447,
  CPI!D:D,
  CPI!C:C,
  "",
  -1
)</f>
        <v>1.44</v>
      </c>
      <c r="G2447">
        <v>113715</v>
      </c>
    </row>
    <row r="2448" spans="1:7">
      <c r="A2448" s="1">
        <v>45925</v>
      </c>
      <c r="B2448">
        <v>112606</v>
      </c>
      <c r="C2448">
        <f>_xlfn.XLOOKUP(A2448, USD!A:A, USD!B:B, "")</f>
        <v>88.768000000000001</v>
      </c>
      <c r="D2448">
        <f>_xlfn.XLOOKUP(A2448, Brent!A:A, Brent!B:B, "")</f>
        <v>70.48</v>
      </c>
      <c r="E2448">
        <f>_xlfn.XLOOKUP(
  A2448,
  Repo!A:A,
  Repo!B:B,
  "",
  -1
)</f>
        <v>5.5</v>
      </c>
      <c r="F2448" s="10">
        <f>_xlfn.XLOOKUP(
  A2448,
  CPI!D:D,
  CPI!C:C,
  "",
  -1
)</f>
        <v>1.44</v>
      </c>
      <c r="G2448">
        <v>112475</v>
      </c>
    </row>
    <row r="2449" spans="1:7">
      <c r="A2449" s="1">
        <v>45926</v>
      </c>
      <c r="B2449">
        <v>113664</v>
      </c>
      <c r="C2449">
        <f>_xlfn.XLOOKUP(A2449, USD!A:A, USD!B:B, "")</f>
        <v>88.677000000000007</v>
      </c>
      <c r="D2449">
        <f>_xlfn.XLOOKUP(A2449, Brent!A:A, Brent!B:B, "")</f>
        <v>71.150000000000006</v>
      </c>
      <c r="E2449">
        <f>_xlfn.XLOOKUP(
  A2449,
  Repo!A:A,
  Repo!B:B,
  "",
  -1
)</f>
        <v>5.5</v>
      </c>
      <c r="F2449" s="10">
        <f>_xlfn.XLOOKUP(
  A2449,
  CPI!D:D,
  CPI!C:C,
  "",
  -1
)</f>
        <v>1.44</v>
      </c>
      <c r="G2449">
        <v>112606</v>
      </c>
    </row>
    <row r="2450" spans="1:7">
      <c r="A2450" s="1">
        <v>45929</v>
      </c>
      <c r="B2450">
        <v>115734</v>
      </c>
      <c r="C2450">
        <f>_xlfn.XLOOKUP(A2450, USD!A:A, USD!B:B, "")</f>
        <v>88.703999999999994</v>
      </c>
      <c r="D2450">
        <f>_xlfn.XLOOKUP(A2450, Brent!A:A, Brent!B:B, "")</f>
        <v>69</v>
      </c>
      <c r="E2450">
        <f>_xlfn.XLOOKUP(
  A2450,
  Repo!A:A,
  Repo!B:B,
  "",
  -1
)</f>
        <v>5.5</v>
      </c>
      <c r="F2450" s="10">
        <f>_xlfn.XLOOKUP(
  A2450,
  CPI!D:D,
  CPI!C:C,
  "",
  -1
)</f>
        <v>1.44</v>
      </c>
      <c r="G2450">
        <v>113664</v>
      </c>
    </row>
    <row r="2451" spans="1:7">
      <c r="A2451" s="1">
        <v>45930</v>
      </c>
      <c r="B2451">
        <v>116573</v>
      </c>
      <c r="C2451">
        <f>_xlfn.XLOOKUP(A2451, USD!A:A, USD!B:B, "")</f>
        <v>88.840999999999994</v>
      </c>
      <c r="D2451">
        <f>_xlfn.XLOOKUP(A2451, Brent!A:A, Brent!B:B, "")</f>
        <v>68.52</v>
      </c>
      <c r="E2451">
        <f>_xlfn.XLOOKUP(
  A2451,
  Repo!A:A,
  Repo!B:B,
  "",
  -1
)</f>
        <v>5.5</v>
      </c>
      <c r="F2451" s="10">
        <f>_xlfn.XLOOKUP(
  A2451,
  CPI!D:D,
  CPI!C:C,
  "",
  -1
)</f>
        <v>1.44</v>
      </c>
      <c r="G2451">
        <v>115734</v>
      </c>
    </row>
    <row r="2452" spans="1:7">
      <c r="A2452" s="1">
        <v>45931</v>
      </c>
      <c r="B2452">
        <v>116968</v>
      </c>
      <c r="C2452">
        <f>_xlfn.XLOOKUP(A2452, USD!A:A, USD!B:B, "")</f>
        <v>88.683000000000007</v>
      </c>
      <c r="D2452">
        <f>_xlfn.XLOOKUP(A2452, Brent!A:A, Brent!B:B, "")</f>
        <v>66.67</v>
      </c>
      <c r="E2452">
        <f>_xlfn.XLOOKUP(
  A2452,
  Repo!A:A,
  Repo!B:B,
  "",
  -1
)</f>
        <v>5.5</v>
      </c>
      <c r="F2452" s="10">
        <f>_xlfn.XLOOKUP(
  A2452,
  CPI!D:D,
  CPI!C:C,
  "",
  -1
)</f>
        <v>0.25</v>
      </c>
      <c r="G2452">
        <v>116573</v>
      </c>
    </row>
    <row r="2453" spans="1:7">
      <c r="A2453" s="1">
        <v>45933</v>
      </c>
      <c r="B2453">
        <v>117370</v>
      </c>
      <c r="C2453">
        <f>_xlfn.XLOOKUP(A2453, USD!A:A, USD!B:B, "")</f>
        <v>88.734999999999999</v>
      </c>
      <c r="D2453">
        <f>_xlfn.XLOOKUP(A2453, Brent!A:A, Brent!B:B, "")</f>
        <v>66.13</v>
      </c>
      <c r="E2453">
        <f>_xlfn.XLOOKUP(
  A2453,
  Repo!A:A,
  Repo!B:B,
  "",
  -1
)</f>
        <v>5.5</v>
      </c>
      <c r="F2453" s="10">
        <f>_xlfn.XLOOKUP(
  A2453,
  CPI!D:D,
  CPI!C:C,
  "",
  -1
)</f>
        <v>0.25</v>
      </c>
      <c r="G2453">
        <v>116968</v>
      </c>
    </row>
    <row r="2454" spans="1:7">
      <c r="A2454" s="1">
        <v>45936</v>
      </c>
      <c r="B2454">
        <v>119524</v>
      </c>
      <c r="C2454">
        <f>_xlfn.XLOOKUP(A2454, USD!A:A, USD!B:B, "")</f>
        <v>88.721000000000004</v>
      </c>
      <c r="D2454">
        <f>_xlfn.XLOOKUP(A2454, Brent!A:A, Brent!B:B, "")</f>
        <v>67.09</v>
      </c>
      <c r="E2454">
        <f>_xlfn.XLOOKUP(
  A2454,
  Repo!A:A,
  Repo!B:B,
  "",
  -1
)</f>
        <v>5.5</v>
      </c>
      <c r="F2454" s="10">
        <f>_xlfn.XLOOKUP(
  A2454,
  CPI!D:D,
  CPI!C:C,
  "",
  -1
)</f>
        <v>0.25</v>
      </c>
      <c r="G2454">
        <v>117370</v>
      </c>
    </row>
    <row r="2455" spans="1:7">
      <c r="A2455" s="1">
        <v>45937</v>
      </c>
      <c r="B2455">
        <v>120354</v>
      </c>
      <c r="C2455">
        <f>_xlfn.XLOOKUP(A2455, USD!A:A, USD!B:B, "")</f>
        <v>88.739000000000004</v>
      </c>
      <c r="D2455">
        <f>_xlfn.XLOOKUP(A2455, Brent!A:A, Brent!B:B, "")</f>
        <v>67.099999999999994</v>
      </c>
      <c r="E2455">
        <f>_xlfn.XLOOKUP(
  A2455,
  Repo!A:A,
  Repo!B:B,
  "",
  -1
)</f>
        <v>5.5</v>
      </c>
      <c r="F2455" s="10">
        <f>_xlfn.XLOOKUP(
  A2455,
  CPI!D:D,
  CPI!C:C,
  "",
  -1
)</f>
        <v>0.25</v>
      </c>
      <c r="G2455">
        <v>119524</v>
      </c>
    </row>
    <row r="2456" spans="1:7">
      <c r="A2456" s="1">
        <v>45938</v>
      </c>
      <c r="B2456">
        <v>122542</v>
      </c>
      <c r="C2456">
        <f>_xlfn.XLOOKUP(A2456, USD!A:A, USD!B:B, "")</f>
        <v>88.76</v>
      </c>
      <c r="D2456">
        <f>_xlfn.XLOOKUP(A2456, Brent!A:A, Brent!B:B, "")</f>
        <v>67.42</v>
      </c>
      <c r="E2456">
        <f>_xlfn.XLOOKUP(
  A2456,
  Repo!A:A,
  Repo!B:B,
  "",
  -1
)</f>
        <v>5.5</v>
      </c>
      <c r="F2456" s="10">
        <f>_xlfn.XLOOKUP(
  A2456,
  CPI!D:D,
  CPI!C:C,
  "",
  -1
)</f>
        <v>0.25</v>
      </c>
      <c r="G2456">
        <v>120354</v>
      </c>
    </row>
    <row r="2457" spans="1:7">
      <c r="A2457" s="1">
        <v>45939</v>
      </c>
      <c r="B2457">
        <v>119869</v>
      </c>
      <c r="C2457">
        <f>_xlfn.XLOOKUP(A2457, USD!A:A, USD!B:B, "")</f>
        <v>88.866</v>
      </c>
      <c r="D2457">
        <f>_xlfn.XLOOKUP(A2457, Brent!A:A, Brent!B:B, "")</f>
        <v>67.23</v>
      </c>
      <c r="E2457">
        <f>_xlfn.XLOOKUP(
  A2457,
  Repo!A:A,
  Repo!B:B,
  "",
  -1
)</f>
        <v>5.5</v>
      </c>
      <c r="F2457" s="10">
        <f>_xlfn.XLOOKUP(
  A2457,
  CPI!D:D,
  CPI!C:C,
  "",
  -1
)</f>
        <v>0.25</v>
      </c>
      <c r="G2457">
        <v>122542</v>
      </c>
    </row>
    <row r="2458" spans="1:7">
      <c r="A2458" s="1">
        <v>45940</v>
      </c>
      <c r="B2458">
        <v>120727</v>
      </c>
      <c r="C2458">
        <f>_xlfn.XLOOKUP(A2458, USD!A:A, USD!B:B, "")</f>
        <v>88.757000000000005</v>
      </c>
      <c r="D2458">
        <f>_xlfn.XLOOKUP(A2458, Brent!A:A, Brent!B:B, "")</f>
        <v>64.41</v>
      </c>
      <c r="E2458">
        <f>_xlfn.XLOOKUP(
  A2458,
  Repo!A:A,
  Repo!B:B,
  "",
  -1
)</f>
        <v>5.5</v>
      </c>
      <c r="F2458" s="10">
        <f>_xlfn.XLOOKUP(
  A2458,
  CPI!D:D,
  CPI!C:C,
  "",
  -1
)</f>
        <v>0.25</v>
      </c>
      <c r="G2458">
        <v>119869</v>
      </c>
    </row>
    <row r="2459" spans="1:7">
      <c r="A2459" s="1">
        <v>45943</v>
      </c>
      <c r="B2459">
        <v>123964</v>
      </c>
      <c r="C2459">
        <f>_xlfn.XLOOKUP(A2459, USD!A:A, USD!B:B, "")</f>
        <v>88.665000000000006</v>
      </c>
      <c r="D2459">
        <f>_xlfn.XLOOKUP(A2459, Brent!A:A, Brent!B:B, "")</f>
        <v>64.150000000000006</v>
      </c>
      <c r="E2459">
        <f>_xlfn.XLOOKUP(
  A2459,
  Repo!A:A,
  Repo!B:B,
  "",
  -1
)</f>
        <v>5.5</v>
      </c>
      <c r="F2459" s="10">
        <f>_xlfn.XLOOKUP(
  A2459,
  CPI!D:D,
  CPI!C:C,
  "",
  -1
)</f>
        <v>0.25</v>
      </c>
      <c r="G2459">
        <v>120727</v>
      </c>
    </row>
    <row r="2460" spans="1:7">
      <c r="A2460" s="1">
        <v>45944</v>
      </c>
      <c r="B2460">
        <v>125753</v>
      </c>
      <c r="C2460">
        <f>_xlfn.XLOOKUP(A2460, USD!A:A, USD!B:B, "")</f>
        <v>88.781999999999996</v>
      </c>
      <c r="D2460">
        <f>_xlfn.XLOOKUP(A2460, Brent!A:A, Brent!B:B, "")</f>
        <v>63</v>
      </c>
      <c r="E2460">
        <f>_xlfn.XLOOKUP(
  A2460,
  Repo!A:A,
  Repo!B:B,
  "",
  -1
)</f>
        <v>5.5</v>
      </c>
      <c r="F2460" s="10">
        <f>_xlfn.XLOOKUP(
  A2460,
  CPI!D:D,
  CPI!C:C,
  "",
  -1
)</f>
        <v>0.25</v>
      </c>
      <c r="G2460">
        <v>123964</v>
      </c>
    </row>
    <row r="2461" spans="1:7">
      <c r="A2461" s="1">
        <v>45945</v>
      </c>
      <c r="B2461">
        <v>126641</v>
      </c>
      <c r="C2461">
        <f>_xlfn.XLOOKUP(A2461, USD!A:A, USD!B:B, "")</f>
        <v>87.81</v>
      </c>
      <c r="D2461">
        <f>_xlfn.XLOOKUP(A2461, Brent!A:A, Brent!B:B, "")</f>
        <v>62.33</v>
      </c>
      <c r="E2461">
        <f>_xlfn.XLOOKUP(
  A2461,
  Repo!A:A,
  Repo!B:B,
  "",
  -1
)</f>
        <v>5.5</v>
      </c>
      <c r="F2461" s="10">
        <f>_xlfn.XLOOKUP(
  A2461,
  CPI!D:D,
  CPI!C:C,
  "",
  -1
)</f>
        <v>0.25</v>
      </c>
      <c r="G2461">
        <v>125753</v>
      </c>
    </row>
    <row r="2462" spans="1:7">
      <c r="A2462" s="1">
        <v>45946</v>
      </c>
      <c r="B2462">
        <v>128735</v>
      </c>
      <c r="C2462">
        <f>_xlfn.XLOOKUP(A2462, USD!A:A, USD!B:B, "")</f>
        <v>87.991</v>
      </c>
      <c r="D2462">
        <f>_xlfn.XLOOKUP(A2462, Brent!A:A, Brent!B:B, "")</f>
        <v>61.08</v>
      </c>
      <c r="E2462">
        <f>_xlfn.XLOOKUP(
  A2462,
  Repo!A:A,
  Repo!B:B,
  "",
  -1
)</f>
        <v>5.5</v>
      </c>
      <c r="F2462" s="10">
        <f>_xlfn.XLOOKUP(
  A2462,
  CPI!D:D,
  CPI!C:C,
  "",
  -1
)</f>
        <v>0.25</v>
      </c>
      <c r="G2462">
        <v>126641</v>
      </c>
    </row>
    <row r="2463" spans="1:7">
      <c r="A2463" s="1">
        <v>45947</v>
      </c>
      <c r="B2463">
        <v>125951</v>
      </c>
      <c r="C2463">
        <f>_xlfn.XLOOKUP(A2463, USD!A:A, USD!B:B, "")</f>
        <v>88.003</v>
      </c>
      <c r="D2463">
        <f>_xlfn.XLOOKUP(A2463, Brent!A:A, Brent!B:B, "")</f>
        <v>61.23</v>
      </c>
      <c r="E2463">
        <f>_xlfn.XLOOKUP(
  A2463,
  Repo!A:A,
  Repo!B:B,
  "",
  -1
)</f>
        <v>5.5</v>
      </c>
      <c r="F2463" s="10">
        <f>_xlfn.XLOOKUP(
  A2463,
  CPI!D:D,
  CPI!C:C,
  "",
  -1
)</f>
        <v>0.25</v>
      </c>
      <c r="G2463">
        <v>128735</v>
      </c>
    </row>
    <row r="2464" spans="1:7">
      <c r="A2464" s="1">
        <v>45950</v>
      </c>
      <c r="B2464">
        <v>129493</v>
      </c>
      <c r="C2464">
        <f>_xlfn.XLOOKUP(A2464, USD!A:A, USD!B:B, "")</f>
        <v>87.875</v>
      </c>
      <c r="D2464">
        <f>_xlfn.XLOOKUP(A2464, Brent!A:A, Brent!B:B, "")</f>
        <v>60.71</v>
      </c>
      <c r="E2464">
        <f>_xlfn.XLOOKUP(
  A2464,
  Repo!A:A,
  Repo!B:B,
  "",
  -1
)</f>
        <v>5.5</v>
      </c>
      <c r="F2464" s="10">
        <f>_xlfn.XLOOKUP(
  A2464,
  CPI!D:D,
  CPI!C:C,
  "",
  -1
)</f>
        <v>0.25</v>
      </c>
      <c r="G2464">
        <v>125951</v>
      </c>
    </row>
    <row r="2465" spans="1:7">
      <c r="A2465" s="1">
        <v>45951</v>
      </c>
      <c r="B2465">
        <v>127365</v>
      </c>
      <c r="C2465">
        <f>_xlfn.XLOOKUP(A2465, USD!A:A, USD!B:B, "")</f>
        <v>88.021000000000001</v>
      </c>
      <c r="D2465">
        <f>_xlfn.XLOOKUP(A2465, Brent!A:A, Brent!B:B, "")</f>
        <v>61</v>
      </c>
      <c r="E2465">
        <f>_xlfn.XLOOKUP(
  A2465,
  Repo!A:A,
  Repo!B:B,
  "",
  -1
)</f>
        <v>5.5</v>
      </c>
      <c r="F2465" s="10">
        <f>_xlfn.XLOOKUP(
  A2465,
  CPI!D:D,
  CPI!C:C,
  "",
  -1
)</f>
        <v>0.25</v>
      </c>
      <c r="G2465">
        <v>129493</v>
      </c>
    </row>
    <row r="2466" spans="1:7">
      <c r="A2466" s="1">
        <v>45952</v>
      </c>
      <c r="B2466">
        <v>121069</v>
      </c>
      <c r="C2466">
        <f>_xlfn.XLOOKUP(A2466, USD!A:A, USD!B:B, "")</f>
        <v>87.74</v>
      </c>
      <c r="D2466">
        <f>_xlfn.XLOOKUP(A2466, Brent!A:A, Brent!B:B, "")</f>
        <v>62.28</v>
      </c>
      <c r="E2466">
        <f>_xlfn.XLOOKUP(
  A2466,
  Repo!A:A,
  Repo!B:B,
  "",
  -1
)</f>
        <v>5.5</v>
      </c>
      <c r="F2466" s="10">
        <f>_xlfn.XLOOKUP(
  A2466,
  CPI!D:D,
  CPI!C:C,
  "",
  -1
)</f>
        <v>0.25</v>
      </c>
      <c r="G2466">
        <v>127365</v>
      </c>
    </row>
    <row r="2467" spans="1:7">
      <c r="A2467" s="1">
        <v>45953</v>
      </c>
      <c r="B2467">
        <v>123305</v>
      </c>
      <c r="C2467">
        <f>_xlfn.XLOOKUP(A2467, USD!A:A, USD!B:B, "")</f>
        <v>87.778999999999996</v>
      </c>
      <c r="D2467">
        <f>_xlfn.XLOOKUP(A2467, Brent!A:A, Brent!B:B, "")</f>
        <v>66.319999999999993</v>
      </c>
      <c r="E2467">
        <f>_xlfn.XLOOKUP(
  A2467,
  Repo!A:A,
  Repo!B:B,
  "",
  -1
)</f>
        <v>5.5</v>
      </c>
      <c r="F2467" s="10">
        <f>_xlfn.XLOOKUP(
  A2467,
  CPI!D:D,
  CPI!C:C,
  "",
  -1
)</f>
        <v>0.25</v>
      </c>
      <c r="G2467">
        <v>121069</v>
      </c>
    </row>
    <row r="2468" spans="1:7">
      <c r="A2468" s="1">
        <v>45954</v>
      </c>
      <c r="B2468">
        <v>122549</v>
      </c>
      <c r="C2468">
        <f>_xlfn.XLOOKUP(A2468, USD!A:A, USD!B:B, "")</f>
        <v>87.835999999999999</v>
      </c>
      <c r="D2468">
        <f>_xlfn.XLOOKUP(A2468, Brent!A:A, Brent!B:B, "")</f>
        <v>65.8</v>
      </c>
      <c r="E2468">
        <f>_xlfn.XLOOKUP(
  A2468,
  Repo!A:A,
  Repo!B:B,
  "",
  -1
)</f>
        <v>5.5</v>
      </c>
      <c r="F2468" s="10">
        <f>_xlfn.XLOOKUP(
  A2468,
  CPI!D:D,
  CPI!C:C,
  "",
  -1
)</f>
        <v>0.25</v>
      </c>
      <c r="G2468">
        <v>123305</v>
      </c>
    </row>
    <row r="2469" spans="1:7">
      <c r="A2469" s="1">
        <v>45957</v>
      </c>
      <c r="B2469">
        <v>120002</v>
      </c>
      <c r="C2469">
        <f>_xlfn.XLOOKUP(A2469, USD!A:A, USD!B:B, "")</f>
        <v>88.224999999999994</v>
      </c>
      <c r="D2469">
        <f>_xlfn.XLOOKUP(A2469, Brent!A:A, Brent!B:B, "")</f>
        <v>65.52</v>
      </c>
      <c r="E2469">
        <f>_xlfn.XLOOKUP(
  A2469,
  Repo!A:A,
  Repo!B:B,
  "",
  -1
)</f>
        <v>5.5</v>
      </c>
      <c r="F2469" s="10">
        <f>_xlfn.XLOOKUP(
  A2469,
  CPI!D:D,
  CPI!C:C,
  "",
  -1
)</f>
        <v>0.25</v>
      </c>
      <c r="G2469">
        <v>122549</v>
      </c>
    </row>
    <row r="2470" spans="1:7">
      <c r="A2470" s="1">
        <v>45958</v>
      </c>
      <c r="B2470">
        <v>118699</v>
      </c>
      <c r="C2470">
        <f>_xlfn.XLOOKUP(A2470, USD!A:A, USD!B:B, "")</f>
        <v>88.233999999999995</v>
      </c>
      <c r="D2470">
        <f>_xlfn.XLOOKUP(A2470, Brent!A:A, Brent!B:B, "")</f>
        <v>64.03</v>
      </c>
      <c r="E2470">
        <f>_xlfn.XLOOKUP(
  A2470,
  Repo!A:A,
  Repo!B:B,
  "",
  -1
)</f>
        <v>5.5</v>
      </c>
      <c r="F2470" s="10">
        <f>_xlfn.XLOOKUP(
  A2470,
  CPI!D:D,
  CPI!C:C,
  "",
  -1
)</f>
        <v>0.25</v>
      </c>
      <c r="G2470">
        <v>120002</v>
      </c>
    </row>
    <row r="2471" spans="1:7">
      <c r="A2471" s="1">
        <v>45959</v>
      </c>
      <c r="B2471">
        <v>119424</v>
      </c>
      <c r="C2471">
        <f>_xlfn.XLOOKUP(A2471, USD!A:A, USD!B:B, "")</f>
        <v>88.408000000000001</v>
      </c>
      <c r="D2471">
        <f>_xlfn.XLOOKUP(A2471, Brent!A:A, Brent!B:B, "")</f>
        <v>65.010000000000005</v>
      </c>
      <c r="E2471">
        <f>_xlfn.XLOOKUP(
  A2471,
  Repo!A:A,
  Repo!B:B,
  "",
  -1
)</f>
        <v>5.5</v>
      </c>
      <c r="F2471" s="10">
        <f>_xlfn.XLOOKUP(
  A2471,
  CPI!D:D,
  CPI!C:C,
  "",
  -1
)</f>
        <v>0.25</v>
      </c>
      <c r="G2471">
        <v>118699</v>
      </c>
    </row>
    <row r="2472" spans="1:7">
      <c r="A2472" s="1">
        <v>45960</v>
      </c>
      <c r="B2472">
        <v>120251</v>
      </c>
      <c r="C2472">
        <f>_xlfn.XLOOKUP(A2472, USD!A:A, USD!B:B, "")</f>
        <v>88.632000000000005</v>
      </c>
      <c r="D2472">
        <f>_xlfn.XLOOKUP(A2472, Brent!A:A, Brent!B:B, "")</f>
        <v>65.11</v>
      </c>
      <c r="E2472">
        <f>_xlfn.XLOOKUP(
  A2472,
  Repo!A:A,
  Repo!B:B,
  "",
  -1
)</f>
        <v>5.5</v>
      </c>
      <c r="F2472" s="10">
        <f>_xlfn.XLOOKUP(
  A2472,
  CPI!D:D,
  CPI!C:C,
  "",
  -1
)</f>
        <v>0.25</v>
      </c>
      <c r="G2472">
        <v>119424</v>
      </c>
    </row>
    <row r="2473" spans="1:7">
      <c r="A2473" s="1">
        <v>45961</v>
      </c>
      <c r="B2473">
        <v>121209</v>
      </c>
      <c r="C2473">
        <f>_xlfn.XLOOKUP(A2473, USD!A:A, USD!B:B, "")</f>
        <v>88.769000000000005</v>
      </c>
      <c r="D2473">
        <f>_xlfn.XLOOKUP(A2473, Brent!A:A, Brent!B:B, "")</f>
        <v>65.44</v>
      </c>
      <c r="E2473">
        <f>_xlfn.XLOOKUP(
  A2473,
  Repo!A:A,
  Repo!B:B,
  "",
  -1
)</f>
        <v>5.5</v>
      </c>
      <c r="F2473" s="10">
        <f>_xlfn.XLOOKUP(
  A2473,
  CPI!D:D,
  CPI!C:C,
  "",
  -1
)</f>
        <v>0.25</v>
      </c>
      <c r="G2473">
        <v>120251</v>
      </c>
    </row>
    <row r="2474" spans="1:7">
      <c r="A2474" s="1">
        <v>45964</v>
      </c>
      <c r="B2474">
        <v>121415</v>
      </c>
      <c r="C2474">
        <f>_xlfn.XLOOKUP(A2474, USD!A:A, USD!B:B, "")</f>
        <v>88.724000000000004</v>
      </c>
      <c r="D2474">
        <f>_xlfn.XLOOKUP(A2474, Brent!A:A, Brent!B:B, "")</f>
        <v>65.790000000000006</v>
      </c>
      <c r="E2474">
        <f>_xlfn.XLOOKUP(
  A2474,
  Repo!A:A,
  Repo!B:B,
  "",
  -1
)</f>
        <v>5.5</v>
      </c>
      <c r="F2474" s="10">
        <f>_xlfn.XLOOKUP(
  A2474,
  CPI!D:D,
  CPI!C:C,
  "",
  -1
)</f>
        <v>0.71</v>
      </c>
      <c r="G2474">
        <v>121209</v>
      </c>
    </row>
    <row r="2475" spans="1:7">
      <c r="A2475" s="1">
        <v>45965</v>
      </c>
      <c r="B2475">
        <v>119830</v>
      </c>
      <c r="C2475">
        <f>_xlfn.XLOOKUP(A2475, USD!A:A, USD!B:B, "")</f>
        <v>88.731999999999999</v>
      </c>
      <c r="D2475">
        <f>_xlfn.XLOOKUP(A2475, Brent!A:A, Brent!B:B, "")</f>
        <v>65.040000000000006</v>
      </c>
      <c r="E2475">
        <f>_xlfn.XLOOKUP(
  A2475,
  Repo!A:A,
  Repo!B:B,
  "",
  -1
)</f>
        <v>5.5</v>
      </c>
      <c r="F2475" s="10">
        <f>_xlfn.XLOOKUP(
  A2475,
  CPI!D:D,
  CPI!C:C,
  "",
  -1
)</f>
        <v>0.71</v>
      </c>
      <c r="G2475">
        <v>121415</v>
      </c>
    </row>
    <row r="2476" spans="1:7">
      <c r="A2476" s="1">
        <v>45966</v>
      </c>
      <c r="B2476">
        <v>120494</v>
      </c>
      <c r="C2476">
        <f>_xlfn.XLOOKUP(A2476, USD!A:A, USD!B:B, "")</f>
        <v>88.557000000000002</v>
      </c>
      <c r="D2476">
        <f>_xlfn.XLOOKUP(A2476, Brent!A:A, Brent!B:B, "")</f>
        <v>63.54</v>
      </c>
      <c r="E2476">
        <f>_xlfn.XLOOKUP(
  A2476,
  Repo!A:A,
  Repo!B:B,
  "",
  -1
)</f>
        <v>5.5</v>
      </c>
      <c r="F2476" s="10">
        <f>_xlfn.XLOOKUP(
  A2476,
  CPI!D:D,
  CPI!C:C,
  "",
  -1
)</f>
        <v>0.71</v>
      </c>
      <c r="G2476">
        <v>119830</v>
      </c>
    </row>
    <row r="2477" spans="1:7">
      <c r="A2477" s="1">
        <v>45967</v>
      </c>
      <c r="B2477">
        <v>120587</v>
      </c>
      <c r="C2477">
        <f>_xlfn.XLOOKUP(A2477, USD!A:A, USD!B:B, "")</f>
        <v>88.673000000000002</v>
      </c>
      <c r="D2477">
        <f>_xlfn.XLOOKUP(A2477, Brent!A:A, Brent!B:B, "")</f>
        <v>63.41</v>
      </c>
      <c r="E2477">
        <f>_xlfn.XLOOKUP(
  A2477,
  Repo!A:A,
  Repo!B:B,
  "",
  -1
)</f>
        <v>5.5</v>
      </c>
      <c r="F2477" s="10">
        <f>_xlfn.XLOOKUP(
  A2477,
  CPI!D:D,
  CPI!C:C,
  "",
  -1
)</f>
        <v>0.71</v>
      </c>
      <c r="G2477">
        <v>120494</v>
      </c>
    </row>
    <row r="2478" spans="1:7">
      <c r="A2478" s="1">
        <v>45968</v>
      </c>
      <c r="B2478">
        <v>121056</v>
      </c>
      <c r="C2478">
        <f>_xlfn.XLOOKUP(A2478, USD!A:A, USD!B:B, "")</f>
        <v>88.665000000000006</v>
      </c>
      <c r="D2478">
        <f>_xlfn.XLOOKUP(A2478, Brent!A:A, Brent!B:B, "")</f>
        <v>63.72</v>
      </c>
      <c r="E2478">
        <f>_xlfn.XLOOKUP(
  A2478,
  Repo!A:A,
  Repo!B:B,
  "",
  -1
)</f>
        <v>5.5</v>
      </c>
      <c r="F2478" s="10">
        <f>_xlfn.XLOOKUP(
  A2478,
  CPI!D:D,
  CPI!C:C,
  "",
  -1
)</f>
        <v>0.71</v>
      </c>
      <c r="G2478">
        <v>120587</v>
      </c>
    </row>
    <row r="2479" spans="1:7">
      <c r="A2479" s="1">
        <v>45971</v>
      </c>
      <c r="B2479">
        <v>123897</v>
      </c>
      <c r="C2479">
        <f>_xlfn.XLOOKUP(A2479, USD!A:A, USD!B:B, "")</f>
        <v>88.706999999999994</v>
      </c>
      <c r="D2479">
        <f>_xlfn.XLOOKUP(A2479, Brent!A:A, Brent!B:B, "")</f>
        <v>63.01</v>
      </c>
      <c r="E2479">
        <f>_xlfn.XLOOKUP(
  A2479,
  Repo!A:A,
  Repo!B:B,
  "",
  -1
)</f>
        <v>5.5</v>
      </c>
      <c r="F2479" s="10">
        <f>_xlfn.XLOOKUP(
  A2479,
  CPI!D:D,
  CPI!C:C,
  "",
  -1
)</f>
        <v>0.71</v>
      </c>
      <c r="G2479">
        <v>121056</v>
      </c>
    </row>
    <row r="2480" spans="1:7">
      <c r="A2480" s="1">
        <v>45972</v>
      </c>
      <c r="B2480">
        <v>123897</v>
      </c>
      <c r="C2480">
        <f>_xlfn.XLOOKUP(A2480, USD!A:A, USD!B:B, "")</f>
        <v>88.466999999999999</v>
      </c>
      <c r="D2480">
        <f>_xlfn.XLOOKUP(A2480, Brent!A:A, Brent!B:B, "")</f>
        <v>63.86</v>
      </c>
      <c r="E2480">
        <f>_xlfn.XLOOKUP(
  A2480,
  Repo!A:A,
  Repo!B:B,
  "",
  -1
)</f>
        <v>5.5</v>
      </c>
      <c r="F2480" s="10">
        <f>_xlfn.XLOOKUP(
  A2480,
  CPI!D:D,
  CPI!C:C,
  "",
  -1
)</f>
        <v>0.71</v>
      </c>
      <c r="G2480">
        <v>123897</v>
      </c>
    </row>
    <row r="2481" spans="1:7">
      <c r="A2481" s="1">
        <v>45973</v>
      </c>
      <c r="B2481">
        <v>126363</v>
      </c>
      <c r="C2481">
        <f>_xlfn.XLOOKUP(A2481, USD!A:A, USD!B:B, "")</f>
        <v>88.59</v>
      </c>
      <c r="D2481">
        <f>_xlfn.XLOOKUP(A2481, Brent!A:A, Brent!B:B, "")</f>
        <v>61.88</v>
      </c>
      <c r="E2481">
        <f>_xlfn.XLOOKUP(
  A2481,
  Repo!A:A,
  Repo!B:B,
  "",
  -1
)</f>
        <v>5.5</v>
      </c>
      <c r="F2481" s="10">
        <f>_xlfn.XLOOKUP(
  A2481,
  CPI!D:D,
  CPI!C:C,
  "",
  -1
)</f>
        <v>0.71</v>
      </c>
      <c r="G2481">
        <v>123897</v>
      </c>
    </row>
    <row r="2482" spans="1:7">
      <c r="A2482" s="1">
        <v>45974</v>
      </c>
      <c r="B2482">
        <v>126668</v>
      </c>
      <c r="C2482">
        <f>_xlfn.XLOOKUP(A2482, USD!A:A, USD!B:B, "")</f>
        <v>88.816999999999993</v>
      </c>
      <c r="D2482">
        <f>_xlfn.XLOOKUP(A2482, Brent!A:A, Brent!B:B, "")</f>
        <v>62.14</v>
      </c>
      <c r="E2482">
        <f>_xlfn.XLOOKUP(
  A2482,
  Repo!A:A,
  Repo!B:B,
  "",
  -1
)</f>
        <v>5.5</v>
      </c>
      <c r="F2482" s="10">
        <f>_xlfn.XLOOKUP(
  A2482,
  CPI!D:D,
  CPI!C:C,
  "",
  -1
)</f>
        <v>0.71</v>
      </c>
      <c r="G2482">
        <v>126363</v>
      </c>
    </row>
    <row r="2483" spans="1:7">
      <c r="A2483" s="1">
        <v>45975</v>
      </c>
      <c r="B2483">
        <v>123454</v>
      </c>
      <c r="C2483">
        <f>_xlfn.XLOOKUP(A2483, USD!A:A, USD!B:B, "")</f>
        <v>88.688999999999993</v>
      </c>
      <c r="D2483">
        <f>_xlfn.XLOOKUP(A2483, Brent!A:A, Brent!B:B, "")</f>
        <v>63.45</v>
      </c>
      <c r="E2483">
        <f>_xlfn.XLOOKUP(
  A2483,
  Repo!A:A,
  Repo!B:B,
  "",
  -1
)</f>
        <v>5.5</v>
      </c>
      <c r="F2483" s="10">
        <f>_xlfn.XLOOKUP(
  A2483,
  CPI!D:D,
  CPI!C:C,
  "",
  -1
)</f>
        <v>0.71</v>
      </c>
      <c r="G2483">
        <v>126668</v>
      </c>
    </row>
    <row r="2484" spans="1:7">
      <c r="A2484" s="1">
        <v>45978</v>
      </c>
      <c r="B2484">
        <v>122789</v>
      </c>
      <c r="C2484">
        <f>_xlfn.XLOOKUP(A2484, USD!A:A, USD!B:B, "")</f>
        <v>88.635999999999996</v>
      </c>
      <c r="D2484">
        <f>_xlfn.XLOOKUP(A2484, Brent!A:A, Brent!B:B, "")</f>
        <v>63.16</v>
      </c>
      <c r="E2484">
        <f>_xlfn.XLOOKUP(
  A2484,
  Repo!A:A,
  Repo!B:B,
  "",
  -1
)</f>
        <v>5.5</v>
      </c>
      <c r="F2484" s="10">
        <f>_xlfn.XLOOKUP(
  A2484,
  CPI!D:D,
  CPI!C:C,
  "",
  -1
)</f>
        <v>0.71</v>
      </c>
      <c r="G2484">
        <v>123454</v>
      </c>
    </row>
    <row r="2485" spans="1:7">
      <c r="A2485" s="1">
        <v>45979</v>
      </c>
      <c r="B2485">
        <v>122591</v>
      </c>
      <c r="C2485">
        <f>_xlfn.XLOOKUP(A2485, USD!A:A, USD!B:B, "")</f>
        <v>88.552000000000007</v>
      </c>
      <c r="D2485">
        <f>_xlfn.XLOOKUP(A2485, Brent!A:A, Brent!B:B, "")</f>
        <v>64.86</v>
      </c>
      <c r="E2485">
        <f>_xlfn.XLOOKUP(
  A2485,
  Repo!A:A,
  Repo!B:B,
  "",
  -1
)</f>
        <v>5.5</v>
      </c>
      <c r="F2485" s="10">
        <f>_xlfn.XLOOKUP(
  A2485,
  CPI!D:D,
  CPI!C:C,
  "",
  -1
)</f>
        <v>0.71</v>
      </c>
      <c r="G2485">
        <v>122789</v>
      </c>
    </row>
    <row r="2486" spans="1:7">
      <c r="A2486" s="1">
        <v>45980</v>
      </c>
      <c r="B2486">
        <v>122904</v>
      </c>
      <c r="C2486">
        <f>_xlfn.XLOOKUP(A2486, USD!A:A, USD!B:B, "")</f>
        <v>88.492000000000004</v>
      </c>
      <c r="D2486">
        <f>_xlfn.XLOOKUP(A2486, Brent!A:A, Brent!B:B, "")</f>
        <v>63.78</v>
      </c>
      <c r="E2486">
        <f>_xlfn.XLOOKUP(
  A2486,
  Repo!A:A,
  Repo!B:B,
  "",
  -1
)</f>
        <v>5.5</v>
      </c>
      <c r="F2486" s="10">
        <f>_xlfn.XLOOKUP(
  A2486,
  CPI!D:D,
  CPI!C:C,
  "",
  -1
)</f>
        <v>0.71</v>
      </c>
      <c r="G2486">
        <v>122591</v>
      </c>
    </row>
    <row r="2487" spans="1:7">
      <c r="A2487" s="1">
        <v>45981</v>
      </c>
      <c r="B2487">
        <v>122578</v>
      </c>
      <c r="C2487">
        <f>_xlfn.XLOOKUP(A2487, USD!A:A, USD!B:B, "")</f>
        <v>88.715000000000003</v>
      </c>
      <c r="D2487">
        <f>_xlfn.XLOOKUP(A2487, Brent!A:A, Brent!B:B, "")</f>
        <v>63.64</v>
      </c>
      <c r="E2487">
        <f>_xlfn.XLOOKUP(
  A2487,
  Repo!A:A,
  Repo!B:B,
  "",
  -1
)</f>
        <v>5.5</v>
      </c>
      <c r="F2487" s="10">
        <f>_xlfn.XLOOKUP(
  A2487,
  CPI!D:D,
  CPI!C:C,
  "",
  -1
)</f>
        <v>0.71</v>
      </c>
      <c r="G2487">
        <v>122904</v>
      </c>
    </row>
    <row r="2488" spans="1:7">
      <c r="A2488" s="1">
        <v>45982</v>
      </c>
      <c r="B2488">
        <v>123849</v>
      </c>
      <c r="C2488">
        <f>_xlfn.XLOOKUP(A2488, USD!A:A, USD!B:B, "")</f>
        <v>89.641000000000005</v>
      </c>
      <c r="D2488">
        <f>_xlfn.XLOOKUP(A2488, Brent!A:A, Brent!B:B, "")</f>
        <v>62.78</v>
      </c>
      <c r="E2488">
        <f>_xlfn.XLOOKUP(
  A2488,
  Repo!A:A,
  Repo!B:B,
  "",
  -1
)</f>
        <v>5.5</v>
      </c>
      <c r="F2488" s="10">
        <f>_xlfn.XLOOKUP(
  A2488,
  CPI!D:D,
  CPI!C:C,
  "",
  -1
)</f>
        <v>0.71</v>
      </c>
      <c r="G2488">
        <v>122578</v>
      </c>
    </row>
    <row r="2489" spans="1:7">
      <c r="A2489" s="1">
        <v>45985</v>
      </c>
      <c r="B2489">
        <v>123614</v>
      </c>
      <c r="C2489">
        <f>_xlfn.XLOOKUP(A2489, USD!A:A, USD!B:B, "")</f>
        <v>89.147999999999996</v>
      </c>
      <c r="D2489">
        <f>_xlfn.XLOOKUP(A2489, Brent!A:A, Brent!B:B, "")</f>
        <v>64.83</v>
      </c>
      <c r="E2489">
        <f>_xlfn.XLOOKUP(
  A2489,
  Repo!A:A,
  Repo!B:B,
  "",
  -1
)</f>
        <v>5.5</v>
      </c>
      <c r="F2489" s="10">
        <f>_xlfn.XLOOKUP(
  A2489,
  CPI!D:D,
  CPI!C:C,
  "",
  -1
)</f>
        <v>0.71</v>
      </c>
      <c r="G2489">
        <v>123849</v>
      </c>
    </row>
    <row r="2490" spans="1:7">
      <c r="A2490" s="1">
        <v>45986</v>
      </c>
      <c r="B2490">
        <v>124916</v>
      </c>
      <c r="C2490">
        <f>_xlfn.XLOOKUP(A2490, USD!A:A, USD!B:B, "")</f>
        <v>89.153000000000006</v>
      </c>
      <c r="D2490">
        <f>_xlfn.XLOOKUP(A2490, Brent!A:A, Brent!B:B, "")</f>
        <v>63.99</v>
      </c>
      <c r="E2490">
        <f>_xlfn.XLOOKUP(
  A2490,
  Repo!A:A,
  Repo!B:B,
  "",
  -1
)</f>
        <v>5.5</v>
      </c>
      <c r="F2490" s="10">
        <f>_xlfn.XLOOKUP(
  A2490,
  CPI!D:D,
  CPI!C:C,
  "",
  -1
)</f>
        <v>0.71</v>
      </c>
      <c r="G2490">
        <v>123614</v>
      </c>
    </row>
    <row r="2491" spans="1:7">
      <c r="A2491" s="1">
        <v>45987</v>
      </c>
      <c r="B2491">
        <v>125674</v>
      </c>
      <c r="C2491">
        <f>_xlfn.XLOOKUP(A2491, USD!A:A, USD!B:B, "")</f>
        <v>89.161000000000001</v>
      </c>
      <c r="D2491">
        <f>_xlfn.XLOOKUP(A2491, Brent!A:A, Brent!B:B, "")</f>
        <v>64.81</v>
      </c>
      <c r="E2491">
        <f>_xlfn.XLOOKUP(
  A2491,
  Repo!A:A,
  Repo!B:B,
  "",
  -1
)</f>
        <v>5.5</v>
      </c>
      <c r="F2491" s="10">
        <f>_xlfn.XLOOKUP(
  A2491,
  CPI!D:D,
  CPI!C:C,
  "",
  -1
)</f>
        <v>0.71</v>
      </c>
      <c r="G2491">
        <v>124916</v>
      </c>
    </row>
    <row r="2492" spans="1:7">
      <c r="A2492" s="1">
        <v>45988</v>
      </c>
      <c r="B2492">
        <v>125465</v>
      </c>
      <c r="C2492">
        <f>_xlfn.XLOOKUP(A2492, USD!A:A, USD!B:B, "")</f>
        <v>89.364999999999995</v>
      </c>
      <c r="D2492">
        <f>_xlfn.XLOOKUP(A2492, Brent!A:A, Brent!B:B, "")</f>
        <v>64.180000000000007</v>
      </c>
      <c r="E2492">
        <f>_xlfn.XLOOKUP(
  A2492,
  Repo!A:A,
  Repo!B:B,
  "",
  -1
)</f>
        <v>5.5</v>
      </c>
      <c r="F2492" s="10">
        <f>_xlfn.XLOOKUP(
  A2492,
  CPI!D:D,
  CPI!C:C,
  "",
  -1
)</f>
        <v>0.71</v>
      </c>
      <c r="G2492">
        <v>125674</v>
      </c>
    </row>
    <row r="2493" spans="1:7">
      <c r="A2493" s="1">
        <v>45989</v>
      </c>
      <c r="B2493">
        <v>126943</v>
      </c>
      <c r="C2493">
        <f>_xlfn.XLOOKUP(A2493, USD!A:A, USD!B:B, "")</f>
        <v>89.356999999999999</v>
      </c>
      <c r="D2493">
        <f>_xlfn.XLOOKUP(A2493, Brent!A:A, Brent!B:B, "")</f>
        <v>64.069999999999993</v>
      </c>
      <c r="E2493">
        <f>_xlfn.XLOOKUP(
  A2493,
  Repo!A:A,
  Repo!B:B,
  "",
  -1
)</f>
        <v>5.5</v>
      </c>
      <c r="F2493" s="10">
        <f>_xlfn.XLOOKUP(
  A2493,
  CPI!D:D,
  CPI!C:C,
  "",
  -1
)</f>
        <v>0.71</v>
      </c>
      <c r="G2493">
        <v>125465</v>
      </c>
    </row>
    <row r="2494" spans="1:7">
      <c r="A2494" s="1">
        <v>45992</v>
      </c>
      <c r="B2494">
        <v>128034</v>
      </c>
      <c r="C2494">
        <f>_xlfn.XLOOKUP(A2494, USD!A:A, USD!B:B, "")</f>
        <v>89.613</v>
      </c>
      <c r="D2494">
        <f>_xlfn.XLOOKUP(A2494, Brent!A:A, Brent!B:B, "")</f>
        <v>64.22</v>
      </c>
      <c r="E2494">
        <f>_xlfn.XLOOKUP(
  A2494,
  Repo!A:A,
  Repo!B:B,
  "",
  -1
)</f>
        <v>5.5</v>
      </c>
      <c r="F2494" s="10">
        <f>_xlfn.XLOOKUP(
  A2494,
  CPI!D:D,
  CPI!C:C,
  "",
  -1
)</f>
        <v>1.33</v>
      </c>
      <c r="G2494">
        <v>126943</v>
      </c>
    </row>
    <row r="2495" spans="1:7">
      <c r="A2495" s="1">
        <v>45993</v>
      </c>
      <c r="B2495">
        <v>128666</v>
      </c>
      <c r="C2495">
        <f>_xlfn.XLOOKUP(A2495, USD!A:A, USD!B:B, "")</f>
        <v>89.918000000000006</v>
      </c>
      <c r="D2495">
        <f>_xlfn.XLOOKUP(A2495, Brent!A:A, Brent!B:B, "")</f>
        <v>63.37</v>
      </c>
      <c r="E2495">
        <f>_xlfn.XLOOKUP(
  A2495,
  Repo!A:A,
  Repo!B:B,
  "",
  -1
)</f>
        <v>5.5</v>
      </c>
      <c r="F2495" s="10">
        <f>_xlfn.XLOOKUP(
  A2495,
  CPI!D:D,
  CPI!C:C,
  "",
  -1
)</f>
        <v>1.33</v>
      </c>
      <c r="G2495">
        <v>128034</v>
      </c>
    </row>
    <row r="2496" spans="1:7">
      <c r="A2496" s="1">
        <v>45994</v>
      </c>
      <c r="B2496">
        <v>129305</v>
      </c>
      <c r="C2496">
        <f>_xlfn.XLOOKUP(A2496, USD!A:A, USD!B:B, "")</f>
        <v>90.171000000000006</v>
      </c>
      <c r="D2496">
        <f>_xlfn.XLOOKUP(A2496, Brent!A:A, Brent!B:B, "")</f>
        <v>63.75</v>
      </c>
      <c r="E2496">
        <f>_xlfn.XLOOKUP(
  A2496,
  Repo!A:A,
  Repo!B:B,
  "",
  -1
)</f>
        <v>5.5</v>
      </c>
      <c r="F2496" s="10">
        <f>_xlfn.XLOOKUP(
  A2496,
  CPI!D:D,
  CPI!C:C,
  "",
  -1
)</f>
        <v>1.33</v>
      </c>
      <c r="G2496">
        <v>128666</v>
      </c>
    </row>
    <row r="2497" spans="1:7">
      <c r="A2497" s="1">
        <v>45995</v>
      </c>
      <c r="B2497">
        <v>128894</v>
      </c>
      <c r="C2497">
        <f>_xlfn.XLOOKUP(A2497, USD!A:A, USD!B:B, "")</f>
        <v>89.837000000000003</v>
      </c>
      <c r="D2497">
        <f>_xlfn.XLOOKUP(A2497, Brent!A:A, Brent!B:B, "")</f>
        <v>64.150000000000006</v>
      </c>
      <c r="E2497">
        <f>_xlfn.XLOOKUP(
  A2497,
  Repo!A:A,
  Repo!B:B,
  "",
  -1
)</f>
        <v>5.5</v>
      </c>
      <c r="F2497" s="10">
        <f>_xlfn.XLOOKUP(
  A2497,
  CPI!D:D,
  CPI!C:C,
  "",
  -1
)</f>
        <v>1.33</v>
      </c>
      <c r="G2497">
        <v>129305</v>
      </c>
    </row>
    <row r="2498" spans="1:7">
      <c r="A2498" s="1">
        <v>45996</v>
      </c>
      <c r="B2498">
        <v>129206</v>
      </c>
      <c r="C2498">
        <f>_xlfn.XLOOKUP(A2498, USD!A:A, USD!B:B, "")</f>
        <v>89.944999999999993</v>
      </c>
      <c r="D2498">
        <f>_xlfn.XLOOKUP(A2498, Brent!A:A, Brent!B:B, "")</f>
        <v>64.42</v>
      </c>
      <c r="E2498">
        <f>_xlfn.XLOOKUP(
  A2498,
  Repo!A:A,
  Repo!B:B,
  "",
  -1
)</f>
        <v>5.5</v>
      </c>
      <c r="F2498" s="10">
        <f>_xlfn.XLOOKUP(
  A2498,
  CPI!D:D,
  CPI!C:C,
  "",
  -1
)</f>
        <v>1.33</v>
      </c>
      <c r="G2498">
        <v>128894</v>
      </c>
    </row>
    <row r="2499" spans="1:7">
      <c r="A2499" s="1">
        <v>45999</v>
      </c>
      <c r="B2499">
        <v>128736</v>
      </c>
      <c r="C2499">
        <f>_xlfn.XLOOKUP(A2499, USD!A:A, USD!B:B, "")</f>
        <v>90.13</v>
      </c>
      <c r="D2499">
        <f>_xlfn.XLOOKUP(A2499, Brent!A:A, Brent!B:B, "")</f>
        <v>63.3</v>
      </c>
      <c r="E2499">
        <f>_xlfn.XLOOKUP(
  A2499,
  Repo!A:A,
  Repo!B:B,
  "",
  -1
)</f>
        <v>5.5</v>
      </c>
      <c r="F2499" s="10">
        <f>_xlfn.XLOOKUP(
  A2499,
  CPI!D:D,
  CPI!C:C,
  "",
  -1
)</f>
        <v>1.33</v>
      </c>
      <c r="G2499">
        <v>129206</v>
      </c>
    </row>
    <row r="2500" spans="1:7">
      <c r="A2500" s="1">
        <v>46000</v>
      </c>
      <c r="B2500">
        <v>128853</v>
      </c>
      <c r="C2500">
        <f>_xlfn.XLOOKUP(A2500, USD!A:A, USD!B:B, "")</f>
        <v>89.917000000000002</v>
      </c>
      <c r="D2500">
        <f>_xlfn.XLOOKUP(A2500, Brent!A:A, Brent!B:B, "")</f>
        <v>62.62</v>
      </c>
      <c r="E2500">
        <f>_xlfn.XLOOKUP(
  A2500,
  Repo!A:A,
  Repo!B:B,
  "",
  -1
)</f>
        <v>5.5</v>
      </c>
      <c r="F2500" s="10">
        <f>_xlfn.XLOOKUP(
  A2500,
  CPI!D:D,
  CPI!C:C,
  "",
  -1
)</f>
        <v>1.33</v>
      </c>
      <c r="G2500">
        <v>128736</v>
      </c>
    </row>
    <row r="2501" spans="1:7">
      <c r="A2501" s="1">
        <v>46001</v>
      </c>
      <c r="B2501">
        <v>128500</v>
      </c>
      <c r="C2501">
        <f>_xlfn.XLOOKUP(A2501, USD!A:A, USD!B:B, "")</f>
        <v>89.793000000000006</v>
      </c>
      <c r="D2501">
        <f>_xlfn.XLOOKUP(A2501, Brent!A:A, Brent!B:B, "")</f>
        <v>63.12</v>
      </c>
      <c r="E2501">
        <f>_xlfn.XLOOKUP(
  A2501,
  Repo!A:A,
  Repo!B:B,
  "",
  -1
)</f>
        <v>5.5</v>
      </c>
      <c r="F2501" s="10">
        <f>_xlfn.XLOOKUP(
  A2501,
  CPI!D:D,
  CPI!C:C,
  "",
  -1
)</f>
        <v>1.33</v>
      </c>
      <c r="G2501">
        <v>128853</v>
      </c>
    </row>
    <row r="2502" spans="1:7">
      <c r="A2502" s="1">
        <v>46002</v>
      </c>
      <c r="B2502">
        <v>130905</v>
      </c>
      <c r="C2502">
        <f>_xlfn.XLOOKUP(A2502, USD!A:A, USD!B:B, "")</f>
        <v>90.251000000000005</v>
      </c>
      <c r="D2502">
        <f>_xlfn.XLOOKUP(A2502, Brent!A:A, Brent!B:B, "")</f>
        <v>61.87</v>
      </c>
      <c r="E2502">
        <f>_xlfn.XLOOKUP(
  A2502,
  Repo!A:A,
  Repo!B:B,
  "",
  -1
)</f>
        <v>5.5</v>
      </c>
      <c r="F2502" s="10">
        <f>_xlfn.XLOOKUP(
  A2502,
  CPI!D:D,
  CPI!C:C,
  "",
  -1
)</f>
        <v>1.33</v>
      </c>
      <c r="G2502">
        <v>128500</v>
      </c>
    </row>
    <row r="2503" spans="1:7">
      <c r="A2503" s="1">
        <v>46003</v>
      </c>
      <c r="B2503">
        <v>131645</v>
      </c>
      <c r="C2503">
        <f>_xlfn.XLOOKUP(A2503, USD!A:A, USD!B:B, "")</f>
        <v>90.584000000000003</v>
      </c>
      <c r="D2503">
        <f>_xlfn.XLOOKUP(A2503, Brent!A:A, Brent!B:B, "")</f>
        <v>62.11</v>
      </c>
      <c r="E2503">
        <f>_xlfn.XLOOKUP(
  A2503,
  Repo!A:A,
  Repo!B:B,
  "",
  -1
)</f>
        <v>5.5</v>
      </c>
      <c r="F2503" s="10">
        <f>_xlfn.XLOOKUP(
  A2503,
  CPI!D:D,
  CPI!C:C,
  "",
  -1
)</f>
        <v>1.33</v>
      </c>
      <c r="G2503">
        <v>130905</v>
      </c>
    </row>
    <row r="2504" spans="1:7">
      <c r="A2504" s="1">
        <v>46006</v>
      </c>
      <c r="B2504">
        <v>132491</v>
      </c>
      <c r="C2504">
        <f>_xlfn.XLOOKUP(A2504, USD!A:A, USD!B:B, "")</f>
        <v>90.775000000000006</v>
      </c>
      <c r="D2504">
        <f>_xlfn.XLOOKUP(A2504, Brent!A:A, Brent!B:B, "")</f>
        <v>61.55</v>
      </c>
      <c r="E2504">
        <f>_xlfn.XLOOKUP(
  A2504,
  Repo!A:A,
  Repo!B:B,
  "",
  -1
)</f>
        <v>5.5</v>
      </c>
      <c r="F2504" s="10">
        <f>_xlfn.XLOOKUP(
  A2504,
  CPI!D:D,
  CPI!C:C,
  "",
  -1
)</f>
        <v>1.33</v>
      </c>
      <c r="G2504">
        <v>131645</v>
      </c>
    </row>
    <row r="2505" spans="1:7">
      <c r="A2505" s="1">
        <v>46007</v>
      </c>
      <c r="B2505">
        <v>132627</v>
      </c>
      <c r="C2505">
        <f>_xlfn.XLOOKUP(A2505, USD!A:A, USD!B:B, "")</f>
        <v>90.948999999999998</v>
      </c>
      <c r="D2505">
        <f>_xlfn.XLOOKUP(A2505, Brent!A:A, Brent!B:B, "")</f>
        <v>59.93</v>
      </c>
      <c r="E2505">
        <f>_xlfn.XLOOKUP(
  A2505,
  Repo!A:A,
  Repo!B:B,
  "",
  -1
)</f>
        <v>5.5</v>
      </c>
      <c r="F2505" s="10">
        <f>_xlfn.XLOOKUP(
  A2505,
  CPI!D:D,
  CPI!C:C,
  "",
  -1
)</f>
        <v>1.33</v>
      </c>
      <c r="G2505">
        <v>132491</v>
      </c>
    </row>
    <row r="2506" spans="1:7">
      <c r="A2506" s="1">
        <v>46008</v>
      </c>
      <c r="B2506">
        <v>133115</v>
      </c>
      <c r="C2506">
        <f>_xlfn.XLOOKUP(A2506, USD!A:A, USD!B:B, "")</f>
        <v>90.409000000000006</v>
      </c>
      <c r="D2506">
        <f>_xlfn.XLOOKUP(A2506, Brent!A:A, Brent!B:B, "")</f>
        <v>60.61</v>
      </c>
      <c r="E2506">
        <f>_xlfn.XLOOKUP(
  A2506,
  Repo!A:A,
  Repo!B:B,
  "",
  -1
)</f>
        <v>5.5</v>
      </c>
      <c r="F2506" s="10">
        <f>_xlfn.XLOOKUP(
  A2506,
  CPI!D:D,
  CPI!C:C,
  "",
  -1
)</f>
        <v>1.33</v>
      </c>
      <c r="G2506">
        <v>132627</v>
      </c>
    </row>
    <row r="2507" spans="1:7">
      <c r="A2507" s="1">
        <v>46009</v>
      </c>
      <c r="B2507">
        <v>132684</v>
      </c>
      <c r="C2507">
        <f>_xlfn.XLOOKUP(A2507, USD!A:A, USD!B:B, "")</f>
        <v>90.266999999999996</v>
      </c>
      <c r="D2507">
        <f>_xlfn.XLOOKUP(A2507, Brent!A:A, Brent!B:B, "")</f>
        <v>60.69</v>
      </c>
      <c r="E2507">
        <f>_xlfn.XLOOKUP(
  A2507,
  Repo!A:A,
  Repo!B:B,
  "",
  -1
)</f>
        <v>5.5</v>
      </c>
      <c r="F2507" s="10">
        <f>_xlfn.XLOOKUP(
  A2507,
  CPI!D:D,
  CPI!C:C,
  "",
  -1
)</f>
        <v>1.33</v>
      </c>
      <c r="G2507">
        <v>133115</v>
      </c>
    </row>
    <row r="2508" spans="1:7">
      <c r="A2508" s="1">
        <v>46010</v>
      </c>
      <c r="B2508">
        <v>132427</v>
      </c>
      <c r="C2508">
        <f>_xlfn.XLOOKUP(A2508, USD!A:A, USD!B:B, "")</f>
        <v>89.576999999999998</v>
      </c>
      <c r="D2508">
        <f>_xlfn.XLOOKUP(A2508, Brent!A:A, Brent!B:B, "")</f>
        <v>61.35</v>
      </c>
      <c r="E2508">
        <f>_xlfn.XLOOKUP(
  A2508,
  Repo!A:A,
  Repo!B:B,
  "",
  -1
)</f>
        <v>5.5</v>
      </c>
      <c r="F2508" s="10">
        <f>_xlfn.XLOOKUP(
  A2508,
  CPI!D:D,
  CPI!C:C,
  "",
  -1
)</f>
        <v>1.33</v>
      </c>
      <c r="G2508">
        <v>132684</v>
      </c>
    </row>
    <row r="2509" spans="1:7">
      <c r="A2509" s="1">
        <v>46013</v>
      </c>
      <c r="B2509">
        <v>134638</v>
      </c>
      <c r="C2509">
        <f>_xlfn.XLOOKUP(A2509, USD!A:A, USD!B:B, "")</f>
        <v>89.603999999999999</v>
      </c>
      <c r="D2509">
        <f>_xlfn.XLOOKUP(A2509, Brent!A:A, Brent!B:B, "")</f>
        <v>62.22</v>
      </c>
      <c r="E2509">
        <f>_xlfn.XLOOKUP(
  A2509,
  Repo!A:A,
  Repo!B:B,
  "",
  -1
)</f>
        <v>5.5</v>
      </c>
      <c r="F2509" s="10">
        <f>_xlfn.XLOOKUP(
  A2509,
  CPI!D:D,
  CPI!C:C,
  "",
  -1
)</f>
        <v>1.33</v>
      </c>
      <c r="G2509">
        <v>132427</v>
      </c>
    </row>
    <row r="2510" spans="1:7">
      <c r="A2510" s="1">
        <v>46014</v>
      </c>
      <c r="B2510">
        <v>135799</v>
      </c>
      <c r="C2510">
        <f>_xlfn.XLOOKUP(A2510, USD!A:A, USD!B:B, "")</f>
        <v>89.436000000000007</v>
      </c>
      <c r="D2510">
        <f>_xlfn.XLOOKUP(A2510, Brent!A:A, Brent!B:B, "")</f>
        <v>63.7</v>
      </c>
      <c r="E2510">
        <f>_xlfn.XLOOKUP(
  A2510,
  Repo!A:A,
  Repo!B:B,
  "",
  -1
)</f>
        <v>5.5</v>
      </c>
      <c r="F2510" s="10">
        <f>_xlfn.XLOOKUP(
  A2510,
  CPI!D:D,
  CPI!C:C,
  "",
  -1
)</f>
        <v>1.33</v>
      </c>
      <c r="G2510">
        <v>134638</v>
      </c>
    </row>
    <row r="2511" spans="1:7">
      <c r="A2511" s="1">
        <v>46015</v>
      </c>
      <c r="B2511">
        <v>136104</v>
      </c>
      <c r="C2511">
        <f>_xlfn.XLOOKUP(A2511, USD!A:A, USD!B:B, "")</f>
        <v>89.813999999999993</v>
      </c>
      <c r="D2511">
        <f>_xlfn.XLOOKUP(A2511, Brent!A:A, Brent!B:B, "")</f>
        <v>63.7</v>
      </c>
      <c r="E2511">
        <f>_xlfn.XLOOKUP(
  A2511,
  Repo!A:A,
  Repo!B:B,
  "",
  -1
)</f>
        <v>5.5</v>
      </c>
      <c r="F2511" s="10">
        <f>_xlfn.XLOOKUP(
  A2511,
  CPI!D:D,
  CPI!C:C,
  "",
  -1
)</f>
        <v>1.33</v>
      </c>
      <c r="G2511">
        <v>135799</v>
      </c>
    </row>
    <row r="2512" spans="1:7">
      <c r="A2512" s="1">
        <v>46020</v>
      </c>
      <c r="B2512">
        <v>132595</v>
      </c>
      <c r="C2512">
        <f>_xlfn.XLOOKUP(A2512, USD!A:A, USD!B:B, "")</f>
        <v>89.9</v>
      </c>
      <c r="D2512">
        <f>_xlfn.XLOOKUP(A2512, Brent!A:A, Brent!B:B, "")</f>
        <v>63.1</v>
      </c>
      <c r="E2512">
        <f>_xlfn.XLOOKUP(
  A2512,
  Repo!A:A,
  Repo!B:B,
  "",
  -1
)</f>
        <v>5.5</v>
      </c>
      <c r="F2512" s="10">
        <f>_xlfn.XLOOKUP(
  A2512,
  CPI!D:D,
  CPI!C:C,
  "",
  -1
)</f>
        <v>1.33</v>
      </c>
      <c r="G2512">
        <v>136104</v>
      </c>
    </row>
    <row r="2513" spans="1:7">
      <c r="A2513" s="1">
        <v>46021</v>
      </c>
      <c r="B2513">
        <v>133974</v>
      </c>
      <c r="C2513">
        <f>_xlfn.XLOOKUP(A2513, USD!A:A, USD!B:B, "")</f>
        <v>89.77</v>
      </c>
      <c r="D2513">
        <f>_xlfn.XLOOKUP(A2513, Brent!A:A, Brent!B:B, "")</f>
        <v>62.3</v>
      </c>
      <c r="E2513">
        <f>_xlfn.XLOOKUP(
  A2513,
  Repo!A:A,
  Repo!B:B,
  "",
  -1
)</f>
        <v>5.5</v>
      </c>
      <c r="F2513" s="10">
        <f>_xlfn.XLOOKUP(
  A2513,
  CPI!D:D,
  CPI!C:C,
  "",
  -1
)</f>
        <v>1.33</v>
      </c>
      <c r="G2513">
        <v>132595</v>
      </c>
    </row>
    <row r="2514" spans="1:7">
      <c r="A2514" s="1">
        <v>46022</v>
      </c>
      <c r="B2514">
        <v>135454</v>
      </c>
      <c r="C2514">
        <f>_xlfn.XLOOKUP(A2514, USD!A:A, USD!B:B, "")</f>
        <v>89.870999999999995</v>
      </c>
      <c r="D2514">
        <f>_xlfn.XLOOKUP(A2514, Brent!A:A, Brent!B:B, "")</f>
        <v>61.35</v>
      </c>
      <c r="E2514">
        <f>_xlfn.XLOOKUP(
  A2514,
  Repo!A:A,
  Repo!B:B,
  "",
  -1
)</f>
        <v>5.5</v>
      </c>
      <c r="F2514" s="10">
        <f>_xlfn.XLOOKUP(
  A2514,
  CPI!D:D,
  CPI!C:C,
  "",
  -1
)</f>
        <v>1.33</v>
      </c>
      <c r="G2514">
        <v>133974</v>
      </c>
    </row>
    <row r="2515" spans="1:7">
      <c r="A2515" s="1">
        <v>46024</v>
      </c>
      <c r="B2515">
        <v>135793</v>
      </c>
      <c r="C2515">
        <f>_xlfn.XLOOKUP(A2515, USD!A:A, USD!B:B, "")</f>
        <v>90.013999999999996</v>
      </c>
      <c r="D2515">
        <f>_xlfn.XLOOKUP(A2515, Brent!A:A, Brent!B:B, "")</f>
        <v>61.98</v>
      </c>
      <c r="E2515">
        <f>_xlfn.XLOOKUP(
  A2515,
  Repo!A:A,
  Repo!B:B,
  "",
  -1
)</f>
        <v>5.5</v>
      </c>
      <c r="F2515" s="10">
        <f>_xlfn.XLOOKUP(
  A2515,
  CPI!D:D,
  CPI!C:C,
  "",
  -1
)</f>
        <v>1.33</v>
      </c>
      <c r="G2515">
        <v>135454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E4CCD-F659-449F-B0A0-B1D322E40ED6}">
  <dimension ref="A1:B2611"/>
  <sheetViews>
    <sheetView workbookViewId="0">
      <selection activeCell="C1" sqref="C1"/>
    </sheetView>
  </sheetViews>
  <sheetFormatPr defaultRowHeight="15"/>
  <cols>
    <col min="1" max="1" width="14.5703125" style="1" customWidth="1"/>
    <col min="2" max="2" width="14.5703125" customWidth="1"/>
  </cols>
  <sheetData>
    <row r="1" spans="1:2">
      <c r="A1" s="1" t="s">
        <v>0</v>
      </c>
      <c r="B1" t="s">
        <v>7</v>
      </c>
    </row>
    <row r="2" spans="1:2">
      <c r="A2" s="1">
        <v>42391</v>
      </c>
      <c r="B2">
        <v>67.549000000000007</v>
      </c>
    </row>
    <row r="3" spans="1:2">
      <c r="A3" s="1">
        <v>42394</v>
      </c>
      <c r="B3">
        <v>67.754999999999995</v>
      </c>
    </row>
    <row r="4" spans="1:2">
      <c r="A4" s="1">
        <v>42395</v>
      </c>
      <c r="B4">
        <v>67.739000000000004</v>
      </c>
    </row>
    <row r="5" spans="1:2">
      <c r="A5" s="1">
        <v>42396</v>
      </c>
      <c r="B5">
        <v>68.144000000000005</v>
      </c>
    </row>
    <row r="6" spans="1:2">
      <c r="A6" s="1">
        <v>42397</v>
      </c>
      <c r="B6">
        <v>68.052999999999997</v>
      </c>
    </row>
    <row r="7" spans="1:2">
      <c r="A7" s="1">
        <v>42398</v>
      </c>
      <c r="B7">
        <v>67.878</v>
      </c>
    </row>
    <row r="8" spans="1:2">
      <c r="A8" s="1">
        <v>42401</v>
      </c>
      <c r="B8">
        <v>67.834999999999994</v>
      </c>
    </row>
    <row r="9" spans="1:2">
      <c r="A9" s="1">
        <v>42402</v>
      </c>
      <c r="B9">
        <v>67.974999999999994</v>
      </c>
    </row>
    <row r="10" spans="1:2">
      <c r="A10" s="1">
        <v>42403</v>
      </c>
      <c r="B10">
        <v>67.933999999999997</v>
      </c>
    </row>
    <row r="11" spans="1:2">
      <c r="A11" s="1">
        <v>42404</v>
      </c>
      <c r="B11">
        <v>67.543999999999997</v>
      </c>
    </row>
    <row r="12" spans="1:2">
      <c r="A12" s="1">
        <v>42405</v>
      </c>
      <c r="B12">
        <v>67.81</v>
      </c>
    </row>
    <row r="13" spans="1:2">
      <c r="A13" s="1">
        <v>42408</v>
      </c>
      <c r="B13">
        <v>68.034000000000006</v>
      </c>
    </row>
    <row r="14" spans="1:2">
      <c r="A14" s="1">
        <v>42409</v>
      </c>
      <c r="B14">
        <v>67.900999999999996</v>
      </c>
    </row>
    <row r="15" spans="1:2">
      <c r="A15" s="1">
        <v>42410</v>
      </c>
      <c r="B15">
        <v>67.861000000000004</v>
      </c>
    </row>
    <row r="16" spans="1:2">
      <c r="A16" s="1">
        <v>42411</v>
      </c>
      <c r="B16">
        <v>68.471000000000004</v>
      </c>
    </row>
    <row r="17" spans="1:2">
      <c r="A17" s="1">
        <v>42412</v>
      </c>
      <c r="B17">
        <v>68.117999999999995</v>
      </c>
    </row>
    <row r="18" spans="1:2">
      <c r="A18" s="1">
        <v>42415</v>
      </c>
      <c r="B18">
        <v>68.131</v>
      </c>
    </row>
    <row r="19" spans="1:2">
      <c r="A19" s="1">
        <v>42416</v>
      </c>
      <c r="B19">
        <v>68.474000000000004</v>
      </c>
    </row>
    <row r="20" spans="1:2">
      <c r="A20" s="1">
        <v>42417</v>
      </c>
      <c r="B20">
        <v>68.328999999999994</v>
      </c>
    </row>
    <row r="21" spans="1:2">
      <c r="A21" s="1">
        <v>42418</v>
      </c>
      <c r="B21">
        <v>68.542000000000002</v>
      </c>
    </row>
    <row r="22" spans="1:2">
      <c r="A22" s="1">
        <v>42419</v>
      </c>
      <c r="B22">
        <v>68.545000000000002</v>
      </c>
    </row>
    <row r="23" spans="1:2">
      <c r="A23" s="1">
        <v>42422</v>
      </c>
      <c r="B23">
        <v>68.533000000000001</v>
      </c>
    </row>
    <row r="24" spans="1:2">
      <c r="A24" s="1">
        <v>42423</v>
      </c>
      <c r="B24">
        <v>68.561000000000007</v>
      </c>
    </row>
    <row r="25" spans="1:2">
      <c r="A25" s="1">
        <v>42424</v>
      </c>
      <c r="B25">
        <v>68.430999999999997</v>
      </c>
    </row>
    <row r="26" spans="1:2">
      <c r="A26" s="1">
        <v>42425</v>
      </c>
      <c r="B26">
        <v>68.768000000000001</v>
      </c>
    </row>
    <row r="27" spans="1:2">
      <c r="A27" s="1">
        <v>42426</v>
      </c>
      <c r="B27">
        <v>68.736999999999995</v>
      </c>
    </row>
    <row r="28" spans="1:2">
      <c r="A28" s="1">
        <v>42429</v>
      </c>
      <c r="B28">
        <v>68.207999999999998</v>
      </c>
    </row>
    <row r="29" spans="1:2">
      <c r="A29" s="1">
        <v>42430</v>
      </c>
      <c r="B29">
        <v>67.753</v>
      </c>
    </row>
    <row r="30" spans="1:2">
      <c r="A30" s="1">
        <v>42431</v>
      </c>
      <c r="B30">
        <v>67.394999999999996</v>
      </c>
    </row>
    <row r="31" spans="1:2">
      <c r="A31" s="1">
        <v>42432</v>
      </c>
      <c r="B31">
        <v>67.122</v>
      </c>
    </row>
    <row r="32" spans="1:2">
      <c r="A32" s="1">
        <v>42433</v>
      </c>
      <c r="B32">
        <v>66.938000000000002</v>
      </c>
    </row>
    <row r="33" spans="1:2">
      <c r="A33" s="1">
        <v>42436</v>
      </c>
      <c r="B33">
        <v>66.989000000000004</v>
      </c>
    </row>
    <row r="34" spans="1:2">
      <c r="A34" s="1">
        <v>42437</v>
      </c>
      <c r="B34">
        <v>67.313000000000002</v>
      </c>
    </row>
    <row r="35" spans="1:2">
      <c r="A35" s="1">
        <v>42438</v>
      </c>
      <c r="B35">
        <v>67.128</v>
      </c>
    </row>
    <row r="36" spans="1:2">
      <c r="A36" s="1">
        <v>42439</v>
      </c>
      <c r="B36">
        <v>67.302000000000007</v>
      </c>
    </row>
    <row r="37" spans="1:2">
      <c r="A37" s="1">
        <v>42440</v>
      </c>
      <c r="B37">
        <v>66.921000000000006</v>
      </c>
    </row>
    <row r="38" spans="1:2">
      <c r="A38" s="1">
        <v>42443</v>
      </c>
      <c r="B38">
        <v>67.138000000000005</v>
      </c>
    </row>
    <row r="39" spans="1:2">
      <c r="A39" s="1">
        <v>42444</v>
      </c>
      <c r="B39">
        <v>67.372</v>
      </c>
    </row>
    <row r="40" spans="1:2">
      <c r="A40" s="1">
        <v>42445</v>
      </c>
      <c r="B40">
        <v>67.173000000000002</v>
      </c>
    </row>
    <row r="41" spans="1:2">
      <c r="A41" s="1">
        <v>42446</v>
      </c>
      <c r="B41">
        <v>66.619</v>
      </c>
    </row>
    <row r="42" spans="1:2">
      <c r="A42" s="1">
        <v>42447</v>
      </c>
      <c r="B42">
        <v>66.384</v>
      </c>
    </row>
    <row r="43" spans="1:2">
      <c r="A43" s="1">
        <v>42450</v>
      </c>
      <c r="B43">
        <v>66.5</v>
      </c>
    </row>
    <row r="44" spans="1:2">
      <c r="A44" s="1">
        <v>42451</v>
      </c>
      <c r="B44">
        <v>66.754999999999995</v>
      </c>
    </row>
    <row r="45" spans="1:2">
      <c r="A45" s="1">
        <v>42452</v>
      </c>
      <c r="B45">
        <v>66.930000000000007</v>
      </c>
    </row>
    <row r="46" spans="1:2">
      <c r="A46" s="1">
        <v>42453</v>
      </c>
      <c r="B46">
        <v>66.915999999999997</v>
      </c>
    </row>
    <row r="47" spans="1:2">
      <c r="A47" s="1">
        <v>42454</v>
      </c>
      <c r="B47">
        <v>66.828999999999994</v>
      </c>
    </row>
    <row r="48" spans="1:2">
      <c r="A48" s="1">
        <v>42457</v>
      </c>
      <c r="B48">
        <v>66.608000000000004</v>
      </c>
    </row>
    <row r="49" spans="1:2">
      <c r="A49" s="1">
        <v>42458</v>
      </c>
      <c r="B49">
        <v>66.375</v>
      </c>
    </row>
    <row r="50" spans="1:2">
      <c r="A50" s="1">
        <v>42459</v>
      </c>
      <c r="B50">
        <v>66.375</v>
      </c>
    </row>
    <row r="51" spans="1:2">
      <c r="A51" s="1">
        <v>42460</v>
      </c>
      <c r="B51">
        <v>66.254999999999995</v>
      </c>
    </row>
    <row r="52" spans="1:2">
      <c r="A52" s="1">
        <v>42461</v>
      </c>
      <c r="B52">
        <v>66.364999999999995</v>
      </c>
    </row>
    <row r="53" spans="1:2">
      <c r="A53" s="1">
        <v>42464</v>
      </c>
      <c r="B53">
        <v>66.105999999999995</v>
      </c>
    </row>
    <row r="54" spans="1:2">
      <c r="A54" s="1">
        <v>42465</v>
      </c>
      <c r="B54">
        <v>66.421999999999997</v>
      </c>
    </row>
    <row r="55" spans="1:2">
      <c r="A55" s="1">
        <v>42466</v>
      </c>
      <c r="B55">
        <v>66.516999999999996</v>
      </c>
    </row>
    <row r="56" spans="1:2">
      <c r="A56" s="1">
        <v>42467</v>
      </c>
      <c r="B56">
        <v>66.757000000000005</v>
      </c>
    </row>
    <row r="57" spans="1:2">
      <c r="A57" s="1">
        <v>42468</v>
      </c>
      <c r="B57">
        <v>66.551000000000002</v>
      </c>
    </row>
    <row r="58" spans="1:2">
      <c r="A58" s="1">
        <v>42471</v>
      </c>
      <c r="B58">
        <v>66.287000000000006</v>
      </c>
    </row>
    <row r="59" spans="1:2">
      <c r="A59" s="1">
        <v>42472</v>
      </c>
      <c r="B59">
        <v>66.283000000000001</v>
      </c>
    </row>
    <row r="60" spans="1:2">
      <c r="A60" s="1">
        <v>42473</v>
      </c>
      <c r="B60">
        <v>66.495999999999995</v>
      </c>
    </row>
    <row r="61" spans="1:2">
      <c r="A61" s="1">
        <v>42474</v>
      </c>
      <c r="B61">
        <v>66.596999999999994</v>
      </c>
    </row>
    <row r="62" spans="1:2">
      <c r="A62" s="1">
        <v>42475</v>
      </c>
      <c r="B62">
        <v>66.66</v>
      </c>
    </row>
    <row r="63" spans="1:2">
      <c r="A63" s="1">
        <v>42478</v>
      </c>
      <c r="B63">
        <v>66.415999999999997</v>
      </c>
    </row>
    <row r="64" spans="1:2">
      <c r="A64" s="1">
        <v>42479</v>
      </c>
      <c r="B64">
        <v>66.150000000000006</v>
      </c>
    </row>
    <row r="65" spans="1:2">
      <c r="A65" s="1">
        <v>42480</v>
      </c>
      <c r="B65">
        <v>66.165999999999997</v>
      </c>
    </row>
    <row r="66" spans="1:2">
      <c r="A66" s="1">
        <v>42481</v>
      </c>
      <c r="B66">
        <v>66.489000000000004</v>
      </c>
    </row>
    <row r="67" spans="1:2">
      <c r="A67" s="1">
        <v>42482</v>
      </c>
      <c r="B67">
        <v>66.66</v>
      </c>
    </row>
    <row r="68" spans="1:2">
      <c r="A68" s="1">
        <v>42485</v>
      </c>
      <c r="B68">
        <v>66.685000000000002</v>
      </c>
    </row>
    <row r="69" spans="1:2">
      <c r="A69" s="1">
        <v>42486</v>
      </c>
      <c r="B69">
        <v>66.403999999999996</v>
      </c>
    </row>
    <row r="70" spans="1:2">
      <c r="A70" s="1">
        <v>42487</v>
      </c>
      <c r="B70">
        <v>66.361999999999995</v>
      </c>
    </row>
    <row r="71" spans="1:2">
      <c r="A71" s="1">
        <v>42488</v>
      </c>
      <c r="B71">
        <v>66.400999999999996</v>
      </c>
    </row>
    <row r="72" spans="1:2">
      <c r="A72" s="1">
        <v>42489</v>
      </c>
      <c r="B72">
        <v>66.424999999999997</v>
      </c>
    </row>
    <row r="73" spans="1:2">
      <c r="A73" s="1">
        <v>42492</v>
      </c>
      <c r="B73">
        <v>66.346000000000004</v>
      </c>
    </row>
    <row r="74" spans="1:2">
      <c r="A74" s="1">
        <v>42493</v>
      </c>
      <c r="B74">
        <v>66.558000000000007</v>
      </c>
    </row>
    <row r="75" spans="1:2">
      <c r="A75" s="1">
        <v>42494</v>
      </c>
      <c r="B75">
        <v>66.626999999999995</v>
      </c>
    </row>
    <row r="76" spans="1:2">
      <c r="A76" s="1">
        <v>42495</v>
      </c>
      <c r="B76">
        <v>66.558000000000007</v>
      </c>
    </row>
    <row r="77" spans="1:2">
      <c r="A77" s="1">
        <v>42496</v>
      </c>
      <c r="B77">
        <v>66.599999999999994</v>
      </c>
    </row>
    <row r="78" spans="1:2">
      <c r="A78" s="1">
        <v>42499</v>
      </c>
      <c r="B78">
        <v>66.751999999999995</v>
      </c>
    </row>
    <row r="79" spans="1:2">
      <c r="A79" s="1">
        <v>42500</v>
      </c>
      <c r="B79">
        <v>66.631</v>
      </c>
    </row>
    <row r="80" spans="1:2">
      <c r="A80" s="1">
        <v>42501</v>
      </c>
      <c r="B80">
        <v>66.561000000000007</v>
      </c>
    </row>
    <row r="81" spans="1:2">
      <c r="A81" s="1">
        <v>42502</v>
      </c>
      <c r="B81">
        <v>66.757000000000005</v>
      </c>
    </row>
    <row r="82" spans="1:2">
      <c r="A82" s="1">
        <v>42503</v>
      </c>
      <c r="B82">
        <v>66.855000000000004</v>
      </c>
    </row>
    <row r="83" spans="1:2">
      <c r="A83" s="1">
        <v>42506</v>
      </c>
      <c r="B83">
        <v>66.843999999999994</v>
      </c>
    </row>
    <row r="84" spans="1:2">
      <c r="A84" s="1">
        <v>42507</v>
      </c>
      <c r="B84">
        <v>66.825000000000003</v>
      </c>
    </row>
    <row r="85" spans="1:2">
      <c r="A85" s="1">
        <v>42508</v>
      </c>
      <c r="B85">
        <v>67.14</v>
      </c>
    </row>
    <row r="86" spans="1:2">
      <c r="A86" s="1">
        <v>42509</v>
      </c>
      <c r="B86">
        <v>67.436000000000007</v>
      </c>
    </row>
    <row r="87" spans="1:2">
      <c r="A87" s="1">
        <v>42510</v>
      </c>
      <c r="B87">
        <v>67.408000000000001</v>
      </c>
    </row>
    <row r="88" spans="1:2">
      <c r="A88" s="1">
        <v>42513</v>
      </c>
      <c r="B88">
        <v>67.409000000000006</v>
      </c>
    </row>
    <row r="89" spans="1:2">
      <c r="A89" s="1">
        <v>42514</v>
      </c>
      <c r="B89">
        <v>67.63</v>
      </c>
    </row>
    <row r="90" spans="1:2">
      <c r="A90" s="1">
        <v>42515</v>
      </c>
      <c r="B90">
        <v>67.272999999999996</v>
      </c>
    </row>
    <row r="91" spans="1:2">
      <c r="A91" s="1">
        <v>42516</v>
      </c>
      <c r="B91">
        <v>66.927000000000007</v>
      </c>
    </row>
    <row r="92" spans="1:2">
      <c r="A92" s="1">
        <v>42517</v>
      </c>
      <c r="B92">
        <v>67.031000000000006</v>
      </c>
    </row>
    <row r="93" spans="1:2">
      <c r="A93" s="1">
        <v>42520</v>
      </c>
      <c r="B93">
        <v>67.171000000000006</v>
      </c>
    </row>
    <row r="94" spans="1:2">
      <c r="A94" s="1">
        <v>42521</v>
      </c>
      <c r="B94">
        <v>67.209000000000003</v>
      </c>
    </row>
    <row r="95" spans="1:2">
      <c r="A95" s="1">
        <v>42522</v>
      </c>
      <c r="B95">
        <v>67.433999999999997</v>
      </c>
    </row>
    <row r="96" spans="1:2">
      <c r="A96" s="1">
        <v>42523</v>
      </c>
      <c r="B96">
        <v>67.268000000000001</v>
      </c>
    </row>
    <row r="97" spans="1:2">
      <c r="A97" s="1">
        <v>42524</v>
      </c>
      <c r="B97">
        <v>67</v>
      </c>
    </row>
    <row r="98" spans="1:2">
      <c r="A98" s="1">
        <v>42527</v>
      </c>
      <c r="B98">
        <v>66.790000000000006</v>
      </c>
    </row>
    <row r="99" spans="1:2">
      <c r="A99" s="1">
        <v>42528</v>
      </c>
      <c r="B99">
        <v>66.658000000000001</v>
      </c>
    </row>
    <row r="100" spans="1:2">
      <c r="A100" s="1">
        <v>42529</v>
      </c>
      <c r="B100">
        <v>66.5</v>
      </c>
    </row>
    <row r="101" spans="1:2">
      <c r="A101" s="1">
        <v>42530</v>
      </c>
      <c r="B101">
        <v>66.753</v>
      </c>
    </row>
    <row r="102" spans="1:2">
      <c r="A102" s="1">
        <v>42531</v>
      </c>
      <c r="B102">
        <v>66.951999999999998</v>
      </c>
    </row>
    <row r="103" spans="1:2">
      <c r="A103" s="1">
        <v>42534</v>
      </c>
      <c r="B103">
        <v>67.186999999999998</v>
      </c>
    </row>
    <row r="104" spans="1:2">
      <c r="A104" s="1">
        <v>42535</v>
      </c>
      <c r="B104">
        <v>67.292000000000002</v>
      </c>
    </row>
    <row r="105" spans="1:2">
      <c r="A105" s="1">
        <v>42536</v>
      </c>
      <c r="B105">
        <v>67.078999999999994</v>
      </c>
    </row>
    <row r="106" spans="1:2">
      <c r="A106" s="1">
        <v>42537</v>
      </c>
      <c r="B106">
        <v>67.314999999999998</v>
      </c>
    </row>
    <row r="107" spans="1:2">
      <c r="A107" s="1">
        <v>42538</v>
      </c>
      <c r="B107">
        <v>67.073999999999998</v>
      </c>
    </row>
    <row r="108" spans="1:2">
      <c r="A108" s="1">
        <v>42541</v>
      </c>
      <c r="B108">
        <v>67.551000000000002</v>
      </c>
    </row>
    <row r="109" spans="1:2">
      <c r="A109" s="1">
        <v>42542</v>
      </c>
      <c r="B109">
        <v>67.623999999999995</v>
      </c>
    </row>
    <row r="110" spans="1:2">
      <c r="A110" s="1">
        <v>42543</v>
      </c>
      <c r="B110">
        <v>67.448999999999998</v>
      </c>
    </row>
    <row r="111" spans="1:2">
      <c r="A111" s="1">
        <v>42544</v>
      </c>
      <c r="B111">
        <v>67.278999999999996</v>
      </c>
    </row>
    <row r="112" spans="1:2">
      <c r="A112" s="1">
        <v>42545</v>
      </c>
      <c r="B112">
        <v>67.885000000000005</v>
      </c>
    </row>
    <row r="113" spans="1:2">
      <c r="A113" s="1">
        <v>42548</v>
      </c>
      <c r="B113">
        <v>67.914000000000001</v>
      </c>
    </row>
    <row r="114" spans="1:2">
      <c r="A114" s="1">
        <v>42549</v>
      </c>
      <c r="B114">
        <v>67.715000000000003</v>
      </c>
    </row>
    <row r="115" spans="1:2">
      <c r="A115" s="1">
        <v>42550</v>
      </c>
      <c r="B115">
        <v>67.421999999999997</v>
      </c>
    </row>
    <row r="116" spans="1:2">
      <c r="A116" s="1">
        <v>42551</v>
      </c>
      <c r="B116">
        <v>67.504000000000005</v>
      </c>
    </row>
    <row r="117" spans="1:2">
      <c r="A117" s="1">
        <v>42552</v>
      </c>
      <c r="B117">
        <v>67.19</v>
      </c>
    </row>
    <row r="118" spans="1:2">
      <c r="A118" s="1">
        <v>42555</v>
      </c>
      <c r="B118">
        <v>67.265000000000001</v>
      </c>
    </row>
    <row r="119" spans="1:2">
      <c r="A119" s="1">
        <v>42556</v>
      </c>
      <c r="B119">
        <v>67.433999999999997</v>
      </c>
    </row>
    <row r="120" spans="1:2">
      <c r="A120" s="1">
        <v>42557</v>
      </c>
      <c r="B120">
        <v>67.411000000000001</v>
      </c>
    </row>
    <row r="121" spans="1:2">
      <c r="A121" s="1">
        <v>42558</v>
      </c>
      <c r="B121">
        <v>67.495000000000005</v>
      </c>
    </row>
    <row r="122" spans="1:2">
      <c r="A122" s="1">
        <v>42559</v>
      </c>
      <c r="B122">
        <v>67.138999999999996</v>
      </c>
    </row>
    <row r="123" spans="1:2">
      <c r="A123" s="1">
        <v>42562</v>
      </c>
      <c r="B123">
        <v>67.138000000000005</v>
      </c>
    </row>
    <row r="124" spans="1:2">
      <c r="A124" s="1">
        <v>42563</v>
      </c>
      <c r="B124">
        <v>66.974999999999994</v>
      </c>
    </row>
    <row r="125" spans="1:2">
      <c r="A125" s="1">
        <v>42564</v>
      </c>
      <c r="B125">
        <v>67.016000000000005</v>
      </c>
    </row>
    <row r="126" spans="1:2">
      <c r="A126" s="1">
        <v>42565</v>
      </c>
      <c r="B126">
        <v>66.843000000000004</v>
      </c>
    </row>
    <row r="127" spans="1:2">
      <c r="A127" s="1">
        <v>42566</v>
      </c>
      <c r="B127">
        <v>67.141000000000005</v>
      </c>
    </row>
    <row r="128" spans="1:2">
      <c r="A128" s="1">
        <v>42569</v>
      </c>
      <c r="B128">
        <v>67.137</v>
      </c>
    </row>
    <row r="129" spans="1:2">
      <c r="A129" s="1">
        <v>42570</v>
      </c>
      <c r="B129">
        <v>67.203999999999994</v>
      </c>
    </row>
    <row r="130" spans="1:2">
      <c r="A130" s="1">
        <v>42571</v>
      </c>
      <c r="B130">
        <v>67.162999999999997</v>
      </c>
    </row>
    <row r="131" spans="1:2">
      <c r="A131" s="1">
        <v>42572</v>
      </c>
      <c r="B131">
        <v>67.153000000000006</v>
      </c>
    </row>
    <row r="132" spans="1:2">
      <c r="A132" s="1">
        <v>42573</v>
      </c>
      <c r="B132">
        <v>67.153999999999996</v>
      </c>
    </row>
    <row r="133" spans="1:2">
      <c r="A133" s="1">
        <v>42576</v>
      </c>
      <c r="B133">
        <v>67.412000000000006</v>
      </c>
    </row>
    <row r="134" spans="1:2">
      <c r="A134" s="1">
        <v>42577</v>
      </c>
      <c r="B134">
        <v>67.320999999999998</v>
      </c>
    </row>
    <row r="135" spans="1:2">
      <c r="A135" s="1">
        <v>42578</v>
      </c>
      <c r="B135">
        <v>67.072000000000003</v>
      </c>
    </row>
    <row r="136" spans="1:2">
      <c r="A136" s="1">
        <v>42579</v>
      </c>
      <c r="B136">
        <v>67.013999999999996</v>
      </c>
    </row>
    <row r="137" spans="1:2">
      <c r="A137" s="1">
        <v>42580</v>
      </c>
      <c r="B137">
        <v>66.655000000000001</v>
      </c>
    </row>
    <row r="138" spans="1:2">
      <c r="A138" s="1">
        <v>42583</v>
      </c>
      <c r="B138">
        <v>66.763999999999996</v>
      </c>
    </row>
    <row r="139" spans="1:2">
      <c r="A139" s="1">
        <v>42584</v>
      </c>
      <c r="B139">
        <v>66.682000000000002</v>
      </c>
    </row>
    <row r="140" spans="1:2">
      <c r="A140" s="1">
        <v>42585</v>
      </c>
      <c r="B140">
        <v>66.766999999999996</v>
      </c>
    </row>
    <row r="141" spans="1:2">
      <c r="A141" s="1">
        <v>42586</v>
      </c>
      <c r="B141">
        <v>66.84</v>
      </c>
    </row>
    <row r="142" spans="1:2">
      <c r="A142" s="1">
        <v>42587</v>
      </c>
      <c r="B142">
        <v>66.841999999999999</v>
      </c>
    </row>
    <row r="143" spans="1:2">
      <c r="A143" s="1">
        <v>42590</v>
      </c>
      <c r="B143">
        <v>66.81</v>
      </c>
    </row>
    <row r="144" spans="1:2">
      <c r="A144" s="1">
        <v>42591</v>
      </c>
      <c r="B144">
        <v>66.774000000000001</v>
      </c>
    </row>
    <row r="145" spans="1:2">
      <c r="A145" s="1">
        <v>42592</v>
      </c>
      <c r="B145">
        <v>66.765000000000001</v>
      </c>
    </row>
    <row r="146" spans="1:2">
      <c r="A146" s="1">
        <v>42593</v>
      </c>
      <c r="B146">
        <v>66.75</v>
      </c>
    </row>
    <row r="147" spans="1:2">
      <c r="A147" s="1">
        <v>42594</v>
      </c>
      <c r="B147">
        <v>66.908000000000001</v>
      </c>
    </row>
    <row r="148" spans="1:2">
      <c r="A148" s="1">
        <v>42597</v>
      </c>
      <c r="B148">
        <v>66.852999999999994</v>
      </c>
    </row>
    <row r="149" spans="1:2">
      <c r="A149" s="1">
        <v>42598</v>
      </c>
      <c r="B149">
        <v>66.87</v>
      </c>
    </row>
    <row r="150" spans="1:2">
      <c r="A150" s="1">
        <v>42599</v>
      </c>
      <c r="B150">
        <v>66.893000000000001</v>
      </c>
    </row>
    <row r="151" spans="1:2">
      <c r="A151" s="1">
        <v>42600</v>
      </c>
      <c r="B151">
        <v>66.83</v>
      </c>
    </row>
    <row r="152" spans="1:2">
      <c r="A152" s="1">
        <v>42601</v>
      </c>
      <c r="B152">
        <v>67.137</v>
      </c>
    </row>
    <row r="153" spans="1:2">
      <c r="A153" s="1">
        <v>42604</v>
      </c>
      <c r="B153">
        <v>67.201999999999998</v>
      </c>
    </row>
    <row r="154" spans="1:2">
      <c r="A154" s="1">
        <v>42605</v>
      </c>
      <c r="B154">
        <v>67.122</v>
      </c>
    </row>
    <row r="155" spans="1:2">
      <c r="A155" s="1">
        <v>42606</v>
      </c>
      <c r="B155">
        <v>67.167000000000002</v>
      </c>
    </row>
    <row r="156" spans="1:2">
      <c r="A156" s="1">
        <v>42607</v>
      </c>
      <c r="B156">
        <v>67.016000000000005</v>
      </c>
    </row>
    <row r="157" spans="1:2">
      <c r="A157" s="1">
        <v>42608</v>
      </c>
      <c r="B157">
        <v>67.135999999999996</v>
      </c>
    </row>
    <row r="158" spans="1:2">
      <c r="A158" s="1">
        <v>42611</v>
      </c>
      <c r="B158">
        <v>67.113</v>
      </c>
    </row>
    <row r="159" spans="1:2">
      <c r="A159" s="1">
        <v>42612</v>
      </c>
      <c r="B159">
        <v>67.144000000000005</v>
      </c>
    </row>
    <row r="160" spans="1:2">
      <c r="A160" s="1">
        <v>42613</v>
      </c>
      <c r="B160">
        <v>66.972999999999999</v>
      </c>
    </row>
    <row r="161" spans="1:2">
      <c r="A161" s="1">
        <v>42614</v>
      </c>
      <c r="B161">
        <v>66.801000000000002</v>
      </c>
    </row>
    <row r="162" spans="1:2">
      <c r="A162" s="1">
        <v>42615</v>
      </c>
      <c r="B162">
        <v>66.795000000000002</v>
      </c>
    </row>
    <row r="163" spans="1:2">
      <c r="A163" s="1">
        <v>42618</v>
      </c>
      <c r="B163">
        <v>66.47</v>
      </c>
    </row>
    <row r="164" spans="1:2">
      <c r="A164" s="1">
        <v>42619</v>
      </c>
      <c r="B164">
        <v>66.28</v>
      </c>
    </row>
    <row r="165" spans="1:2">
      <c r="A165" s="1">
        <v>42620</v>
      </c>
      <c r="B165">
        <v>66.477999999999994</v>
      </c>
    </row>
    <row r="166" spans="1:2">
      <c r="A166" s="1">
        <v>42621</v>
      </c>
      <c r="B166">
        <v>66.631</v>
      </c>
    </row>
    <row r="167" spans="1:2">
      <c r="A167" s="1">
        <v>42622</v>
      </c>
      <c r="B167">
        <v>66.894999999999996</v>
      </c>
    </row>
    <row r="168" spans="1:2">
      <c r="A168" s="1">
        <v>42625</v>
      </c>
      <c r="B168">
        <v>66.738</v>
      </c>
    </row>
    <row r="169" spans="1:2">
      <c r="A169" s="1">
        <v>42626</v>
      </c>
      <c r="B169">
        <v>67.14</v>
      </c>
    </row>
    <row r="170" spans="1:2">
      <c r="A170" s="1">
        <v>42627</v>
      </c>
      <c r="B170">
        <v>66.798000000000002</v>
      </c>
    </row>
    <row r="171" spans="1:2">
      <c r="A171" s="1">
        <v>42628</v>
      </c>
      <c r="B171">
        <v>66.86</v>
      </c>
    </row>
    <row r="172" spans="1:2">
      <c r="A172" s="1">
        <v>42629</v>
      </c>
      <c r="B172">
        <v>67.075000000000003</v>
      </c>
    </row>
    <row r="173" spans="1:2">
      <c r="A173" s="1">
        <v>42632</v>
      </c>
      <c r="B173">
        <v>66.98</v>
      </c>
    </row>
    <row r="174" spans="1:2">
      <c r="A174" s="1">
        <v>42633</v>
      </c>
      <c r="B174">
        <v>66.984999999999999</v>
      </c>
    </row>
    <row r="175" spans="1:2">
      <c r="A175" s="1">
        <v>42634</v>
      </c>
      <c r="B175">
        <v>66.744</v>
      </c>
    </row>
    <row r="176" spans="1:2">
      <c r="A176" s="1">
        <v>42635</v>
      </c>
      <c r="B176">
        <v>66.632999999999996</v>
      </c>
    </row>
    <row r="177" spans="1:2">
      <c r="A177" s="1">
        <v>42636</v>
      </c>
      <c r="B177">
        <v>66.706999999999994</v>
      </c>
    </row>
    <row r="178" spans="1:2">
      <c r="A178" s="1">
        <v>42639</v>
      </c>
      <c r="B178">
        <v>66.613</v>
      </c>
    </row>
    <row r="179" spans="1:2">
      <c r="A179" s="1">
        <v>42640</v>
      </c>
      <c r="B179">
        <v>66.424999999999997</v>
      </c>
    </row>
    <row r="180" spans="1:2">
      <c r="A180" s="1">
        <v>42641</v>
      </c>
      <c r="B180">
        <v>66.349000000000004</v>
      </c>
    </row>
    <row r="181" spans="1:2">
      <c r="A181" s="1">
        <v>42642</v>
      </c>
      <c r="B181">
        <v>66.811999999999998</v>
      </c>
    </row>
    <row r="182" spans="1:2">
      <c r="A182" s="1">
        <v>42643</v>
      </c>
      <c r="B182">
        <v>66.555999999999997</v>
      </c>
    </row>
    <row r="183" spans="1:2">
      <c r="A183" s="1">
        <v>42646</v>
      </c>
      <c r="B183">
        <v>66.546000000000006</v>
      </c>
    </row>
    <row r="184" spans="1:2">
      <c r="A184" s="1">
        <v>42647</v>
      </c>
      <c r="B184">
        <v>66.608999999999995</v>
      </c>
    </row>
    <row r="185" spans="1:2">
      <c r="A185" s="1">
        <v>42648</v>
      </c>
      <c r="B185">
        <v>66.572000000000003</v>
      </c>
    </row>
    <row r="186" spans="1:2">
      <c r="A186" s="1">
        <v>42649</v>
      </c>
      <c r="B186">
        <v>66.697000000000003</v>
      </c>
    </row>
    <row r="187" spans="1:2">
      <c r="A187" s="1">
        <v>42650</v>
      </c>
      <c r="B187">
        <v>66.602000000000004</v>
      </c>
    </row>
    <row r="188" spans="1:2">
      <c r="A188" s="1">
        <v>42653</v>
      </c>
      <c r="B188">
        <v>66.492000000000004</v>
      </c>
    </row>
    <row r="189" spans="1:2">
      <c r="A189" s="1">
        <v>42654</v>
      </c>
      <c r="B189">
        <v>66.834000000000003</v>
      </c>
    </row>
    <row r="190" spans="1:2">
      <c r="A190" s="1">
        <v>42655</v>
      </c>
      <c r="B190">
        <v>66.811999999999998</v>
      </c>
    </row>
    <row r="191" spans="1:2">
      <c r="A191" s="1">
        <v>42656</v>
      </c>
      <c r="B191">
        <v>66.793999999999997</v>
      </c>
    </row>
    <row r="192" spans="1:2">
      <c r="A192" s="1">
        <v>42657</v>
      </c>
      <c r="B192">
        <v>66.716999999999999</v>
      </c>
    </row>
    <row r="193" spans="1:2">
      <c r="A193" s="1">
        <v>42660</v>
      </c>
      <c r="B193">
        <v>66.789000000000001</v>
      </c>
    </row>
    <row r="194" spans="1:2">
      <c r="A194" s="1">
        <v>42661</v>
      </c>
      <c r="B194">
        <v>66.733000000000004</v>
      </c>
    </row>
    <row r="195" spans="1:2">
      <c r="A195" s="1">
        <v>42662</v>
      </c>
      <c r="B195">
        <v>66.644999999999996</v>
      </c>
    </row>
    <row r="196" spans="1:2">
      <c r="A196" s="1">
        <v>42663</v>
      </c>
      <c r="B196">
        <v>66.83</v>
      </c>
    </row>
    <row r="197" spans="1:2">
      <c r="A197" s="1">
        <v>42664</v>
      </c>
      <c r="B197">
        <v>66.926000000000002</v>
      </c>
    </row>
    <row r="198" spans="1:2">
      <c r="A198" s="1">
        <v>42667</v>
      </c>
      <c r="B198">
        <v>66.844999999999999</v>
      </c>
    </row>
    <row r="199" spans="1:2">
      <c r="A199" s="1">
        <v>42668</v>
      </c>
      <c r="B199">
        <v>66.805999999999997</v>
      </c>
    </row>
    <row r="200" spans="1:2">
      <c r="A200" s="1">
        <v>42669</v>
      </c>
      <c r="B200">
        <v>66.863</v>
      </c>
    </row>
    <row r="201" spans="1:2">
      <c r="A201" s="1">
        <v>42670</v>
      </c>
      <c r="B201">
        <v>66.881</v>
      </c>
    </row>
    <row r="202" spans="1:2">
      <c r="A202" s="1">
        <v>42671</v>
      </c>
      <c r="B202">
        <v>66.778000000000006</v>
      </c>
    </row>
    <row r="203" spans="1:2">
      <c r="A203" s="1">
        <v>42674</v>
      </c>
      <c r="B203">
        <v>66.686000000000007</v>
      </c>
    </row>
    <row r="204" spans="1:2">
      <c r="A204" s="1">
        <v>42675</v>
      </c>
      <c r="B204">
        <v>66.695999999999998</v>
      </c>
    </row>
    <row r="205" spans="1:2">
      <c r="A205" s="1">
        <v>42676</v>
      </c>
      <c r="B205">
        <v>66.762</v>
      </c>
    </row>
    <row r="206" spans="1:2">
      <c r="A206" s="1">
        <v>42677</v>
      </c>
      <c r="B206">
        <v>66.668000000000006</v>
      </c>
    </row>
    <row r="207" spans="1:2">
      <c r="A207" s="1">
        <v>42678</v>
      </c>
      <c r="B207">
        <v>66.796000000000006</v>
      </c>
    </row>
    <row r="208" spans="1:2">
      <c r="A208" s="1">
        <v>42681</v>
      </c>
      <c r="B208">
        <v>66.745000000000005</v>
      </c>
    </row>
    <row r="209" spans="1:2">
      <c r="A209" s="1">
        <v>42682</v>
      </c>
      <c r="B209">
        <v>66.245999999999995</v>
      </c>
    </row>
    <row r="210" spans="1:2">
      <c r="A210" s="1">
        <v>42683</v>
      </c>
      <c r="B210">
        <v>66.515000000000001</v>
      </c>
    </row>
    <row r="211" spans="1:2">
      <c r="A211" s="1">
        <v>42684</v>
      </c>
      <c r="B211">
        <v>66.864999999999995</v>
      </c>
    </row>
    <row r="212" spans="1:2">
      <c r="A212" s="1">
        <v>42685</v>
      </c>
      <c r="B212">
        <v>67.564999999999998</v>
      </c>
    </row>
    <row r="213" spans="1:2">
      <c r="A213" s="1">
        <v>42688</v>
      </c>
      <c r="B213">
        <v>67.784999999999997</v>
      </c>
    </row>
    <row r="214" spans="1:2">
      <c r="A214" s="1">
        <v>42689</v>
      </c>
      <c r="B214">
        <v>67.786000000000001</v>
      </c>
    </row>
    <row r="215" spans="1:2">
      <c r="A215" s="1">
        <v>42690</v>
      </c>
      <c r="B215">
        <v>67.998999999999995</v>
      </c>
    </row>
    <row r="216" spans="1:2">
      <c r="A216" s="1">
        <v>42691</v>
      </c>
      <c r="B216">
        <v>68.022999999999996</v>
      </c>
    </row>
    <row r="217" spans="1:2">
      <c r="A217" s="1">
        <v>42692</v>
      </c>
      <c r="B217">
        <v>68.191000000000003</v>
      </c>
    </row>
    <row r="218" spans="1:2">
      <c r="A218" s="1">
        <v>42695</v>
      </c>
      <c r="B218">
        <v>68.227999999999994</v>
      </c>
    </row>
    <row r="219" spans="1:2">
      <c r="A219" s="1">
        <v>42696</v>
      </c>
      <c r="B219">
        <v>68.396000000000001</v>
      </c>
    </row>
    <row r="220" spans="1:2">
      <c r="A220" s="1">
        <v>42697</v>
      </c>
      <c r="B220">
        <v>68.784000000000006</v>
      </c>
    </row>
    <row r="221" spans="1:2">
      <c r="A221" s="1">
        <v>42698</v>
      </c>
      <c r="B221">
        <v>68.760999999999996</v>
      </c>
    </row>
    <row r="222" spans="1:2">
      <c r="A222" s="1">
        <v>42699</v>
      </c>
      <c r="B222">
        <v>68.519000000000005</v>
      </c>
    </row>
    <row r="223" spans="1:2">
      <c r="A223" s="1">
        <v>42702</v>
      </c>
      <c r="B223">
        <v>68.578999999999994</v>
      </c>
    </row>
    <row r="224" spans="1:2">
      <c r="A224" s="1">
        <v>42703</v>
      </c>
      <c r="B224">
        <v>68.614999999999995</v>
      </c>
    </row>
    <row r="225" spans="1:2">
      <c r="A225" s="1">
        <v>42704</v>
      </c>
      <c r="B225">
        <v>68.597999999999999</v>
      </c>
    </row>
    <row r="226" spans="1:2">
      <c r="A226" s="1">
        <v>42705</v>
      </c>
      <c r="B226">
        <v>68.236000000000004</v>
      </c>
    </row>
    <row r="227" spans="1:2">
      <c r="A227" s="1">
        <v>42706</v>
      </c>
      <c r="B227">
        <v>68.031000000000006</v>
      </c>
    </row>
    <row r="228" spans="1:2">
      <c r="A228" s="1">
        <v>42709</v>
      </c>
      <c r="B228">
        <v>68.025000000000006</v>
      </c>
    </row>
    <row r="229" spans="1:2">
      <c r="A229" s="1">
        <v>42710</v>
      </c>
      <c r="B229">
        <v>67.742000000000004</v>
      </c>
    </row>
    <row r="230" spans="1:2">
      <c r="A230" s="1">
        <v>42711</v>
      </c>
      <c r="B230">
        <v>67.438000000000002</v>
      </c>
    </row>
    <row r="231" spans="1:2">
      <c r="A231" s="1">
        <v>42712</v>
      </c>
      <c r="B231">
        <v>67.546000000000006</v>
      </c>
    </row>
    <row r="232" spans="1:2">
      <c r="A232" s="1">
        <v>42713</v>
      </c>
      <c r="B232">
        <v>67.47</v>
      </c>
    </row>
    <row r="233" spans="1:2">
      <c r="A233" s="1">
        <v>42716</v>
      </c>
      <c r="B233">
        <v>67.430999999999997</v>
      </c>
    </row>
    <row r="234" spans="1:2">
      <c r="A234" s="1">
        <v>42717</v>
      </c>
      <c r="B234">
        <v>67.411000000000001</v>
      </c>
    </row>
    <row r="235" spans="1:2">
      <c r="A235" s="1">
        <v>42718</v>
      </c>
      <c r="B235">
        <v>67.474999999999994</v>
      </c>
    </row>
    <row r="236" spans="1:2">
      <c r="A236" s="1">
        <v>42719</v>
      </c>
      <c r="B236">
        <v>67.856999999999999</v>
      </c>
    </row>
    <row r="237" spans="1:2">
      <c r="A237" s="1">
        <v>42720</v>
      </c>
      <c r="B237">
        <v>67.855000000000004</v>
      </c>
    </row>
    <row r="238" spans="1:2">
      <c r="A238" s="1">
        <v>42723</v>
      </c>
      <c r="B238">
        <v>67.843999999999994</v>
      </c>
    </row>
    <row r="239" spans="1:2">
      <c r="A239" s="1">
        <v>42724</v>
      </c>
      <c r="B239">
        <v>67.917000000000002</v>
      </c>
    </row>
    <row r="240" spans="1:2">
      <c r="A240" s="1">
        <v>42725</v>
      </c>
      <c r="B240">
        <v>67.837000000000003</v>
      </c>
    </row>
    <row r="241" spans="1:2">
      <c r="A241" s="1">
        <v>42726</v>
      </c>
      <c r="B241">
        <v>67.847999999999999</v>
      </c>
    </row>
    <row r="242" spans="1:2">
      <c r="A242" s="1">
        <v>42727</v>
      </c>
      <c r="B242">
        <v>67.837000000000003</v>
      </c>
    </row>
    <row r="243" spans="1:2">
      <c r="A243" s="1">
        <v>42730</v>
      </c>
      <c r="B243">
        <v>67.760000000000005</v>
      </c>
    </row>
    <row r="244" spans="1:2">
      <c r="A244" s="1">
        <v>42731</v>
      </c>
      <c r="B244">
        <v>67.977999999999994</v>
      </c>
    </row>
    <row r="245" spans="1:2">
      <c r="A245" s="1">
        <v>42732</v>
      </c>
      <c r="B245">
        <v>68.233000000000004</v>
      </c>
    </row>
    <row r="246" spans="1:2">
      <c r="A246" s="1">
        <v>42733</v>
      </c>
      <c r="B246">
        <v>67.935000000000002</v>
      </c>
    </row>
    <row r="247" spans="1:2">
      <c r="A247" s="1">
        <v>42734</v>
      </c>
      <c r="B247">
        <v>67.954999999999998</v>
      </c>
    </row>
    <row r="248" spans="1:2">
      <c r="A248" s="1">
        <v>42737</v>
      </c>
      <c r="B248">
        <v>68.144999999999996</v>
      </c>
    </row>
    <row r="249" spans="1:2">
      <c r="A249" s="1">
        <v>42738</v>
      </c>
      <c r="B249">
        <v>68.260000000000005</v>
      </c>
    </row>
    <row r="250" spans="1:2">
      <c r="A250" s="1">
        <v>42739</v>
      </c>
      <c r="B250">
        <v>67.885999999999996</v>
      </c>
    </row>
    <row r="251" spans="1:2">
      <c r="A251" s="1">
        <v>42740</v>
      </c>
      <c r="B251">
        <v>67.742999999999995</v>
      </c>
    </row>
    <row r="252" spans="1:2">
      <c r="A252" s="1">
        <v>42741</v>
      </c>
      <c r="B252">
        <v>68.114999999999995</v>
      </c>
    </row>
    <row r="253" spans="1:2">
      <c r="A253" s="1">
        <v>42744</v>
      </c>
      <c r="B253">
        <v>68.099999999999994</v>
      </c>
    </row>
    <row r="254" spans="1:2">
      <c r="A254" s="1">
        <v>42745</v>
      </c>
      <c r="B254">
        <v>68.326999999999998</v>
      </c>
    </row>
    <row r="255" spans="1:2">
      <c r="A255" s="1">
        <v>42746</v>
      </c>
      <c r="B255">
        <v>68.311999999999998</v>
      </c>
    </row>
    <row r="256" spans="1:2">
      <c r="A256" s="1">
        <v>42747</v>
      </c>
      <c r="B256">
        <v>68.141000000000005</v>
      </c>
    </row>
    <row r="257" spans="1:2">
      <c r="A257" s="1">
        <v>42748</v>
      </c>
      <c r="B257">
        <v>68.180000000000007</v>
      </c>
    </row>
    <row r="258" spans="1:2">
      <c r="A258" s="1">
        <v>42751</v>
      </c>
      <c r="B258">
        <v>68.102999999999994</v>
      </c>
    </row>
    <row r="259" spans="1:2">
      <c r="A259" s="1">
        <v>42752</v>
      </c>
      <c r="B259">
        <v>67.861999999999995</v>
      </c>
    </row>
    <row r="260" spans="1:2">
      <c r="A260" s="1">
        <v>42753</v>
      </c>
      <c r="B260">
        <v>68.22</v>
      </c>
    </row>
    <row r="261" spans="1:2">
      <c r="A261" s="1">
        <v>42754</v>
      </c>
      <c r="B261">
        <v>68.099999999999994</v>
      </c>
    </row>
    <row r="262" spans="1:2">
      <c r="A262" s="1">
        <v>42755</v>
      </c>
      <c r="B262">
        <v>68.075000000000003</v>
      </c>
    </row>
    <row r="263" spans="1:2">
      <c r="A263" s="1">
        <v>42758</v>
      </c>
      <c r="B263">
        <v>68.051000000000002</v>
      </c>
    </row>
    <row r="264" spans="1:2">
      <c r="A264" s="1">
        <v>42759</v>
      </c>
      <c r="B264">
        <v>68.138000000000005</v>
      </c>
    </row>
    <row r="265" spans="1:2">
      <c r="A265" s="1">
        <v>42760</v>
      </c>
      <c r="B265">
        <v>67.988</v>
      </c>
    </row>
    <row r="266" spans="1:2">
      <c r="A266" s="1">
        <v>42761</v>
      </c>
      <c r="B266">
        <v>68.176000000000002</v>
      </c>
    </row>
    <row r="267" spans="1:2">
      <c r="A267" s="1">
        <v>42762</v>
      </c>
      <c r="B267">
        <v>68.105000000000004</v>
      </c>
    </row>
    <row r="268" spans="1:2">
      <c r="A268" s="1">
        <v>42765</v>
      </c>
      <c r="B268">
        <v>67.828999999999994</v>
      </c>
    </row>
    <row r="269" spans="1:2">
      <c r="A269" s="1">
        <v>42766</v>
      </c>
      <c r="B269">
        <v>67.515000000000001</v>
      </c>
    </row>
    <row r="270" spans="1:2">
      <c r="A270" s="1">
        <v>42767</v>
      </c>
      <c r="B270">
        <v>67.415000000000006</v>
      </c>
    </row>
    <row r="271" spans="1:2">
      <c r="A271" s="1">
        <v>42768</v>
      </c>
      <c r="B271">
        <v>67.209999999999994</v>
      </c>
    </row>
    <row r="272" spans="1:2">
      <c r="A272" s="1">
        <v>42769</v>
      </c>
      <c r="B272">
        <v>67.183999999999997</v>
      </c>
    </row>
    <row r="273" spans="1:2">
      <c r="A273" s="1">
        <v>42772</v>
      </c>
      <c r="B273">
        <v>67.194999999999993</v>
      </c>
    </row>
    <row r="274" spans="1:2">
      <c r="A274" s="1">
        <v>42773</v>
      </c>
      <c r="B274">
        <v>67.349999999999994</v>
      </c>
    </row>
    <row r="275" spans="1:2">
      <c r="A275" s="1">
        <v>42774</v>
      </c>
      <c r="B275">
        <v>67.05</v>
      </c>
    </row>
    <row r="276" spans="1:2">
      <c r="A276" s="1">
        <v>42775</v>
      </c>
      <c r="B276">
        <v>66.765000000000001</v>
      </c>
    </row>
    <row r="277" spans="1:2">
      <c r="A277" s="1">
        <v>42776</v>
      </c>
      <c r="B277">
        <v>66.853999999999999</v>
      </c>
    </row>
    <row r="278" spans="1:2">
      <c r="A278" s="1">
        <v>42779</v>
      </c>
      <c r="B278">
        <v>66.974999999999994</v>
      </c>
    </row>
    <row r="279" spans="1:2">
      <c r="A279" s="1">
        <v>42780</v>
      </c>
      <c r="B279">
        <v>66.834999999999994</v>
      </c>
    </row>
    <row r="280" spans="1:2">
      <c r="A280" s="1">
        <v>42781</v>
      </c>
      <c r="B280">
        <v>66.875</v>
      </c>
    </row>
    <row r="281" spans="1:2">
      <c r="A281" s="1">
        <v>42782</v>
      </c>
      <c r="B281">
        <v>67.08</v>
      </c>
    </row>
    <row r="282" spans="1:2">
      <c r="A282" s="1">
        <v>42783</v>
      </c>
      <c r="B282">
        <v>67.08</v>
      </c>
    </row>
    <row r="283" spans="1:2">
      <c r="A283" s="1">
        <v>42786</v>
      </c>
      <c r="B283">
        <v>66.905000000000001</v>
      </c>
    </row>
    <row r="284" spans="1:2">
      <c r="A284" s="1">
        <v>42787</v>
      </c>
      <c r="B284">
        <v>66.984999999999999</v>
      </c>
    </row>
    <row r="285" spans="1:2">
      <c r="A285" s="1">
        <v>42788</v>
      </c>
      <c r="B285">
        <v>66.95</v>
      </c>
    </row>
    <row r="286" spans="1:2">
      <c r="A286" s="1">
        <v>42789</v>
      </c>
      <c r="B286">
        <v>66.69</v>
      </c>
    </row>
    <row r="287" spans="1:2">
      <c r="A287" s="1">
        <v>42790</v>
      </c>
      <c r="B287">
        <v>66.644999999999996</v>
      </c>
    </row>
    <row r="288" spans="1:2">
      <c r="A288" s="1">
        <v>42793</v>
      </c>
      <c r="B288">
        <v>66.7</v>
      </c>
    </row>
    <row r="289" spans="1:2">
      <c r="A289" s="1">
        <v>42794</v>
      </c>
      <c r="B289">
        <v>66.724999999999994</v>
      </c>
    </row>
    <row r="290" spans="1:2">
      <c r="A290" s="1">
        <v>42795</v>
      </c>
      <c r="B290">
        <v>66.864999999999995</v>
      </c>
    </row>
    <row r="291" spans="1:2">
      <c r="A291" s="1">
        <v>42796</v>
      </c>
      <c r="B291">
        <v>66.784999999999997</v>
      </c>
    </row>
    <row r="292" spans="1:2">
      <c r="A292" s="1">
        <v>42797</v>
      </c>
      <c r="B292">
        <v>66.78</v>
      </c>
    </row>
    <row r="293" spans="1:2">
      <c r="A293" s="1">
        <v>42800</v>
      </c>
      <c r="B293">
        <v>66.674999999999997</v>
      </c>
    </row>
    <row r="294" spans="1:2">
      <c r="A294" s="1">
        <v>42801</v>
      </c>
      <c r="B294">
        <v>66.625</v>
      </c>
    </row>
    <row r="295" spans="1:2">
      <c r="A295" s="1">
        <v>42802</v>
      </c>
      <c r="B295">
        <v>66.765000000000001</v>
      </c>
    </row>
    <row r="296" spans="1:2">
      <c r="A296" s="1">
        <v>42803</v>
      </c>
      <c r="B296">
        <v>66.69</v>
      </c>
    </row>
    <row r="297" spans="1:2">
      <c r="A297" s="1">
        <v>42804</v>
      </c>
      <c r="B297">
        <v>66.555000000000007</v>
      </c>
    </row>
    <row r="298" spans="1:2">
      <c r="A298" s="1">
        <v>42807</v>
      </c>
      <c r="B298">
        <v>66.180000000000007</v>
      </c>
    </row>
    <row r="299" spans="1:2">
      <c r="A299" s="1">
        <v>42808</v>
      </c>
      <c r="B299">
        <v>65.775000000000006</v>
      </c>
    </row>
    <row r="300" spans="1:2">
      <c r="A300" s="1">
        <v>42809</v>
      </c>
      <c r="B300">
        <v>65.63</v>
      </c>
    </row>
    <row r="301" spans="1:2">
      <c r="A301" s="1">
        <v>42810</v>
      </c>
      <c r="B301">
        <v>65.385000000000005</v>
      </c>
    </row>
    <row r="302" spans="1:2">
      <c r="A302" s="1">
        <v>42811</v>
      </c>
      <c r="B302">
        <v>65.474999999999994</v>
      </c>
    </row>
    <row r="303" spans="1:2">
      <c r="A303" s="1">
        <v>42814</v>
      </c>
      <c r="B303">
        <v>65.344999999999999</v>
      </c>
    </row>
    <row r="304" spans="1:2">
      <c r="A304" s="1">
        <v>42815</v>
      </c>
      <c r="B304">
        <v>65.344999999999999</v>
      </c>
    </row>
    <row r="305" spans="1:2">
      <c r="A305" s="1">
        <v>42816</v>
      </c>
      <c r="B305">
        <v>65.454999999999998</v>
      </c>
    </row>
    <row r="306" spans="1:2">
      <c r="A306" s="1">
        <v>42817</v>
      </c>
      <c r="B306">
        <v>65.454999999999998</v>
      </c>
    </row>
    <row r="307" spans="1:2">
      <c r="A307" s="1">
        <v>42818</v>
      </c>
      <c r="B307">
        <v>65.424999999999997</v>
      </c>
    </row>
    <row r="308" spans="1:2">
      <c r="A308" s="1">
        <v>42821</v>
      </c>
      <c r="B308">
        <v>64.995000000000005</v>
      </c>
    </row>
    <row r="309" spans="1:2">
      <c r="A309" s="1">
        <v>42822</v>
      </c>
      <c r="B309">
        <v>65.045000000000002</v>
      </c>
    </row>
    <row r="310" spans="1:2">
      <c r="A310" s="1">
        <v>42823</v>
      </c>
      <c r="B310">
        <v>64.875</v>
      </c>
    </row>
    <row r="311" spans="1:2">
      <c r="A311" s="1">
        <v>42824</v>
      </c>
      <c r="B311">
        <v>64.86</v>
      </c>
    </row>
    <row r="312" spans="1:2">
      <c r="A312" s="1">
        <v>42825</v>
      </c>
      <c r="B312">
        <v>64.86</v>
      </c>
    </row>
    <row r="313" spans="1:2">
      <c r="A313" s="1">
        <v>42828</v>
      </c>
      <c r="B313">
        <v>64.984999999999999</v>
      </c>
    </row>
    <row r="314" spans="1:2">
      <c r="A314" s="1">
        <v>42829</v>
      </c>
      <c r="B314">
        <v>65.08</v>
      </c>
    </row>
    <row r="315" spans="1:2">
      <c r="A315" s="1">
        <v>42830</v>
      </c>
      <c r="B315">
        <v>64.875</v>
      </c>
    </row>
    <row r="316" spans="1:2">
      <c r="A316" s="1">
        <v>42831</v>
      </c>
      <c r="B316">
        <v>64.605999999999995</v>
      </c>
    </row>
    <row r="317" spans="1:2">
      <c r="A317" s="1">
        <v>42832</v>
      </c>
      <c r="B317">
        <v>64.27</v>
      </c>
    </row>
    <row r="318" spans="1:2">
      <c r="A318" s="1">
        <v>42835</v>
      </c>
      <c r="B318">
        <v>64.605000000000004</v>
      </c>
    </row>
    <row r="319" spans="1:2">
      <c r="A319" s="1">
        <v>42836</v>
      </c>
      <c r="B319">
        <v>64.555000000000007</v>
      </c>
    </row>
    <row r="320" spans="1:2">
      <c r="A320" s="1">
        <v>42837</v>
      </c>
      <c r="B320">
        <v>64.69</v>
      </c>
    </row>
    <row r="321" spans="1:2">
      <c r="A321" s="1">
        <v>42838</v>
      </c>
      <c r="B321">
        <v>64.444999999999993</v>
      </c>
    </row>
    <row r="322" spans="1:2">
      <c r="A322" s="1">
        <v>42839</v>
      </c>
      <c r="B322">
        <v>64.48</v>
      </c>
    </row>
    <row r="323" spans="1:2">
      <c r="A323" s="1">
        <v>42842</v>
      </c>
      <c r="B323">
        <v>64.48</v>
      </c>
    </row>
    <row r="324" spans="1:2">
      <c r="A324" s="1">
        <v>42843</v>
      </c>
      <c r="B324">
        <v>64.605000000000004</v>
      </c>
    </row>
    <row r="325" spans="1:2">
      <c r="A325" s="1">
        <v>42844</v>
      </c>
      <c r="B325">
        <v>64.665000000000006</v>
      </c>
    </row>
    <row r="326" spans="1:2">
      <c r="A326" s="1">
        <v>42845</v>
      </c>
      <c r="B326">
        <v>64.62</v>
      </c>
    </row>
    <row r="327" spans="1:2">
      <c r="A327" s="1">
        <v>42846</v>
      </c>
      <c r="B327">
        <v>64.650000000000006</v>
      </c>
    </row>
    <row r="328" spans="1:2">
      <c r="A328" s="1">
        <v>42849</v>
      </c>
      <c r="B328">
        <v>64.489999999999995</v>
      </c>
    </row>
    <row r="329" spans="1:2">
      <c r="A329" s="1">
        <v>42850</v>
      </c>
      <c r="B329">
        <v>64.33</v>
      </c>
    </row>
    <row r="330" spans="1:2">
      <c r="A330" s="1">
        <v>42851</v>
      </c>
      <c r="B330">
        <v>64.13</v>
      </c>
    </row>
    <row r="331" spans="1:2">
      <c r="A331" s="1">
        <v>42852</v>
      </c>
      <c r="B331">
        <v>64.114999999999995</v>
      </c>
    </row>
    <row r="332" spans="1:2">
      <c r="A332" s="1">
        <v>42853</v>
      </c>
      <c r="B332">
        <v>64.290000000000006</v>
      </c>
    </row>
    <row r="333" spans="1:2">
      <c r="A333" s="1">
        <v>42856</v>
      </c>
      <c r="B333">
        <v>64.254999999999995</v>
      </c>
    </row>
    <row r="334" spans="1:2">
      <c r="A334" s="1">
        <v>42857</v>
      </c>
      <c r="B334">
        <v>64.165000000000006</v>
      </c>
    </row>
    <row r="335" spans="1:2">
      <c r="A335" s="1">
        <v>42858</v>
      </c>
      <c r="B335">
        <v>64.165000000000006</v>
      </c>
    </row>
    <row r="336" spans="1:2">
      <c r="A336" s="1">
        <v>42859</v>
      </c>
      <c r="B336">
        <v>64.215000000000003</v>
      </c>
    </row>
    <row r="337" spans="1:2">
      <c r="A337" s="1">
        <v>42860</v>
      </c>
      <c r="B337">
        <v>64.314999999999998</v>
      </c>
    </row>
    <row r="338" spans="1:2">
      <c r="A338" s="1">
        <v>42863</v>
      </c>
      <c r="B338">
        <v>64.36</v>
      </c>
    </row>
    <row r="339" spans="1:2">
      <c r="A339" s="1">
        <v>42864</v>
      </c>
      <c r="B339">
        <v>64.680000000000007</v>
      </c>
    </row>
    <row r="340" spans="1:2">
      <c r="A340" s="1">
        <v>42865</v>
      </c>
      <c r="B340">
        <v>64.614999999999995</v>
      </c>
    </row>
    <row r="341" spans="1:2">
      <c r="A341" s="1">
        <v>42866</v>
      </c>
      <c r="B341">
        <v>64.405000000000001</v>
      </c>
    </row>
    <row r="342" spans="1:2">
      <c r="A342" s="1">
        <v>42867</v>
      </c>
      <c r="B342">
        <v>64.242999999999995</v>
      </c>
    </row>
    <row r="343" spans="1:2">
      <c r="A343" s="1">
        <v>42870</v>
      </c>
      <c r="B343">
        <v>64.064999999999998</v>
      </c>
    </row>
    <row r="344" spans="1:2">
      <c r="A344" s="1">
        <v>42871</v>
      </c>
      <c r="B344">
        <v>64.045000000000002</v>
      </c>
    </row>
    <row r="345" spans="1:2">
      <c r="A345" s="1">
        <v>42872</v>
      </c>
      <c r="B345">
        <v>64.13</v>
      </c>
    </row>
    <row r="346" spans="1:2">
      <c r="A346" s="1">
        <v>42873</v>
      </c>
      <c r="B346">
        <v>64.88</v>
      </c>
    </row>
    <row r="347" spans="1:2">
      <c r="A347" s="1">
        <v>42874</v>
      </c>
      <c r="B347">
        <v>64.564999999999998</v>
      </c>
    </row>
    <row r="348" spans="1:2">
      <c r="A348" s="1">
        <v>42877</v>
      </c>
      <c r="B348">
        <v>64.510000000000005</v>
      </c>
    </row>
    <row r="349" spans="1:2">
      <c r="A349" s="1">
        <v>42878</v>
      </c>
      <c r="B349">
        <v>64.894999999999996</v>
      </c>
    </row>
    <row r="350" spans="1:2">
      <c r="A350" s="1">
        <v>42879</v>
      </c>
      <c r="B350">
        <v>64.77</v>
      </c>
    </row>
    <row r="351" spans="1:2">
      <c r="A351" s="1">
        <v>42880</v>
      </c>
      <c r="B351">
        <v>64.555000000000007</v>
      </c>
    </row>
    <row r="352" spans="1:2">
      <c r="A352" s="1">
        <v>42881</v>
      </c>
      <c r="B352">
        <v>64.510000000000005</v>
      </c>
    </row>
    <row r="353" spans="1:2">
      <c r="A353" s="1">
        <v>42884</v>
      </c>
      <c r="B353">
        <v>64.540000000000006</v>
      </c>
    </row>
    <row r="354" spans="1:2">
      <c r="A354" s="1">
        <v>42885</v>
      </c>
      <c r="B354">
        <v>64.635000000000005</v>
      </c>
    </row>
    <row r="355" spans="1:2">
      <c r="A355" s="1">
        <v>42886</v>
      </c>
      <c r="B355">
        <v>64.510000000000005</v>
      </c>
    </row>
    <row r="356" spans="1:2">
      <c r="A356" s="1">
        <v>42887</v>
      </c>
      <c r="B356">
        <v>64.477999999999994</v>
      </c>
    </row>
    <row r="357" spans="1:2">
      <c r="A357" s="1">
        <v>42888</v>
      </c>
      <c r="B357">
        <v>64.415000000000006</v>
      </c>
    </row>
    <row r="358" spans="1:2">
      <c r="A358" s="1">
        <v>42891</v>
      </c>
      <c r="B358">
        <v>64.349999999999994</v>
      </c>
    </row>
    <row r="359" spans="1:2">
      <c r="A359" s="1">
        <v>42892</v>
      </c>
      <c r="B359">
        <v>64.430000000000007</v>
      </c>
    </row>
    <row r="360" spans="1:2">
      <c r="A360" s="1">
        <v>42893</v>
      </c>
      <c r="B360">
        <v>64.435000000000002</v>
      </c>
    </row>
    <row r="361" spans="1:2">
      <c r="A361" s="1">
        <v>42894</v>
      </c>
      <c r="B361">
        <v>64.25</v>
      </c>
    </row>
    <row r="362" spans="1:2">
      <c r="A362" s="1">
        <v>42895</v>
      </c>
      <c r="B362">
        <v>64.245000000000005</v>
      </c>
    </row>
    <row r="363" spans="1:2">
      <c r="A363" s="1">
        <v>42898</v>
      </c>
      <c r="B363">
        <v>64.48</v>
      </c>
    </row>
    <row r="364" spans="1:2">
      <c r="A364" s="1">
        <v>42899</v>
      </c>
      <c r="B364">
        <v>64.344999999999999</v>
      </c>
    </row>
    <row r="365" spans="1:2">
      <c r="A365" s="1">
        <v>42900</v>
      </c>
      <c r="B365">
        <v>64.234999999999999</v>
      </c>
    </row>
    <row r="366" spans="1:2">
      <c r="A366" s="1">
        <v>42901</v>
      </c>
      <c r="B366">
        <v>64.564999999999998</v>
      </c>
    </row>
    <row r="367" spans="1:2">
      <c r="A367" s="1">
        <v>42902</v>
      </c>
      <c r="B367">
        <v>64.465000000000003</v>
      </c>
    </row>
    <row r="368" spans="1:2">
      <c r="A368" s="1">
        <v>42905</v>
      </c>
      <c r="B368">
        <v>64.495000000000005</v>
      </c>
    </row>
    <row r="369" spans="1:2">
      <c r="A369" s="1">
        <v>42906</v>
      </c>
      <c r="B369">
        <v>64.540000000000006</v>
      </c>
    </row>
    <row r="370" spans="1:2">
      <c r="A370" s="1">
        <v>42907</v>
      </c>
      <c r="B370">
        <v>64.53</v>
      </c>
    </row>
    <row r="371" spans="1:2">
      <c r="A371" s="1">
        <v>42908</v>
      </c>
      <c r="B371">
        <v>64.605000000000004</v>
      </c>
    </row>
    <row r="372" spans="1:2">
      <c r="A372" s="1">
        <v>42909</v>
      </c>
      <c r="B372">
        <v>64.504999999999995</v>
      </c>
    </row>
    <row r="373" spans="1:2">
      <c r="A373" s="1">
        <v>42912</v>
      </c>
      <c r="B373">
        <v>64.435000000000002</v>
      </c>
    </row>
    <row r="374" spans="1:2">
      <c r="A374" s="1">
        <v>42913</v>
      </c>
      <c r="B374">
        <v>64.474999999999994</v>
      </c>
    </row>
    <row r="375" spans="1:2">
      <c r="A375" s="1">
        <v>42914</v>
      </c>
      <c r="B375">
        <v>64.525000000000006</v>
      </c>
    </row>
    <row r="376" spans="1:2">
      <c r="A376" s="1">
        <v>42915</v>
      </c>
      <c r="B376">
        <v>64.66</v>
      </c>
    </row>
    <row r="377" spans="1:2">
      <c r="A377" s="1">
        <v>42916</v>
      </c>
      <c r="B377">
        <v>64.62</v>
      </c>
    </row>
    <row r="378" spans="1:2">
      <c r="A378" s="1">
        <v>42919</v>
      </c>
      <c r="B378">
        <v>64.844999999999999</v>
      </c>
    </row>
    <row r="379" spans="1:2">
      <c r="A379" s="1">
        <v>42920</v>
      </c>
      <c r="B379">
        <v>64.790000000000006</v>
      </c>
    </row>
    <row r="380" spans="1:2">
      <c r="A380" s="1">
        <v>42921</v>
      </c>
      <c r="B380">
        <v>64.8</v>
      </c>
    </row>
    <row r="381" spans="1:2">
      <c r="A381" s="1">
        <v>42922</v>
      </c>
      <c r="B381">
        <v>64.724999999999994</v>
      </c>
    </row>
    <row r="382" spans="1:2">
      <c r="A382" s="1">
        <v>42923</v>
      </c>
      <c r="B382">
        <v>64.625</v>
      </c>
    </row>
    <row r="383" spans="1:2">
      <c r="A383" s="1">
        <v>42926</v>
      </c>
      <c r="B383">
        <v>64.474999999999994</v>
      </c>
    </row>
    <row r="384" spans="1:2">
      <c r="A384" s="1">
        <v>42927</v>
      </c>
      <c r="B384">
        <v>64.564999999999998</v>
      </c>
    </row>
    <row r="385" spans="1:2">
      <c r="A385" s="1">
        <v>42928</v>
      </c>
      <c r="B385">
        <v>64.474999999999994</v>
      </c>
    </row>
    <row r="386" spans="1:2">
      <c r="A386" s="1">
        <v>42929</v>
      </c>
      <c r="B386">
        <v>64.459999999999994</v>
      </c>
    </row>
    <row r="387" spans="1:2">
      <c r="A387" s="1">
        <v>42930</v>
      </c>
      <c r="B387">
        <v>64.424000000000007</v>
      </c>
    </row>
    <row r="388" spans="1:2">
      <c r="A388" s="1">
        <v>42933</v>
      </c>
      <c r="B388">
        <v>64.344999999999999</v>
      </c>
    </row>
    <row r="389" spans="1:2">
      <c r="A389" s="1">
        <v>42934</v>
      </c>
      <c r="B389">
        <v>64.316000000000003</v>
      </c>
    </row>
    <row r="390" spans="1:2">
      <c r="A390" s="1">
        <v>42935</v>
      </c>
      <c r="B390">
        <v>64.27</v>
      </c>
    </row>
    <row r="391" spans="1:2">
      <c r="A391" s="1">
        <v>42936</v>
      </c>
      <c r="B391">
        <v>64.375</v>
      </c>
    </row>
    <row r="392" spans="1:2">
      <c r="A392" s="1">
        <v>42937</v>
      </c>
      <c r="B392">
        <v>64.385000000000005</v>
      </c>
    </row>
    <row r="393" spans="1:2">
      <c r="A393" s="1">
        <v>42940</v>
      </c>
      <c r="B393">
        <v>64.394999999999996</v>
      </c>
    </row>
    <row r="394" spans="1:2">
      <c r="A394" s="1">
        <v>42941</v>
      </c>
      <c r="B394">
        <v>64.385000000000005</v>
      </c>
    </row>
    <row r="395" spans="1:2">
      <c r="A395" s="1">
        <v>42942</v>
      </c>
      <c r="B395">
        <v>64.355000000000004</v>
      </c>
    </row>
    <row r="396" spans="1:2">
      <c r="A396" s="1">
        <v>42943</v>
      </c>
      <c r="B396">
        <v>64.125</v>
      </c>
    </row>
    <row r="397" spans="1:2">
      <c r="A397" s="1">
        <v>42944</v>
      </c>
      <c r="B397">
        <v>64.114999999999995</v>
      </c>
    </row>
    <row r="398" spans="1:2">
      <c r="A398" s="1">
        <v>42947</v>
      </c>
      <c r="B398">
        <v>64.2</v>
      </c>
    </row>
    <row r="399" spans="1:2">
      <c r="A399" s="1">
        <v>42948</v>
      </c>
      <c r="B399">
        <v>64.094999999999999</v>
      </c>
    </row>
    <row r="400" spans="1:2">
      <c r="A400" s="1">
        <v>42949</v>
      </c>
      <c r="B400">
        <v>63.634999999999998</v>
      </c>
    </row>
    <row r="401" spans="1:2">
      <c r="A401" s="1">
        <v>42950</v>
      </c>
      <c r="B401">
        <v>63.704999999999998</v>
      </c>
    </row>
    <row r="402" spans="1:2">
      <c r="A402" s="1">
        <v>42951</v>
      </c>
      <c r="B402">
        <v>63.674999999999997</v>
      </c>
    </row>
    <row r="403" spans="1:2">
      <c r="A403" s="1">
        <v>42954</v>
      </c>
      <c r="B403">
        <v>63.84</v>
      </c>
    </row>
    <row r="404" spans="1:2">
      <c r="A404" s="1">
        <v>42955</v>
      </c>
      <c r="B404">
        <v>63.692</v>
      </c>
    </row>
    <row r="405" spans="1:2">
      <c r="A405" s="1">
        <v>42956</v>
      </c>
      <c r="B405">
        <v>63.86</v>
      </c>
    </row>
    <row r="406" spans="1:2">
      <c r="A406" s="1">
        <v>42957</v>
      </c>
      <c r="B406">
        <v>64.094999999999999</v>
      </c>
    </row>
    <row r="407" spans="1:2">
      <c r="A407" s="1">
        <v>42958</v>
      </c>
      <c r="B407">
        <v>64.14</v>
      </c>
    </row>
    <row r="408" spans="1:2">
      <c r="A408" s="1">
        <v>42961</v>
      </c>
      <c r="B408">
        <v>64.09</v>
      </c>
    </row>
    <row r="409" spans="1:2">
      <c r="A409" s="1">
        <v>42962</v>
      </c>
      <c r="B409">
        <v>64.12</v>
      </c>
    </row>
    <row r="410" spans="1:2">
      <c r="A410" s="1">
        <v>42963</v>
      </c>
      <c r="B410">
        <v>64.17</v>
      </c>
    </row>
    <row r="411" spans="1:2">
      <c r="A411" s="1">
        <v>42964</v>
      </c>
      <c r="B411">
        <v>64.17</v>
      </c>
    </row>
    <row r="412" spans="1:2">
      <c r="A412" s="1">
        <v>42965</v>
      </c>
      <c r="B412">
        <v>64.094999999999999</v>
      </c>
    </row>
    <row r="413" spans="1:2">
      <c r="A413" s="1">
        <v>42968</v>
      </c>
      <c r="B413">
        <v>64.11</v>
      </c>
    </row>
    <row r="414" spans="1:2">
      <c r="A414" s="1">
        <v>42969</v>
      </c>
      <c r="B414">
        <v>64.072000000000003</v>
      </c>
    </row>
    <row r="415" spans="1:2">
      <c r="A415" s="1">
        <v>42970</v>
      </c>
      <c r="B415">
        <v>64.045000000000002</v>
      </c>
    </row>
    <row r="416" spans="1:2">
      <c r="A416" s="1">
        <v>42971</v>
      </c>
      <c r="B416">
        <v>64.045000000000002</v>
      </c>
    </row>
    <row r="417" spans="1:2">
      <c r="A417" s="1">
        <v>42972</v>
      </c>
      <c r="B417">
        <v>64.004999999999995</v>
      </c>
    </row>
    <row r="418" spans="1:2">
      <c r="A418" s="1">
        <v>42975</v>
      </c>
      <c r="B418">
        <v>63.905000000000001</v>
      </c>
    </row>
    <row r="419" spans="1:2">
      <c r="A419" s="1">
        <v>42976</v>
      </c>
      <c r="B419">
        <v>64.015000000000001</v>
      </c>
    </row>
    <row r="420" spans="1:2">
      <c r="A420" s="1">
        <v>42977</v>
      </c>
      <c r="B420">
        <v>63.99</v>
      </c>
    </row>
    <row r="421" spans="1:2">
      <c r="A421" s="1">
        <v>42978</v>
      </c>
      <c r="B421">
        <v>63.935000000000002</v>
      </c>
    </row>
    <row r="422" spans="1:2">
      <c r="A422" s="1">
        <v>42979</v>
      </c>
      <c r="B422">
        <v>64.025000000000006</v>
      </c>
    </row>
    <row r="423" spans="1:2">
      <c r="A423" s="1">
        <v>42982</v>
      </c>
      <c r="B423">
        <v>64.040000000000006</v>
      </c>
    </row>
    <row r="424" spans="1:2">
      <c r="A424" s="1">
        <v>42983</v>
      </c>
      <c r="B424">
        <v>64.105000000000004</v>
      </c>
    </row>
    <row r="425" spans="1:2">
      <c r="A425" s="1">
        <v>42984</v>
      </c>
      <c r="B425">
        <v>64.06</v>
      </c>
    </row>
    <row r="426" spans="1:2">
      <c r="A426" s="1">
        <v>42985</v>
      </c>
      <c r="B426">
        <v>64.015000000000001</v>
      </c>
    </row>
    <row r="427" spans="1:2">
      <c r="A427" s="1">
        <v>42986</v>
      </c>
      <c r="B427">
        <v>63.784999999999997</v>
      </c>
    </row>
    <row r="428" spans="1:2">
      <c r="A428" s="1">
        <v>42989</v>
      </c>
      <c r="B428">
        <v>63.935000000000002</v>
      </c>
    </row>
    <row r="429" spans="1:2">
      <c r="A429" s="1">
        <v>42990</v>
      </c>
      <c r="B429">
        <v>64.031000000000006</v>
      </c>
    </row>
    <row r="430" spans="1:2">
      <c r="A430" s="1">
        <v>42991</v>
      </c>
      <c r="B430">
        <v>64.010000000000005</v>
      </c>
    </row>
    <row r="431" spans="1:2">
      <c r="A431" s="1">
        <v>42992</v>
      </c>
      <c r="B431">
        <v>64.123000000000005</v>
      </c>
    </row>
    <row r="432" spans="1:2">
      <c r="A432" s="1">
        <v>42993</v>
      </c>
      <c r="B432">
        <v>64.11</v>
      </c>
    </row>
    <row r="433" spans="1:2">
      <c r="A433" s="1">
        <v>42996</v>
      </c>
      <c r="B433">
        <v>64.158000000000001</v>
      </c>
    </row>
    <row r="434" spans="1:2">
      <c r="A434" s="1">
        <v>42997</v>
      </c>
      <c r="B434">
        <v>64.3</v>
      </c>
    </row>
    <row r="435" spans="1:2">
      <c r="A435" s="1">
        <v>42998</v>
      </c>
      <c r="B435">
        <v>64.293000000000006</v>
      </c>
    </row>
    <row r="436" spans="1:2">
      <c r="A436" s="1">
        <v>42999</v>
      </c>
      <c r="B436">
        <v>64.81</v>
      </c>
    </row>
    <row r="437" spans="1:2">
      <c r="A437" s="1">
        <v>43000</v>
      </c>
      <c r="B437">
        <v>64.795000000000002</v>
      </c>
    </row>
    <row r="438" spans="1:2">
      <c r="A438" s="1">
        <v>43003</v>
      </c>
      <c r="B438">
        <v>65.126999999999995</v>
      </c>
    </row>
    <row r="439" spans="1:2">
      <c r="A439" s="1">
        <v>43004</v>
      </c>
      <c r="B439">
        <v>65.459999999999994</v>
      </c>
    </row>
    <row r="440" spans="1:2">
      <c r="A440" s="1">
        <v>43005</v>
      </c>
      <c r="B440">
        <v>65.715000000000003</v>
      </c>
    </row>
    <row r="441" spans="1:2">
      <c r="A441" s="1">
        <v>43006</v>
      </c>
      <c r="B441">
        <v>65.47</v>
      </c>
    </row>
    <row r="442" spans="1:2">
      <c r="A442" s="1">
        <v>43007</v>
      </c>
      <c r="B442">
        <v>65.31</v>
      </c>
    </row>
    <row r="443" spans="1:2">
      <c r="A443" s="1">
        <v>43010</v>
      </c>
      <c r="B443">
        <v>65.31</v>
      </c>
    </row>
    <row r="444" spans="1:2">
      <c r="A444" s="1">
        <v>43011</v>
      </c>
      <c r="B444">
        <v>65.484999999999999</v>
      </c>
    </row>
    <row r="445" spans="1:2">
      <c r="A445" s="1">
        <v>43012</v>
      </c>
      <c r="B445">
        <v>65.03</v>
      </c>
    </row>
    <row r="446" spans="1:2">
      <c r="A446" s="1">
        <v>43013</v>
      </c>
      <c r="B446">
        <v>65.144999999999996</v>
      </c>
    </row>
    <row r="447" spans="1:2">
      <c r="A447" s="1">
        <v>43014</v>
      </c>
      <c r="B447">
        <v>65.400000000000006</v>
      </c>
    </row>
    <row r="448" spans="1:2">
      <c r="A448" s="1">
        <v>43017</v>
      </c>
      <c r="B448">
        <v>65.355000000000004</v>
      </c>
    </row>
    <row r="449" spans="1:2">
      <c r="A449" s="1">
        <v>43018</v>
      </c>
      <c r="B449">
        <v>65.25</v>
      </c>
    </row>
    <row r="450" spans="1:2">
      <c r="A450" s="1">
        <v>43019</v>
      </c>
      <c r="B450">
        <v>65.16</v>
      </c>
    </row>
    <row r="451" spans="1:2">
      <c r="A451" s="1">
        <v>43020</v>
      </c>
      <c r="B451">
        <v>65.06</v>
      </c>
    </row>
    <row r="452" spans="1:2">
      <c r="A452" s="1">
        <v>43021</v>
      </c>
      <c r="B452">
        <v>64.7</v>
      </c>
    </row>
    <row r="453" spans="1:2">
      <c r="A453" s="1">
        <v>43024</v>
      </c>
      <c r="B453">
        <v>64.7</v>
      </c>
    </row>
    <row r="454" spans="1:2">
      <c r="A454" s="1">
        <v>43025</v>
      </c>
      <c r="B454">
        <v>65.03</v>
      </c>
    </row>
    <row r="455" spans="1:2">
      <c r="A455" s="1">
        <v>43026</v>
      </c>
      <c r="B455">
        <v>65.055000000000007</v>
      </c>
    </row>
    <row r="456" spans="1:2">
      <c r="A456" s="1">
        <v>43027</v>
      </c>
      <c r="B456">
        <v>64.995000000000005</v>
      </c>
    </row>
    <row r="457" spans="1:2">
      <c r="A457" s="1">
        <v>43028</v>
      </c>
      <c r="B457">
        <v>65.040000000000006</v>
      </c>
    </row>
    <row r="458" spans="1:2">
      <c r="A458" s="1">
        <v>43031</v>
      </c>
      <c r="B458">
        <v>65.022999999999996</v>
      </c>
    </row>
    <row r="459" spans="1:2">
      <c r="A459" s="1">
        <v>43032</v>
      </c>
      <c r="B459">
        <v>65.09</v>
      </c>
    </row>
    <row r="460" spans="1:2">
      <c r="A460" s="1">
        <v>43033</v>
      </c>
      <c r="B460">
        <v>64.924999999999997</v>
      </c>
    </row>
    <row r="461" spans="1:2">
      <c r="A461" s="1">
        <v>43034</v>
      </c>
      <c r="B461">
        <v>64.84</v>
      </c>
    </row>
    <row r="462" spans="1:2">
      <c r="A462" s="1">
        <v>43035</v>
      </c>
      <c r="B462">
        <v>65.040000000000006</v>
      </c>
    </row>
    <row r="463" spans="1:2">
      <c r="A463" s="1">
        <v>43038</v>
      </c>
      <c r="B463">
        <v>64.86</v>
      </c>
    </row>
    <row r="464" spans="1:2">
      <c r="A464" s="1">
        <v>43039</v>
      </c>
      <c r="B464">
        <v>64.75</v>
      </c>
    </row>
    <row r="465" spans="1:2">
      <c r="A465" s="1">
        <v>43040</v>
      </c>
      <c r="B465">
        <v>64.564999999999998</v>
      </c>
    </row>
    <row r="466" spans="1:2">
      <c r="A466" s="1">
        <v>43041</v>
      </c>
      <c r="B466">
        <v>64.575000000000003</v>
      </c>
    </row>
    <row r="467" spans="1:2">
      <c r="A467" s="1">
        <v>43042</v>
      </c>
      <c r="B467">
        <v>64.56</v>
      </c>
    </row>
    <row r="468" spans="1:2">
      <c r="A468" s="1">
        <v>43045</v>
      </c>
      <c r="B468">
        <v>64.625</v>
      </c>
    </row>
    <row r="469" spans="1:2">
      <c r="A469" s="1">
        <v>43046</v>
      </c>
      <c r="B469">
        <v>65.06</v>
      </c>
    </row>
    <row r="470" spans="1:2">
      <c r="A470" s="1">
        <v>43047</v>
      </c>
      <c r="B470">
        <v>64.92</v>
      </c>
    </row>
    <row r="471" spans="1:2">
      <c r="A471" s="1">
        <v>43048</v>
      </c>
      <c r="B471">
        <v>64.974999999999994</v>
      </c>
    </row>
    <row r="472" spans="1:2">
      <c r="A472" s="1">
        <v>43049</v>
      </c>
      <c r="B472">
        <v>65.19</v>
      </c>
    </row>
    <row r="473" spans="1:2">
      <c r="A473" s="1">
        <v>43052</v>
      </c>
      <c r="B473">
        <v>65.44</v>
      </c>
    </row>
    <row r="474" spans="1:2">
      <c r="A474" s="1">
        <v>43053</v>
      </c>
      <c r="B474">
        <v>65.41</v>
      </c>
    </row>
    <row r="475" spans="1:2">
      <c r="A475" s="1">
        <v>43054</v>
      </c>
      <c r="B475">
        <v>65.27</v>
      </c>
    </row>
    <row r="476" spans="1:2">
      <c r="A476" s="1">
        <v>43055</v>
      </c>
      <c r="B476">
        <v>65.295000000000002</v>
      </c>
    </row>
    <row r="477" spans="1:2">
      <c r="A477" s="1">
        <v>43056</v>
      </c>
      <c r="B477">
        <v>65.015000000000001</v>
      </c>
    </row>
    <row r="478" spans="1:2">
      <c r="A478" s="1">
        <v>43059</v>
      </c>
      <c r="B478">
        <v>65.099999999999994</v>
      </c>
    </row>
    <row r="479" spans="1:2">
      <c r="A479" s="1">
        <v>43060</v>
      </c>
      <c r="B479">
        <v>64.88</v>
      </c>
    </row>
    <row r="480" spans="1:2">
      <c r="A480" s="1">
        <v>43061</v>
      </c>
      <c r="B480">
        <v>64.88</v>
      </c>
    </row>
    <row r="481" spans="1:2">
      <c r="A481" s="1">
        <v>43062</v>
      </c>
      <c r="B481">
        <v>64.569999999999993</v>
      </c>
    </row>
    <row r="482" spans="1:2">
      <c r="A482" s="1">
        <v>43063</v>
      </c>
      <c r="B482">
        <v>64.680000000000007</v>
      </c>
    </row>
    <row r="483" spans="1:2">
      <c r="A483" s="1">
        <v>43066</v>
      </c>
      <c r="B483">
        <v>64.477000000000004</v>
      </c>
    </row>
    <row r="484" spans="1:2">
      <c r="A484" s="1">
        <v>43067</v>
      </c>
      <c r="B484">
        <v>64.41</v>
      </c>
    </row>
    <row r="485" spans="1:2">
      <c r="A485" s="1">
        <v>43068</v>
      </c>
      <c r="B485">
        <v>64.36</v>
      </c>
    </row>
    <row r="486" spans="1:2">
      <c r="A486" s="1">
        <v>43069</v>
      </c>
      <c r="B486">
        <v>64.489999999999995</v>
      </c>
    </row>
    <row r="487" spans="1:2">
      <c r="A487" s="1">
        <v>43070</v>
      </c>
      <c r="B487">
        <v>64.52</v>
      </c>
    </row>
    <row r="488" spans="1:2">
      <c r="A488" s="1">
        <v>43073</v>
      </c>
      <c r="B488">
        <v>64.38</v>
      </c>
    </row>
    <row r="489" spans="1:2">
      <c r="A489" s="1">
        <v>43074</v>
      </c>
      <c r="B489">
        <v>64.36</v>
      </c>
    </row>
    <row r="490" spans="1:2">
      <c r="A490" s="1">
        <v>43075</v>
      </c>
      <c r="B490">
        <v>64.53</v>
      </c>
    </row>
    <row r="491" spans="1:2">
      <c r="A491" s="1">
        <v>43076</v>
      </c>
      <c r="B491">
        <v>64.569999999999993</v>
      </c>
    </row>
    <row r="492" spans="1:2">
      <c r="A492" s="1">
        <v>43077</v>
      </c>
      <c r="B492">
        <v>64.48</v>
      </c>
    </row>
    <row r="493" spans="1:2">
      <c r="A493" s="1">
        <v>43080</v>
      </c>
      <c r="B493">
        <v>64.355000000000004</v>
      </c>
    </row>
    <row r="494" spans="1:2">
      <c r="A494" s="1">
        <v>43081</v>
      </c>
      <c r="B494">
        <v>64.41</v>
      </c>
    </row>
    <row r="495" spans="1:2">
      <c r="A495" s="1">
        <v>43082</v>
      </c>
      <c r="B495">
        <v>64.459999999999994</v>
      </c>
    </row>
    <row r="496" spans="1:2">
      <c r="A496" s="1">
        <v>43083</v>
      </c>
      <c r="B496">
        <v>64.34</v>
      </c>
    </row>
    <row r="497" spans="1:2">
      <c r="A497" s="1">
        <v>43084</v>
      </c>
      <c r="B497">
        <v>64.08</v>
      </c>
    </row>
    <row r="498" spans="1:2">
      <c r="A498" s="1">
        <v>43087</v>
      </c>
      <c r="B498">
        <v>64.209999999999994</v>
      </c>
    </row>
    <row r="499" spans="1:2">
      <c r="A499" s="1">
        <v>43088</v>
      </c>
      <c r="B499">
        <v>64.06</v>
      </c>
    </row>
    <row r="500" spans="1:2">
      <c r="A500" s="1">
        <v>43089</v>
      </c>
      <c r="B500">
        <v>64.114999999999995</v>
      </c>
    </row>
    <row r="501" spans="1:2">
      <c r="A501" s="1">
        <v>43090</v>
      </c>
      <c r="B501">
        <v>64.02</v>
      </c>
    </row>
    <row r="502" spans="1:2">
      <c r="A502" s="1">
        <v>43091</v>
      </c>
      <c r="B502">
        <v>64.02</v>
      </c>
    </row>
    <row r="503" spans="1:2">
      <c r="A503" s="1">
        <v>43094</v>
      </c>
      <c r="B503">
        <v>64.02</v>
      </c>
    </row>
    <row r="504" spans="1:2">
      <c r="A504" s="1">
        <v>43095</v>
      </c>
      <c r="B504">
        <v>64.05</v>
      </c>
    </row>
    <row r="505" spans="1:2">
      <c r="A505" s="1">
        <v>43096</v>
      </c>
      <c r="B505">
        <v>64.12</v>
      </c>
    </row>
    <row r="506" spans="1:2">
      <c r="A506" s="1">
        <v>43097</v>
      </c>
      <c r="B506">
        <v>64.08</v>
      </c>
    </row>
    <row r="507" spans="1:2">
      <c r="A507" s="1">
        <v>43098</v>
      </c>
      <c r="B507">
        <v>63.84</v>
      </c>
    </row>
    <row r="508" spans="1:2">
      <c r="A508" s="1">
        <v>43101</v>
      </c>
      <c r="B508">
        <v>63.68</v>
      </c>
    </row>
    <row r="509" spans="1:2">
      <c r="A509" s="1">
        <v>43102</v>
      </c>
      <c r="B509">
        <v>63.46</v>
      </c>
    </row>
    <row r="510" spans="1:2">
      <c r="A510" s="1">
        <v>43103</v>
      </c>
      <c r="B510">
        <v>63.505000000000003</v>
      </c>
    </row>
    <row r="511" spans="1:2">
      <c r="A511" s="1">
        <v>43104</v>
      </c>
      <c r="B511">
        <v>63.4</v>
      </c>
    </row>
    <row r="512" spans="1:2">
      <c r="A512" s="1">
        <v>43105</v>
      </c>
      <c r="B512">
        <v>63.34</v>
      </c>
    </row>
    <row r="513" spans="1:2">
      <c r="A513" s="1">
        <v>43108</v>
      </c>
      <c r="B513">
        <v>63.475000000000001</v>
      </c>
    </row>
    <row r="514" spans="1:2">
      <c r="A514" s="1">
        <v>43109</v>
      </c>
      <c r="B514">
        <v>63.67</v>
      </c>
    </row>
    <row r="515" spans="1:2">
      <c r="A515" s="1">
        <v>43110</v>
      </c>
      <c r="B515">
        <v>63.63</v>
      </c>
    </row>
    <row r="516" spans="1:2">
      <c r="A516" s="1">
        <v>43111</v>
      </c>
      <c r="B516">
        <v>63.69</v>
      </c>
    </row>
    <row r="517" spans="1:2">
      <c r="A517" s="1">
        <v>43112</v>
      </c>
      <c r="B517">
        <v>63.61</v>
      </c>
    </row>
    <row r="518" spans="1:2">
      <c r="A518" s="1">
        <v>43115</v>
      </c>
      <c r="B518">
        <v>63.515000000000001</v>
      </c>
    </row>
    <row r="519" spans="1:2">
      <c r="A519" s="1">
        <v>43116</v>
      </c>
      <c r="B519">
        <v>64.02</v>
      </c>
    </row>
    <row r="520" spans="1:2">
      <c r="A520" s="1">
        <v>43117</v>
      </c>
      <c r="B520">
        <v>63.884999999999998</v>
      </c>
    </row>
    <row r="521" spans="1:2">
      <c r="A521" s="1">
        <v>43118</v>
      </c>
      <c r="B521">
        <v>63.87</v>
      </c>
    </row>
    <row r="522" spans="1:2">
      <c r="A522" s="1">
        <v>43119</v>
      </c>
      <c r="B522">
        <v>63.83</v>
      </c>
    </row>
    <row r="523" spans="1:2">
      <c r="A523" s="1">
        <v>43122</v>
      </c>
      <c r="B523">
        <v>63.89</v>
      </c>
    </row>
    <row r="524" spans="1:2">
      <c r="A524" s="1">
        <v>43123</v>
      </c>
      <c r="B524">
        <v>63.76</v>
      </c>
    </row>
    <row r="525" spans="1:2">
      <c r="A525" s="1">
        <v>43124</v>
      </c>
      <c r="B525">
        <v>63.66</v>
      </c>
    </row>
    <row r="526" spans="1:2">
      <c r="A526" s="1">
        <v>43125</v>
      </c>
      <c r="B526">
        <v>63.515000000000001</v>
      </c>
    </row>
    <row r="527" spans="1:2">
      <c r="A527" s="1">
        <v>43126</v>
      </c>
      <c r="B527">
        <v>63.59</v>
      </c>
    </row>
    <row r="528" spans="1:2">
      <c r="A528" s="1">
        <v>43129</v>
      </c>
      <c r="B528">
        <v>63.6</v>
      </c>
    </row>
    <row r="529" spans="1:2">
      <c r="A529" s="1">
        <v>43130</v>
      </c>
      <c r="B529">
        <v>63.69</v>
      </c>
    </row>
    <row r="530" spans="1:2">
      <c r="A530" s="1">
        <v>43131</v>
      </c>
      <c r="B530">
        <v>63.55</v>
      </c>
    </row>
    <row r="531" spans="1:2">
      <c r="A531" s="1">
        <v>43132</v>
      </c>
      <c r="B531">
        <v>63.98</v>
      </c>
    </row>
    <row r="532" spans="1:2">
      <c r="A532" s="1">
        <v>43133</v>
      </c>
      <c r="B532">
        <v>64.13</v>
      </c>
    </row>
    <row r="533" spans="1:2">
      <c r="A533" s="1">
        <v>43136</v>
      </c>
      <c r="B533">
        <v>64.14</v>
      </c>
    </row>
    <row r="534" spans="1:2">
      <c r="A534" s="1">
        <v>43137</v>
      </c>
      <c r="B534">
        <v>64.23</v>
      </c>
    </row>
    <row r="535" spans="1:2">
      <c r="A535" s="1">
        <v>43138</v>
      </c>
      <c r="B535">
        <v>64.28</v>
      </c>
    </row>
    <row r="536" spans="1:2">
      <c r="A536" s="1">
        <v>43139</v>
      </c>
      <c r="B536">
        <v>64.3</v>
      </c>
    </row>
    <row r="537" spans="1:2">
      <c r="A537" s="1">
        <v>43140</v>
      </c>
      <c r="B537">
        <v>64.375</v>
      </c>
    </row>
    <row r="538" spans="1:2">
      <c r="A538" s="1">
        <v>43143</v>
      </c>
      <c r="B538">
        <v>64.28</v>
      </c>
    </row>
    <row r="539" spans="1:2">
      <c r="A539" s="1">
        <v>43144</v>
      </c>
      <c r="B539">
        <v>64.265000000000001</v>
      </c>
    </row>
    <row r="540" spans="1:2">
      <c r="A540" s="1">
        <v>43145</v>
      </c>
      <c r="B540">
        <v>64.099999999999994</v>
      </c>
    </row>
    <row r="541" spans="1:2">
      <c r="A541" s="1">
        <v>43146</v>
      </c>
      <c r="B541">
        <v>63.9</v>
      </c>
    </row>
    <row r="542" spans="1:2">
      <c r="A542" s="1">
        <v>43147</v>
      </c>
      <c r="B542">
        <v>64.215000000000003</v>
      </c>
    </row>
    <row r="543" spans="1:2">
      <c r="A543" s="1">
        <v>43150</v>
      </c>
      <c r="B543">
        <v>64.25</v>
      </c>
    </row>
    <row r="544" spans="1:2">
      <c r="A544" s="1">
        <v>43151</v>
      </c>
      <c r="B544">
        <v>64.86</v>
      </c>
    </row>
    <row r="545" spans="1:2">
      <c r="A545" s="1">
        <v>43152</v>
      </c>
      <c r="B545">
        <v>64.805000000000007</v>
      </c>
    </row>
    <row r="546" spans="1:2">
      <c r="A546" s="1">
        <v>43153</v>
      </c>
      <c r="B546">
        <v>64.974999999999994</v>
      </c>
    </row>
    <row r="547" spans="1:2">
      <c r="A547" s="1">
        <v>43154</v>
      </c>
      <c r="B547">
        <v>64.709999999999994</v>
      </c>
    </row>
    <row r="548" spans="1:2">
      <c r="A548" s="1">
        <v>43157</v>
      </c>
      <c r="B548">
        <v>64.77</v>
      </c>
    </row>
    <row r="549" spans="1:2">
      <c r="A549" s="1">
        <v>43158</v>
      </c>
      <c r="B549">
        <v>64.92</v>
      </c>
    </row>
    <row r="550" spans="1:2">
      <c r="A550" s="1">
        <v>43159</v>
      </c>
      <c r="B550">
        <v>65.209999999999994</v>
      </c>
    </row>
    <row r="551" spans="1:2">
      <c r="A551" s="1">
        <v>43160</v>
      </c>
      <c r="B551">
        <v>65.23</v>
      </c>
    </row>
    <row r="552" spans="1:2">
      <c r="A552" s="1">
        <v>43161</v>
      </c>
      <c r="B552">
        <v>65.22</v>
      </c>
    </row>
    <row r="553" spans="1:2">
      <c r="A553" s="1">
        <v>43164</v>
      </c>
      <c r="B553">
        <v>65.025000000000006</v>
      </c>
    </row>
    <row r="554" spans="1:2">
      <c r="A554" s="1">
        <v>43165</v>
      </c>
      <c r="B554">
        <v>64.905000000000001</v>
      </c>
    </row>
    <row r="555" spans="1:2">
      <c r="A555" s="1">
        <v>43166</v>
      </c>
      <c r="B555">
        <v>64.88</v>
      </c>
    </row>
    <row r="556" spans="1:2">
      <c r="A556" s="1">
        <v>43167</v>
      </c>
      <c r="B556">
        <v>65.105000000000004</v>
      </c>
    </row>
    <row r="557" spans="1:2">
      <c r="A557" s="1">
        <v>43168</v>
      </c>
      <c r="B557">
        <v>65.125</v>
      </c>
    </row>
    <row r="558" spans="1:2">
      <c r="A558" s="1">
        <v>43171</v>
      </c>
      <c r="B558">
        <v>64.984999999999999</v>
      </c>
    </row>
    <row r="559" spans="1:2">
      <c r="A559" s="1">
        <v>43172</v>
      </c>
      <c r="B559">
        <v>64.855000000000004</v>
      </c>
    </row>
    <row r="560" spans="1:2">
      <c r="A560" s="1">
        <v>43173</v>
      </c>
      <c r="B560">
        <v>64.84</v>
      </c>
    </row>
    <row r="561" spans="1:2">
      <c r="A561" s="1">
        <v>43174</v>
      </c>
      <c r="B561">
        <v>64.989999999999995</v>
      </c>
    </row>
    <row r="562" spans="1:2">
      <c r="A562" s="1">
        <v>43175</v>
      </c>
      <c r="B562">
        <v>64.989999999999995</v>
      </c>
    </row>
    <row r="563" spans="1:2">
      <c r="A563" s="1">
        <v>43178</v>
      </c>
      <c r="B563">
        <v>65.22</v>
      </c>
    </row>
    <row r="564" spans="1:2">
      <c r="A564" s="1">
        <v>43179</v>
      </c>
      <c r="B564">
        <v>65.209999999999994</v>
      </c>
    </row>
    <row r="565" spans="1:2">
      <c r="A565" s="1">
        <v>43180</v>
      </c>
      <c r="B565">
        <v>65.180000000000007</v>
      </c>
    </row>
    <row r="566" spans="1:2">
      <c r="A566" s="1">
        <v>43181</v>
      </c>
      <c r="B566">
        <v>65.105000000000004</v>
      </c>
    </row>
    <row r="567" spans="1:2">
      <c r="A567" s="1">
        <v>43182</v>
      </c>
      <c r="B567">
        <v>64.989999999999995</v>
      </c>
    </row>
    <row r="568" spans="1:2">
      <c r="A568" s="1">
        <v>43185</v>
      </c>
      <c r="B568">
        <v>64.825000000000003</v>
      </c>
    </row>
    <row r="569" spans="1:2">
      <c r="A569" s="1">
        <v>43186</v>
      </c>
      <c r="B569">
        <v>64.944999999999993</v>
      </c>
    </row>
    <row r="570" spans="1:2">
      <c r="A570" s="1">
        <v>43187</v>
      </c>
      <c r="B570">
        <v>65.16</v>
      </c>
    </row>
    <row r="571" spans="1:2">
      <c r="A571" s="1">
        <v>43188</v>
      </c>
      <c r="B571">
        <v>65.114999999999995</v>
      </c>
    </row>
    <row r="572" spans="1:2">
      <c r="A572" s="1">
        <v>43189</v>
      </c>
      <c r="B572">
        <v>65.114999999999995</v>
      </c>
    </row>
    <row r="573" spans="1:2">
      <c r="A573" s="1">
        <v>43192</v>
      </c>
      <c r="B573">
        <v>65.13</v>
      </c>
    </row>
    <row r="574" spans="1:2">
      <c r="A574" s="1">
        <v>43193</v>
      </c>
      <c r="B574">
        <v>65</v>
      </c>
    </row>
    <row r="575" spans="1:2">
      <c r="A575" s="1">
        <v>43194</v>
      </c>
      <c r="B575">
        <v>65.045000000000002</v>
      </c>
    </row>
    <row r="576" spans="1:2">
      <c r="A576" s="1">
        <v>43195</v>
      </c>
      <c r="B576">
        <v>64.89</v>
      </c>
    </row>
    <row r="577" spans="1:2">
      <c r="A577" s="1">
        <v>43196</v>
      </c>
      <c r="B577">
        <v>64.930000000000007</v>
      </c>
    </row>
    <row r="578" spans="1:2">
      <c r="A578" s="1">
        <v>43199</v>
      </c>
      <c r="B578">
        <v>64.954999999999998</v>
      </c>
    </row>
    <row r="579" spans="1:2">
      <c r="A579" s="1">
        <v>43200</v>
      </c>
      <c r="B579">
        <v>64.95</v>
      </c>
    </row>
    <row r="580" spans="1:2">
      <c r="A580" s="1">
        <v>43201</v>
      </c>
      <c r="B580">
        <v>65.260000000000005</v>
      </c>
    </row>
    <row r="581" spans="1:2">
      <c r="A581" s="1">
        <v>43202</v>
      </c>
      <c r="B581">
        <v>65.290000000000006</v>
      </c>
    </row>
    <row r="582" spans="1:2">
      <c r="A582" s="1">
        <v>43203</v>
      </c>
      <c r="B582">
        <v>65.254999999999995</v>
      </c>
    </row>
    <row r="583" spans="1:2">
      <c r="A583" s="1">
        <v>43206</v>
      </c>
      <c r="B583">
        <v>65.47</v>
      </c>
    </row>
    <row r="584" spans="1:2">
      <c r="A584" s="1">
        <v>43207</v>
      </c>
      <c r="B584">
        <v>65.680000000000007</v>
      </c>
    </row>
    <row r="585" spans="1:2">
      <c r="A585" s="1">
        <v>43208</v>
      </c>
      <c r="B585">
        <v>65.72</v>
      </c>
    </row>
    <row r="586" spans="1:2">
      <c r="A586" s="1">
        <v>43209</v>
      </c>
      <c r="B586">
        <v>65.87</v>
      </c>
    </row>
    <row r="587" spans="1:2">
      <c r="A587" s="1">
        <v>43210</v>
      </c>
      <c r="B587">
        <v>66.209999999999994</v>
      </c>
    </row>
    <row r="588" spans="1:2">
      <c r="A588" s="1">
        <v>43213</v>
      </c>
      <c r="B588">
        <v>66.53</v>
      </c>
    </row>
    <row r="589" spans="1:2">
      <c r="A589" s="1">
        <v>43214</v>
      </c>
      <c r="B589">
        <v>66.41</v>
      </c>
    </row>
    <row r="590" spans="1:2">
      <c r="A590" s="1">
        <v>43215</v>
      </c>
      <c r="B590">
        <v>66.92</v>
      </c>
    </row>
    <row r="591" spans="1:2">
      <c r="A591" s="1">
        <v>43216</v>
      </c>
      <c r="B591">
        <v>66.805000000000007</v>
      </c>
    </row>
    <row r="592" spans="1:2">
      <c r="A592" s="1">
        <v>43217</v>
      </c>
      <c r="B592">
        <v>66.62</v>
      </c>
    </row>
    <row r="593" spans="1:2">
      <c r="A593" s="1">
        <v>43220</v>
      </c>
      <c r="B593">
        <v>66.459999999999994</v>
      </c>
    </row>
    <row r="594" spans="1:2">
      <c r="A594" s="1">
        <v>43221</v>
      </c>
      <c r="B594">
        <v>66.8</v>
      </c>
    </row>
    <row r="595" spans="1:2">
      <c r="A595" s="1">
        <v>43222</v>
      </c>
      <c r="B595">
        <v>66.69</v>
      </c>
    </row>
    <row r="596" spans="1:2">
      <c r="A596" s="1">
        <v>43223</v>
      </c>
      <c r="B596">
        <v>66.67</v>
      </c>
    </row>
    <row r="597" spans="1:2">
      <c r="A597" s="1">
        <v>43224</v>
      </c>
      <c r="B597">
        <v>66.819999999999993</v>
      </c>
    </row>
    <row r="598" spans="1:2">
      <c r="A598" s="1">
        <v>43227</v>
      </c>
      <c r="B598">
        <v>67.14</v>
      </c>
    </row>
    <row r="599" spans="1:2">
      <c r="A599" s="1">
        <v>43228</v>
      </c>
      <c r="B599">
        <v>67.13</v>
      </c>
    </row>
    <row r="600" spans="1:2">
      <c r="A600" s="1">
        <v>43229</v>
      </c>
      <c r="B600">
        <v>67.349999999999994</v>
      </c>
    </row>
    <row r="601" spans="1:2">
      <c r="A601" s="1">
        <v>43230</v>
      </c>
      <c r="B601">
        <v>67.245000000000005</v>
      </c>
    </row>
    <row r="602" spans="1:2">
      <c r="A602" s="1">
        <v>43231</v>
      </c>
      <c r="B602">
        <v>67.36</v>
      </c>
    </row>
    <row r="603" spans="1:2">
      <c r="A603" s="1">
        <v>43234</v>
      </c>
      <c r="B603">
        <v>67.56</v>
      </c>
    </row>
    <row r="604" spans="1:2">
      <c r="A604" s="1">
        <v>43235</v>
      </c>
      <c r="B604">
        <v>68.08</v>
      </c>
    </row>
    <row r="605" spans="1:2">
      <c r="A605" s="1">
        <v>43236</v>
      </c>
      <c r="B605">
        <v>67.775000000000006</v>
      </c>
    </row>
    <row r="606" spans="1:2">
      <c r="A606" s="1">
        <v>43237</v>
      </c>
      <c r="B606">
        <v>67.765000000000001</v>
      </c>
    </row>
    <row r="607" spans="1:2">
      <c r="A607" s="1">
        <v>43238</v>
      </c>
      <c r="B607">
        <v>67.989999999999995</v>
      </c>
    </row>
    <row r="608" spans="1:2">
      <c r="A608" s="1">
        <v>43241</v>
      </c>
      <c r="B608">
        <v>68.114999999999995</v>
      </c>
    </row>
    <row r="609" spans="1:2">
      <c r="A609" s="1">
        <v>43242</v>
      </c>
      <c r="B609">
        <v>68.02</v>
      </c>
    </row>
    <row r="610" spans="1:2">
      <c r="A610" s="1">
        <v>43243</v>
      </c>
      <c r="B610">
        <v>68.37</v>
      </c>
    </row>
    <row r="611" spans="1:2">
      <c r="A611" s="1">
        <v>43244</v>
      </c>
      <c r="B611">
        <v>68.34</v>
      </c>
    </row>
    <row r="612" spans="1:2">
      <c r="A612" s="1">
        <v>43245</v>
      </c>
      <c r="B612">
        <v>67.73</v>
      </c>
    </row>
    <row r="613" spans="1:2">
      <c r="A613" s="1">
        <v>43248</v>
      </c>
      <c r="B613">
        <v>67.400000000000006</v>
      </c>
    </row>
    <row r="614" spans="1:2">
      <c r="A614" s="1">
        <v>43249</v>
      </c>
      <c r="B614">
        <v>67.84</v>
      </c>
    </row>
    <row r="615" spans="1:2">
      <c r="A615" s="1">
        <v>43250</v>
      </c>
      <c r="B615">
        <v>67.44</v>
      </c>
    </row>
    <row r="616" spans="1:2">
      <c r="A616" s="1">
        <v>43251</v>
      </c>
      <c r="B616">
        <v>67.430000000000007</v>
      </c>
    </row>
    <row r="617" spans="1:2">
      <c r="A617" s="1">
        <v>43252</v>
      </c>
      <c r="B617">
        <v>66.995000000000005</v>
      </c>
    </row>
    <row r="618" spans="1:2">
      <c r="A618" s="1">
        <v>43255</v>
      </c>
      <c r="B618">
        <v>67.069999999999993</v>
      </c>
    </row>
    <row r="619" spans="1:2">
      <c r="A619" s="1">
        <v>43256</v>
      </c>
      <c r="B619">
        <v>67.099999999999994</v>
      </c>
    </row>
    <row r="620" spans="1:2">
      <c r="A620" s="1">
        <v>43257</v>
      </c>
      <c r="B620">
        <v>66.84</v>
      </c>
    </row>
    <row r="621" spans="1:2">
      <c r="A621" s="1">
        <v>43258</v>
      </c>
      <c r="B621">
        <v>67.42</v>
      </c>
    </row>
    <row r="622" spans="1:2">
      <c r="A622" s="1">
        <v>43259</v>
      </c>
      <c r="B622">
        <v>67.53</v>
      </c>
    </row>
    <row r="623" spans="1:2">
      <c r="A623" s="1">
        <v>43262</v>
      </c>
      <c r="B623">
        <v>67.47</v>
      </c>
    </row>
    <row r="624" spans="1:2">
      <c r="A624" s="1">
        <v>43263</v>
      </c>
      <c r="B624">
        <v>67.48</v>
      </c>
    </row>
    <row r="625" spans="1:2">
      <c r="A625" s="1">
        <v>43264</v>
      </c>
      <c r="B625">
        <v>67.644999999999996</v>
      </c>
    </row>
    <row r="626" spans="1:2">
      <c r="A626" s="1">
        <v>43265</v>
      </c>
      <c r="B626">
        <v>67.69</v>
      </c>
    </row>
    <row r="627" spans="1:2">
      <c r="A627" s="1">
        <v>43266</v>
      </c>
      <c r="B627">
        <v>68.06</v>
      </c>
    </row>
    <row r="628" spans="1:2">
      <c r="A628" s="1">
        <v>43269</v>
      </c>
      <c r="B628">
        <v>68.040000000000006</v>
      </c>
    </row>
    <row r="629" spans="1:2">
      <c r="A629" s="1">
        <v>43270</v>
      </c>
      <c r="B629">
        <v>68.31</v>
      </c>
    </row>
    <row r="630" spans="1:2">
      <c r="A630" s="1">
        <v>43271</v>
      </c>
      <c r="B630">
        <v>68.06</v>
      </c>
    </row>
    <row r="631" spans="1:2">
      <c r="A631" s="1">
        <v>43272</v>
      </c>
      <c r="B631">
        <v>67.944999999999993</v>
      </c>
    </row>
    <row r="632" spans="1:2">
      <c r="A632" s="1">
        <v>43273</v>
      </c>
      <c r="B632">
        <v>67.87</v>
      </c>
    </row>
    <row r="633" spans="1:2">
      <c r="A633" s="1">
        <v>43276</v>
      </c>
      <c r="B633">
        <v>68.114999999999995</v>
      </c>
    </row>
    <row r="634" spans="1:2">
      <c r="A634" s="1">
        <v>43277</v>
      </c>
      <c r="B634">
        <v>68.37</v>
      </c>
    </row>
    <row r="635" spans="1:2">
      <c r="A635" s="1">
        <v>43278</v>
      </c>
      <c r="B635">
        <v>68.64</v>
      </c>
    </row>
    <row r="636" spans="1:2">
      <c r="A636" s="1">
        <v>43279</v>
      </c>
      <c r="B636">
        <v>68.84</v>
      </c>
    </row>
    <row r="637" spans="1:2">
      <c r="A637" s="1">
        <v>43280</v>
      </c>
      <c r="B637">
        <v>68.459999999999994</v>
      </c>
    </row>
    <row r="638" spans="1:2">
      <c r="A638" s="1">
        <v>43283</v>
      </c>
      <c r="B638">
        <v>68.72</v>
      </c>
    </row>
    <row r="639" spans="1:2">
      <c r="A639" s="1">
        <v>43284</v>
      </c>
      <c r="B639">
        <v>68.55</v>
      </c>
    </row>
    <row r="640" spans="1:2">
      <c r="A640" s="1">
        <v>43285</v>
      </c>
      <c r="B640">
        <v>68.69</v>
      </c>
    </row>
    <row r="641" spans="1:2">
      <c r="A641" s="1">
        <v>43286</v>
      </c>
      <c r="B641">
        <v>68.88</v>
      </c>
    </row>
    <row r="642" spans="1:2">
      <c r="A642" s="1">
        <v>43287</v>
      </c>
      <c r="B642">
        <v>68.805000000000007</v>
      </c>
    </row>
    <row r="643" spans="1:2">
      <c r="A643" s="1">
        <v>43290</v>
      </c>
      <c r="B643">
        <v>68.66</v>
      </c>
    </row>
    <row r="644" spans="1:2">
      <c r="A644" s="1">
        <v>43291</v>
      </c>
      <c r="B644">
        <v>68.754999999999995</v>
      </c>
    </row>
    <row r="645" spans="1:2">
      <c r="A645" s="1">
        <v>43292</v>
      </c>
      <c r="B645">
        <v>68.73</v>
      </c>
    </row>
    <row r="646" spans="1:2">
      <c r="A646" s="1">
        <v>43293</v>
      </c>
      <c r="B646">
        <v>68.52</v>
      </c>
    </row>
    <row r="647" spans="1:2">
      <c r="A647" s="1">
        <v>43294</v>
      </c>
      <c r="B647">
        <v>68.5</v>
      </c>
    </row>
    <row r="648" spans="1:2">
      <c r="A648" s="1">
        <v>43297</v>
      </c>
      <c r="B648">
        <v>68.55</v>
      </c>
    </row>
    <row r="649" spans="1:2">
      <c r="A649" s="1">
        <v>43298</v>
      </c>
      <c r="B649">
        <v>68.430000000000007</v>
      </c>
    </row>
    <row r="650" spans="1:2">
      <c r="A650" s="1">
        <v>43299</v>
      </c>
      <c r="B650">
        <v>68.625</v>
      </c>
    </row>
    <row r="651" spans="1:2">
      <c r="A651" s="1">
        <v>43300</v>
      </c>
      <c r="B651">
        <v>69.02</v>
      </c>
    </row>
    <row r="652" spans="1:2">
      <c r="A652" s="1">
        <v>43301</v>
      </c>
      <c r="B652">
        <v>68.739999999999995</v>
      </c>
    </row>
    <row r="653" spans="1:2">
      <c r="A653" s="1">
        <v>43304</v>
      </c>
      <c r="B653">
        <v>68.844999999999999</v>
      </c>
    </row>
    <row r="654" spans="1:2">
      <c r="A654" s="1">
        <v>43305</v>
      </c>
      <c r="B654">
        <v>68.947000000000003</v>
      </c>
    </row>
    <row r="655" spans="1:2">
      <c r="A655" s="1">
        <v>43306</v>
      </c>
      <c r="B655">
        <v>68.73</v>
      </c>
    </row>
    <row r="656" spans="1:2">
      <c r="A656" s="1">
        <v>43307</v>
      </c>
      <c r="B656">
        <v>68.66</v>
      </c>
    </row>
    <row r="657" spans="1:2">
      <c r="A657" s="1">
        <v>43308</v>
      </c>
      <c r="B657">
        <v>68.605000000000004</v>
      </c>
    </row>
    <row r="658" spans="1:2">
      <c r="A658" s="1">
        <v>43311</v>
      </c>
      <c r="B658">
        <v>68.605000000000004</v>
      </c>
    </row>
    <row r="659" spans="1:2">
      <c r="A659" s="1">
        <v>43312</v>
      </c>
      <c r="B659">
        <v>68.459999999999994</v>
      </c>
    </row>
    <row r="660" spans="1:2">
      <c r="A660" s="1">
        <v>43313</v>
      </c>
      <c r="B660">
        <v>68.349999999999994</v>
      </c>
    </row>
    <row r="661" spans="1:2">
      <c r="A661" s="1">
        <v>43314</v>
      </c>
      <c r="B661">
        <v>68.625</v>
      </c>
    </row>
    <row r="662" spans="1:2">
      <c r="A662" s="1">
        <v>43315</v>
      </c>
      <c r="B662">
        <v>68.545000000000002</v>
      </c>
    </row>
    <row r="663" spans="1:2">
      <c r="A663" s="1">
        <v>43318</v>
      </c>
      <c r="B663">
        <v>68.83</v>
      </c>
    </row>
    <row r="664" spans="1:2">
      <c r="A664" s="1">
        <v>43319</v>
      </c>
      <c r="B664">
        <v>68.63</v>
      </c>
    </row>
    <row r="665" spans="1:2">
      <c r="A665" s="1">
        <v>43320</v>
      </c>
      <c r="B665">
        <v>68.66</v>
      </c>
    </row>
    <row r="666" spans="1:2">
      <c r="A666" s="1">
        <v>43321</v>
      </c>
      <c r="B666">
        <v>68.760000000000005</v>
      </c>
    </row>
    <row r="667" spans="1:2">
      <c r="A667" s="1">
        <v>43322</v>
      </c>
      <c r="B667">
        <v>68.89</v>
      </c>
    </row>
    <row r="668" spans="1:2">
      <c r="A668" s="1">
        <v>43325</v>
      </c>
      <c r="B668">
        <v>70.02</v>
      </c>
    </row>
    <row r="669" spans="1:2">
      <c r="A669" s="1">
        <v>43326</v>
      </c>
      <c r="B669">
        <v>69.959999999999994</v>
      </c>
    </row>
    <row r="670" spans="1:2">
      <c r="A670" s="1">
        <v>43327</v>
      </c>
      <c r="B670">
        <v>69.92</v>
      </c>
    </row>
    <row r="671" spans="1:2">
      <c r="A671" s="1">
        <v>43328</v>
      </c>
      <c r="B671">
        <v>70.09</v>
      </c>
    </row>
    <row r="672" spans="1:2">
      <c r="A672" s="1">
        <v>43329</v>
      </c>
      <c r="B672">
        <v>70.099999999999994</v>
      </c>
    </row>
    <row r="673" spans="1:2">
      <c r="A673" s="1">
        <v>43332</v>
      </c>
      <c r="B673">
        <v>69.819999999999993</v>
      </c>
    </row>
    <row r="674" spans="1:2">
      <c r="A674" s="1">
        <v>43333</v>
      </c>
      <c r="B674">
        <v>69.86</v>
      </c>
    </row>
    <row r="675" spans="1:2">
      <c r="A675" s="1">
        <v>43334</v>
      </c>
      <c r="B675">
        <v>69.87</v>
      </c>
    </row>
    <row r="676" spans="1:2">
      <c r="A676" s="1">
        <v>43335</v>
      </c>
      <c r="B676">
        <v>70.105000000000004</v>
      </c>
    </row>
    <row r="677" spans="1:2">
      <c r="A677" s="1">
        <v>43336</v>
      </c>
      <c r="B677">
        <v>69.97</v>
      </c>
    </row>
    <row r="678" spans="1:2">
      <c r="A678" s="1">
        <v>43339</v>
      </c>
      <c r="B678">
        <v>70.165000000000006</v>
      </c>
    </row>
    <row r="679" spans="1:2">
      <c r="A679" s="1">
        <v>43340</v>
      </c>
      <c r="B679">
        <v>70.099999999999994</v>
      </c>
    </row>
    <row r="680" spans="1:2">
      <c r="A680" s="1">
        <v>43341</v>
      </c>
      <c r="B680">
        <v>70.534999999999997</v>
      </c>
    </row>
    <row r="681" spans="1:2">
      <c r="A681" s="1">
        <v>43342</v>
      </c>
      <c r="B681">
        <v>70.745000000000005</v>
      </c>
    </row>
    <row r="682" spans="1:2">
      <c r="A682" s="1">
        <v>43343</v>
      </c>
      <c r="B682">
        <v>71.004999999999995</v>
      </c>
    </row>
    <row r="683" spans="1:2">
      <c r="A683" s="1">
        <v>43346</v>
      </c>
      <c r="B683">
        <v>71.215000000000003</v>
      </c>
    </row>
    <row r="684" spans="1:2">
      <c r="A684" s="1">
        <v>43347</v>
      </c>
      <c r="B684">
        <v>71.584999999999994</v>
      </c>
    </row>
    <row r="685" spans="1:2">
      <c r="A685" s="1">
        <v>43348</v>
      </c>
      <c r="B685">
        <v>71.754999999999995</v>
      </c>
    </row>
    <row r="686" spans="1:2">
      <c r="A686" s="1">
        <v>43349</v>
      </c>
      <c r="B686">
        <v>71.95</v>
      </c>
    </row>
    <row r="687" spans="1:2">
      <c r="A687" s="1">
        <v>43350</v>
      </c>
      <c r="B687">
        <v>71.790000000000006</v>
      </c>
    </row>
    <row r="688" spans="1:2">
      <c r="A688" s="1">
        <v>43353</v>
      </c>
      <c r="B688">
        <v>72.454999999999998</v>
      </c>
    </row>
    <row r="689" spans="1:2">
      <c r="A689" s="1">
        <v>43354</v>
      </c>
      <c r="B689">
        <v>72.64</v>
      </c>
    </row>
    <row r="690" spans="1:2">
      <c r="A690" s="1">
        <v>43355</v>
      </c>
      <c r="B690">
        <v>72.16</v>
      </c>
    </row>
    <row r="691" spans="1:2">
      <c r="A691" s="1">
        <v>43356</v>
      </c>
      <c r="B691">
        <v>72.037000000000006</v>
      </c>
    </row>
    <row r="692" spans="1:2">
      <c r="A692" s="1">
        <v>43357</v>
      </c>
      <c r="B692">
        <v>71.88</v>
      </c>
    </row>
    <row r="693" spans="1:2">
      <c r="A693" s="1">
        <v>43360</v>
      </c>
      <c r="B693">
        <v>72.540000000000006</v>
      </c>
    </row>
    <row r="694" spans="1:2">
      <c r="A694" s="1">
        <v>43361</v>
      </c>
      <c r="B694">
        <v>72.709999999999994</v>
      </c>
    </row>
    <row r="695" spans="1:2">
      <c r="A695" s="1">
        <v>43362</v>
      </c>
      <c r="B695">
        <v>72.36</v>
      </c>
    </row>
    <row r="696" spans="1:2">
      <c r="A696" s="1">
        <v>43363</v>
      </c>
      <c r="B696">
        <v>72.015000000000001</v>
      </c>
    </row>
    <row r="697" spans="1:2">
      <c r="A697" s="1">
        <v>43364</v>
      </c>
      <c r="B697">
        <v>72.239999999999995</v>
      </c>
    </row>
    <row r="698" spans="1:2">
      <c r="A698" s="1">
        <v>43367</v>
      </c>
      <c r="B698">
        <v>72.67</v>
      </c>
    </row>
    <row r="699" spans="1:2">
      <c r="A699" s="1">
        <v>43368</v>
      </c>
      <c r="B699">
        <v>72.685000000000002</v>
      </c>
    </row>
    <row r="700" spans="1:2">
      <c r="A700" s="1">
        <v>43369</v>
      </c>
      <c r="B700">
        <v>72.599999999999994</v>
      </c>
    </row>
    <row r="701" spans="1:2">
      <c r="A701" s="1">
        <v>43370</v>
      </c>
      <c r="B701">
        <v>72.569999999999993</v>
      </c>
    </row>
    <row r="702" spans="1:2">
      <c r="A702" s="1">
        <v>43371</v>
      </c>
      <c r="B702">
        <v>72.510000000000005</v>
      </c>
    </row>
    <row r="703" spans="1:2">
      <c r="A703" s="1">
        <v>43374</v>
      </c>
      <c r="B703">
        <v>72.924999999999997</v>
      </c>
    </row>
    <row r="704" spans="1:2">
      <c r="A704" s="1">
        <v>43375</v>
      </c>
      <c r="B704">
        <v>72.924999999999997</v>
      </c>
    </row>
    <row r="705" spans="1:2">
      <c r="A705" s="1">
        <v>43376</v>
      </c>
      <c r="B705">
        <v>73.344999999999999</v>
      </c>
    </row>
    <row r="706" spans="1:2">
      <c r="A706" s="1">
        <v>43377</v>
      </c>
      <c r="B706">
        <v>73.63</v>
      </c>
    </row>
    <row r="707" spans="1:2">
      <c r="A707" s="1">
        <v>43378</v>
      </c>
      <c r="B707">
        <v>73.77</v>
      </c>
    </row>
    <row r="708" spans="1:2">
      <c r="A708" s="1">
        <v>43381</v>
      </c>
      <c r="B708">
        <v>74.064999999999998</v>
      </c>
    </row>
    <row r="709" spans="1:2">
      <c r="A709" s="1">
        <v>43382</v>
      </c>
      <c r="B709">
        <v>74.34</v>
      </c>
    </row>
    <row r="710" spans="1:2">
      <c r="A710" s="1">
        <v>43383</v>
      </c>
      <c r="B710">
        <v>74.25</v>
      </c>
    </row>
    <row r="711" spans="1:2">
      <c r="A711" s="1">
        <v>43384</v>
      </c>
      <c r="B711">
        <v>74.05</v>
      </c>
    </row>
    <row r="712" spans="1:2">
      <c r="A712" s="1">
        <v>43385</v>
      </c>
      <c r="B712">
        <v>73.61</v>
      </c>
    </row>
    <row r="713" spans="1:2">
      <c r="A713" s="1">
        <v>43388</v>
      </c>
      <c r="B713">
        <v>73.77</v>
      </c>
    </row>
    <row r="714" spans="1:2">
      <c r="A714" s="1">
        <v>43389</v>
      </c>
      <c r="B714">
        <v>73.465000000000003</v>
      </c>
    </row>
    <row r="715" spans="1:2">
      <c r="A715" s="1">
        <v>43390</v>
      </c>
      <c r="B715">
        <v>73.599999999999994</v>
      </c>
    </row>
    <row r="716" spans="1:2">
      <c r="A716" s="1">
        <v>43391</v>
      </c>
      <c r="B716">
        <v>73.53</v>
      </c>
    </row>
    <row r="717" spans="1:2">
      <c r="A717" s="1">
        <v>43392</v>
      </c>
      <c r="B717">
        <v>73.375</v>
      </c>
    </row>
    <row r="718" spans="1:2">
      <c r="A718" s="1">
        <v>43395</v>
      </c>
      <c r="B718">
        <v>73.56</v>
      </c>
    </row>
    <row r="719" spans="1:2">
      <c r="A719" s="1">
        <v>43396</v>
      </c>
      <c r="B719">
        <v>73.55</v>
      </c>
    </row>
    <row r="720" spans="1:2">
      <c r="A720" s="1">
        <v>43397</v>
      </c>
      <c r="B720">
        <v>73.23</v>
      </c>
    </row>
    <row r="721" spans="1:2">
      <c r="A721" s="1">
        <v>43398</v>
      </c>
      <c r="B721">
        <v>73.23</v>
      </c>
    </row>
    <row r="722" spans="1:2">
      <c r="A722" s="1">
        <v>43399</v>
      </c>
      <c r="B722">
        <v>73.459999999999994</v>
      </c>
    </row>
    <row r="723" spans="1:2">
      <c r="A723" s="1">
        <v>43402</v>
      </c>
      <c r="B723">
        <v>73.400000000000006</v>
      </c>
    </row>
    <row r="724" spans="1:2">
      <c r="A724" s="1">
        <v>43403</v>
      </c>
      <c r="B724">
        <v>73.680000000000007</v>
      </c>
    </row>
    <row r="725" spans="1:2">
      <c r="A725" s="1">
        <v>43404</v>
      </c>
      <c r="B725">
        <v>73.959999999999994</v>
      </c>
    </row>
    <row r="726" spans="1:2">
      <c r="A726" s="1">
        <v>43405</v>
      </c>
      <c r="B726">
        <v>73.454999999999998</v>
      </c>
    </row>
    <row r="727" spans="1:2">
      <c r="A727" s="1">
        <v>43406</v>
      </c>
      <c r="B727">
        <v>72.44</v>
      </c>
    </row>
    <row r="728" spans="1:2">
      <c r="A728" s="1">
        <v>43409</v>
      </c>
      <c r="B728">
        <v>73.08</v>
      </c>
    </row>
    <row r="729" spans="1:2">
      <c r="A729" s="1">
        <v>43410</v>
      </c>
      <c r="B729">
        <v>72.954999999999998</v>
      </c>
    </row>
    <row r="730" spans="1:2">
      <c r="A730" s="1">
        <v>43411</v>
      </c>
      <c r="B730">
        <v>72.45</v>
      </c>
    </row>
    <row r="731" spans="1:2">
      <c r="A731" s="1">
        <v>43412</v>
      </c>
      <c r="B731">
        <v>72.38</v>
      </c>
    </row>
    <row r="732" spans="1:2">
      <c r="A732" s="1">
        <v>43413</v>
      </c>
      <c r="B732">
        <v>72.48</v>
      </c>
    </row>
    <row r="733" spans="1:2">
      <c r="A733" s="1">
        <v>43416</v>
      </c>
      <c r="B733">
        <v>72.86</v>
      </c>
    </row>
    <row r="734" spans="1:2">
      <c r="A734" s="1">
        <v>43417</v>
      </c>
      <c r="B734">
        <v>72.614999999999995</v>
      </c>
    </row>
    <row r="735" spans="1:2">
      <c r="A735" s="1">
        <v>43418</v>
      </c>
      <c r="B735">
        <v>72.31</v>
      </c>
    </row>
    <row r="736" spans="1:2">
      <c r="A736" s="1">
        <v>43419</v>
      </c>
      <c r="B736">
        <v>71.915000000000006</v>
      </c>
    </row>
    <row r="737" spans="1:2">
      <c r="A737" s="1">
        <v>43420</v>
      </c>
      <c r="B737">
        <v>71.98</v>
      </c>
    </row>
    <row r="738" spans="1:2">
      <c r="A738" s="1">
        <v>43423</v>
      </c>
      <c r="B738">
        <v>71.61</v>
      </c>
    </row>
    <row r="739" spans="1:2">
      <c r="A739" s="1">
        <v>43424</v>
      </c>
      <c r="B739">
        <v>71.430000000000007</v>
      </c>
    </row>
    <row r="740" spans="1:2">
      <c r="A740" s="1">
        <v>43425</v>
      </c>
      <c r="B740">
        <v>71.305000000000007</v>
      </c>
    </row>
    <row r="741" spans="1:2">
      <c r="A741" s="1">
        <v>43426</v>
      </c>
      <c r="B741">
        <v>70.69</v>
      </c>
    </row>
    <row r="742" spans="1:2">
      <c r="A742" s="1">
        <v>43427</v>
      </c>
      <c r="B742">
        <v>70.655000000000001</v>
      </c>
    </row>
    <row r="743" spans="1:2">
      <c r="A743" s="1">
        <v>43430</v>
      </c>
      <c r="B743">
        <v>70.819999999999993</v>
      </c>
    </row>
    <row r="744" spans="1:2">
      <c r="A744" s="1">
        <v>43431</v>
      </c>
      <c r="B744">
        <v>70.784999999999997</v>
      </c>
    </row>
    <row r="745" spans="1:2">
      <c r="A745" s="1">
        <v>43432</v>
      </c>
      <c r="B745">
        <v>70.64</v>
      </c>
    </row>
    <row r="746" spans="1:2">
      <c r="A746" s="1">
        <v>43433</v>
      </c>
      <c r="B746">
        <v>69.78</v>
      </c>
    </row>
    <row r="747" spans="1:2">
      <c r="A747" s="1">
        <v>43434</v>
      </c>
      <c r="B747">
        <v>69.650000000000006</v>
      </c>
    </row>
    <row r="748" spans="1:2">
      <c r="A748" s="1">
        <v>43437</v>
      </c>
      <c r="B748">
        <v>70.44</v>
      </c>
    </row>
    <row r="749" spans="1:2">
      <c r="A749" s="1">
        <v>43438</v>
      </c>
      <c r="B749">
        <v>70.53</v>
      </c>
    </row>
    <row r="750" spans="1:2">
      <c r="A750" s="1">
        <v>43439</v>
      </c>
      <c r="B750">
        <v>70.56</v>
      </c>
    </row>
    <row r="751" spans="1:2">
      <c r="A751" s="1">
        <v>43440</v>
      </c>
      <c r="B751">
        <v>70.849999999999994</v>
      </c>
    </row>
    <row r="752" spans="1:2">
      <c r="A752" s="1">
        <v>43441</v>
      </c>
      <c r="B752">
        <v>70.86</v>
      </c>
    </row>
    <row r="753" spans="1:2">
      <c r="A753" s="1">
        <v>43444</v>
      </c>
      <c r="B753">
        <v>72.52</v>
      </c>
    </row>
    <row r="754" spans="1:2">
      <c r="A754" s="1">
        <v>43445</v>
      </c>
      <c r="B754">
        <v>72.290999999999997</v>
      </c>
    </row>
    <row r="755" spans="1:2">
      <c r="A755" s="1">
        <v>43446</v>
      </c>
      <c r="B755">
        <v>71.84</v>
      </c>
    </row>
    <row r="756" spans="1:2">
      <c r="A756" s="1">
        <v>43447</v>
      </c>
      <c r="B756">
        <v>71.53</v>
      </c>
    </row>
    <row r="757" spans="1:2">
      <c r="A757" s="1">
        <v>43448</v>
      </c>
      <c r="B757">
        <v>71.92</v>
      </c>
    </row>
    <row r="758" spans="1:2">
      <c r="A758" s="1">
        <v>43451</v>
      </c>
      <c r="B758">
        <v>71.61</v>
      </c>
    </row>
    <row r="759" spans="1:2">
      <c r="A759" s="1">
        <v>43452</v>
      </c>
      <c r="B759">
        <v>70.62</v>
      </c>
    </row>
    <row r="760" spans="1:2">
      <c r="A760" s="1">
        <v>43453</v>
      </c>
      <c r="B760">
        <v>70.278999999999996</v>
      </c>
    </row>
    <row r="761" spans="1:2">
      <c r="A761" s="1">
        <v>43454</v>
      </c>
      <c r="B761">
        <v>69.98</v>
      </c>
    </row>
    <row r="762" spans="1:2">
      <c r="A762" s="1">
        <v>43455</v>
      </c>
      <c r="B762">
        <v>70.14</v>
      </c>
    </row>
    <row r="763" spans="1:2">
      <c r="A763" s="1">
        <v>43458</v>
      </c>
      <c r="B763">
        <v>70.105000000000004</v>
      </c>
    </row>
    <row r="764" spans="1:2">
      <c r="A764" s="1">
        <v>43459</v>
      </c>
      <c r="B764">
        <v>70.05</v>
      </c>
    </row>
    <row r="765" spans="1:2">
      <c r="A765" s="1">
        <v>43460</v>
      </c>
      <c r="B765">
        <v>70.069999999999993</v>
      </c>
    </row>
    <row r="766" spans="1:2">
      <c r="A766" s="1">
        <v>43461</v>
      </c>
      <c r="B766">
        <v>70.361000000000004</v>
      </c>
    </row>
    <row r="767" spans="1:2">
      <c r="A767" s="1">
        <v>43462</v>
      </c>
      <c r="B767">
        <v>69.933000000000007</v>
      </c>
    </row>
    <row r="768" spans="1:2">
      <c r="A768" s="1">
        <v>43465</v>
      </c>
      <c r="B768">
        <v>69.569999999999993</v>
      </c>
    </row>
    <row r="769" spans="1:2">
      <c r="A769" s="1">
        <v>43466</v>
      </c>
      <c r="B769">
        <v>69.453000000000003</v>
      </c>
    </row>
    <row r="770" spans="1:2">
      <c r="A770" s="1">
        <v>43467</v>
      </c>
      <c r="B770">
        <v>70</v>
      </c>
    </row>
    <row r="771" spans="1:2">
      <c r="A771" s="1">
        <v>43468</v>
      </c>
      <c r="B771">
        <v>70.11</v>
      </c>
    </row>
    <row r="772" spans="1:2">
      <c r="A772" s="1">
        <v>43469</v>
      </c>
      <c r="B772">
        <v>69.55</v>
      </c>
    </row>
    <row r="773" spans="1:2">
      <c r="A773" s="1">
        <v>43472</v>
      </c>
      <c r="B773">
        <v>69.802999999999997</v>
      </c>
    </row>
    <row r="774" spans="1:2">
      <c r="A774" s="1">
        <v>43473</v>
      </c>
      <c r="B774">
        <v>70.14</v>
      </c>
    </row>
    <row r="775" spans="1:2">
      <c r="A775" s="1">
        <v>43474</v>
      </c>
      <c r="B775">
        <v>70.56</v>
      </c>
    </row>
    <row r="776" spans="1:2">
      <c r="A776" s="1">
        <v>43475</v>
      </c>
      <c r="B776">
        <v>70.42</v>
      </c>
    </row>
    <row r="777" spans="1:2">
      <c r="A777" s="1">
        <v>43476</v>
      </c>
      <c r="B777">
        <v>70.399000000000001</v>
      </c>
    </row>
    <row r="778" spans="1:2">
      <c r="A778" s="1">
        <v>43479</v>
      </c>
      <c r="B778">
        <v>70.760000000000005</v>
      </c>
    </row>
    <row r="779" spans="1:2">
      <c r="A779" s="1">
        <v>43480</v>
      </c>
      <c r="B779">
        <v>71.099999999999994</v>
      </c>
    </row>
    <row r="780" spans="1:2">
      <c r="A780" s="1">
        <v>43481</v>
      </c>
      <c r="B780">
        <v>70.98</v>
      </c>
    </row>
    <row r="781" spans="1:2">
      <c r="A781" s="1">
        <v>43482</v>
      </c>
      <c r="B781">
        <v>71.05</v>
      </c>
    </row>
    <row r="782" spans="1:2">
      <c r="A782" s="1">
        <v>43483</v>
      </c>
      <c r="B782">
        <v>71.209999999999994</v>
      </c>
    </row>
    <row r="783" spans="1:2">
      <c r="A783" s="1">
        <v>43486</v>
      </c>
      <c r="B783">
        <v>71.188000000000002</v>
      </c>
    </row>
    <row r="784" spans="1:2">
      <c r="A784" s="1">
        <v>43487</v>
      </c>
      <c r="B784">
        <v>71.260000000000005</v>
      </c>
    </row>
    <row r="785" spans="1:2">
      <c r="A785" s="1">
        <v>43488</v>
      </c>
      <c r="B785">
        <v>71.19</v>
      </c>
    </row>
    <row r="786" spans="1:2">
      <c r="A786" s="1">
        <v>43489</v>
      </c>
      <c r="B786">
        <v>71</v>
      </c>
    </row>
    <row r="787" spans="1:2">
      <c r="A787" s="1">
        <v>43490</v>
      </c>
      <c r="B787">
        <v>70.900000000000006</v>
      </c>
    </row>
    <row r="788" spans="1:2">
      <c r="A788" s="1">
        <v>43493</v>
      </c>
      <c r="B788">
        <v>71.069999999999993</v>
      </c>
    </row>
    <row r="789" spans="1:2">
      <c r="A789" s="1">
        <v>43494</v>
      </c>
      <c r="B789">
        <v>71.39</v>
      </c>
    </row>
    <row r="790" spans="1:2">
      <c r="A790" s="1">
        <v>43495</v>
      </c>
      <c r="B790">
        <v>71.234999999999999</v>
      </c>
    </row>
    <row r="791" spans="1:2">
      <c r="A791" s="1">
        <v>43496</v>
      </c>
      <c r="B791">
        <v>70.959999999999994</v>
      </c>
    </row>
    <row r="792" spans="1:2">
      <c r="A792" s="1">
        <v>43497</v>
      </c>
      <c r="B792">
        <v>71.435000000000002</v>
      </c>
    </row>
    <row r="793" spans="1:2">
      <c r="A793" s="1">
        <v>43500</v>
      </c>
      <c r="B793">
        <v>71.709999999999994</v>
      </c>
    </row>
    <row r="794" spans="1:2">
      <c r="A794" s="1">
        <v>43501</v>
      </c>
      <c r="B794">
        <v>71.53</v>
      </c>
    </row>
    <row r="795" spans="1:2">
      <c r="A795" s="1">
        <v>43502</v>
      </c>
      <c r="B795">
        <v>71.55</v>
      </c>
    </row>
    <row r="796" spans="1:2">
      <c r="A796" s="1">
        <v>43503</v>
      </c>
      <c r="B796">
        <v>71.3</v>
      </c>
    </row>
    <row r="797" spans="1:2">
      <c r="A797" s="1">
        <v>43504</v>
      </c>
      <c r="B797">
        <v>71.174999999999997</v>
      </c>
    </row>
    <row r="798" spans="1:2">
      <c r="A798" s="1">
        <v>43507</v>
      </c>
      <c r="B798">
        <v>71.14</v>
      </c>
    </row>
    <row r="799" spans="1:2">
      <c r="A799" s="1">
        <v>43508</v>
      </c>
      <c r="B799">
        <v>70.534999999999997</v>
      </c>
    </row>
    <row r="800" spans="1:2">
      <c r="A800" s="1">
        <v>43509</v>
      </c>
      <c r="B800">
        <v>70.875</v>
      </c>
    </row>
    <row r="801" spans="1:2">
      <c r="A801" s="1">
        <v>43510</v>
      </c>
      <c r="B801">
        <v>71.02</v>
      </c>
    </row>
    <row r="802" spans="1:2">
      <c r="A802" s="1">
        <v>43511</v>
      </c>
      <c r="B802">
        <v>71.33</v>
      </c>
    </row>
    <row r="803" spans="1:2">
      <c r="A803" s="1">
        <v>43514</v>
      </c>
      <c r="B803">
        <v>71.387</v>
      </c>
    </row>
    <row r="804" spans="1:2">
      <c r="A804" s="1">
        <v>43515</v>
      </c>
      <c r="B804">
        <v>71.3</v>
      </c>
    </row>
    <row r="805" spans="1:2">
      <c r="A805" s="1">
        <v>43516</v>
      </c>
      <c r="B805">
        <v>71.010000000000005</v>
      </c>
    </row>
    <row r="806" spans="1:2">
      <c r="A806" s="1">
        <v>43517</v>
      </c>
      <c r="B806">
        <v>71.165000000000006</v>
      </c>
    </row>
    <row r="807" spans="1:2">
      <c r="A807" s="1">
        <v>43518</v>
      </c>
      <c r="B807">
        <v>71.034999999999997</v>
      </c>
    </row>
    <row r="808" spans="1:2">
      <c r="A808" s="1">
        <v>43521</v>
      </c>
      <c r="B808">
        <v>70.834000000000003</v>
      </c>
    </row>
    <row r="809" spans="1:2">
      <c r="A809" s="1">
        <v>43522</v>
      </c>
      <c r="B809">
        <v>70.959999999999994</v>
      </c>
    </row>
    <row r="810" spans="1:2">
      <c r="A810" s="1">
        <v>43523</v>
      </c>
      <c r="B810">
        <v>71.2</v>
      </c>
    </row>
    <row r="811" spans="1:2">
      <c r="A811" s="1">
        <v>43524</v>
      </c>
      <c r="B811">
        <v>70.84</v>
      </c>
    </row>
    <row r="812" spans="1:2">
      <c r="A812" s="1">
        <v>43525</v>
      </c>
      <c r="B812">
        <v>71</v>
      </c>
    </row>
    <row r="813" spans="1:2">
      <c r="A813" s="1">
        <v>43528</v>
      </c>
      <c r="B813">
        <v>70.91</v>
      </c>
    </row>
    <row r="814" spans="1:2">
      <c r="A814" s="1">
        <v>43529</v>
      </c>
      <c r="B814">
        <v>70.489999999999995</v>
      </c>
    </row>
    <row r="815" spans="1:2">
      <c r="A815" s="1">
        <v>43530</v>
      </c>
      <c r="B815">
        <v>70.08</v>
      </c>
    </row>
    <row r="816" spans="1:2">
      <c r="A816" s="1">
        <v>43531</v>
      </c>
      <c r="B816">
        <v>70.116</v>
      </c>
    </row>
    <row r="817" spans="1:2">
      <c r="A817" s="1">
        <v>43532</v>
      </c>
      <c r="B817">
        <v>70.012</v>
      </c>
    </row>
    <row r="818" spans="1:2">
      <c r="A818" s="1">
        <v>43535</v>
      </c>
      <c r="B818">
        <v>69.849999999999994</v>
      </c>
    </row>
    <row r="819" spans="1:2">
      <c r="A819" s="1">
        <v>43536</v>
      </c>
      <c r="B819">
        <v>69.625</v>
      </c>
    </row>
    <row r="820" spans="1:2">
      <c r="A820" s="1">
        <v>43537</v>
      </c>
      <c r="B820">
        <v>69.528999999999996</v>
      </c>
    </row>
    <row r="821" spans="1:2">
      <c r="A821" s="1">
        <v>43538</v>
      </c>
      <c r="B821">
        <v>69.364999999999995</v>
      </c>
    </row>
    <row r="822" spans="1:2">
      <c r="A822" s="1">
        <v>43539</v>
      </c>
      <c r="B822">
        <v>68.962999999999994</v>
      </c>
    </row>
    <row r="823" spans="1:2">
      <c r="A823" s="1">
        <v>43542</v>
      </c>
      <c r="B823">
        <v>68.625</v>
      </c>
    </row>
    <row r="824" spans="1:2">
      <c r="A824" s="1">
        <v>43543</v>
      </c>
      <c r="B824">
        <v>69.015000000000001</v>
      </c>
    </row>
    <row r="825" spans="1:2">
      <c r="A825" s="1">
        <v>43544</v>
      </c>
      <c r="B825">
        <v>68.790000000000006</v>
      </c>
    </row>
    <row r="826" spans="1:2">
      <c r="A826" s="1">
        <v>43545</v>
      </c>
      <c r="B826">
        <v>68.81</v>
      </c>
    </row>
    <row r="827" spans="1:2">
      <c r="A827" s="1">
        <v>43546</v>
      </c>
      <c r="B827">
        <v>69.17</v>
      </c>
    </row>
    <row r="828" spans="1:2">
      <c r="A828" s="1">
        <v>43549</v>
      </c>
      <c r="B828">
        <v>68.89</v>
      </c>
    </row>
    <row r="829" spans="1:2">
      <c r="A829" s="1">
        <v>43550</v>
      </c>
      <c r="B829">
        <v>68.995999999999995</v>
      </c>
    </row>
    <row r="830" spans="1:2">
      <c r="A830" s="1">
        <v>43551</v>
      </c>
      <c r="B830">
        <v>69.099999999999994</v>
      </c>
    </row>
    <row r="831" spans="1:2">
      <c r="A831" s="1">
        <v>43552</v>
      </c>
      <c r="B831">
        <v>69.19</v>
      </c>
    </row>
    <row r="832" spans="1:2">
      <c r="A832" s="1">
        <v>43553</v>
      </c>
      <c r="B832">
        <v>69.185000000000002</v>
      </c>
    </row>
    <row r="833" spans="1:2">
      <c r="A833" s="1">
        <v>43556</v>
      </c>
      <c r="B833">
        <v>69.204999999999998</v>
      </c>
    </row>
    <row r="834" spans="1:2">
      <c r="A834" s="1">
        <v>43557</v>
      </c>
      <c r="B834">
        <v>68.92</v>
      </c>
    </row>
    <row r="835" spans="1:2">
      <c r="A835" s="1">
        <v>43558</v>
      </c>
      <c r="B835">
        <v>68.45</v>
      </c>
    </row>
    <row r="836" spans="1:2">
      <c r="A836" s="1">
        <v>43559</v>
      </c>
      <c r="B836">
        <v>68.98</v>
      </c>
    </row>
    <row r="837" spans="1:2">
      <c r="A837" s="1">
        <v>43560</v>
      </c>
      <c r="B837">
        <v>69.17</v>
      </c>
    </row>
    <row r="838" spans="1:2">
      <c r="A838" s="1">
        <v>43563</v>
      </c>
      <c r="B838">
        <v>69.555000000000007</v>
      </c>
    </row>
    <row r="839" spans="1:2">
      <c r="A839" s="1">
        <v>43564</v>
      </c>
      <c r="B839">
        <v>69.28</v>
      </c>
    </row>
    <row r="840" spans="1:2">
      <c r="A840" s="1">
        <v>43565</v>
      </c>
      <c r="B840">
        <v>69.150000000000006</v>
      </c>
    </row>
    <row r="841" spans="1:2">
      <c r="A841" s="1">
        <v>43566</v>
      </c>
      <c r="B841">
        <v>69.02</v>
      </c>
    </row>
    <row r="842" spans="1:2">
      <c r="A842" s="1">
        <v>43567</v>
      </c>
      <c r="B842">
        <v>69.19</v>
      </c>
    </row>
    <row r="843" spans="1:2">
      <c r="A843" s="1">
        <v>43570</v>
      </c>
      <c r="B843">
        <v>69.394999999999996</v>
      </c>
    </row>
    <row r="844" spans="1:2">
      <c r="A844" s="1">
        <v>43571</v>
      </c>
      <c r="B844">
        <v>69.53</v>
      </c>
    </row>
    <row r="845" spans="1:2">
      <c r="A845" s="1">
        <v>43572</v>
      </c>
      <c r="B845">
        <v>69.430999999999997</v>
      </c>
    </row>
    <row r="846" spans="1:2">
      <c r="A846" s="1">
        <v>43573</v>
      </c>
      <c r="B846">
        <v>69.394999999999996</v>
      </c>
    </row>
    <row r="847" spans="1:2">
      <c r="A847" s="1">
        <v>43574</v>
      </c>
      <c r="B847">
        <v>69.406999999999996</v>
      </c>
    </row>
    <row r="848" spans="1:2">
      <c r="A848" s="1">
        <v>43577</v>
      </c>
      <c r="B848">
        <v>69.7</v>
      </c>
    </row>
    <row r="849" spans="1:2">
      <c r="A849" s="1">
        <v>43578</v>
      </c>
      <c r="B849">
        <v>69.77</v>
      </c>
    </row>
    <row r="850" spans="1:2">
      <c r="A850" s="1">
        <v>43579</v>
      </c>
      <c r="B850">
        <v>69.959999999999994</v>
      </c>
    </row>
    <row r="851" spans="1:2">
      <c r="A851" s="1">
        <v>43580</v>
      </c>
      <c r="B851">
        <v>70.17</v>
      </c>
    </row>
    <row r="852" spans="1:2">
      <c r="A852" s="1">
        <v>43581</v>
      </c>
      <c r="B852">
        <v>69.849999999999994</v>
      </c>
    </row>
    <row r="853" spans="1:2">
      <c r="A853" s="1">
        <v>43584</v>
      </c>
      <c r="B853">
        <v>69.816999999999993</v>
      </c>
    </row>
    <row r="854" spans="1:2">
      <c r="A854" s="1">
        <v>43585</v>
      </c>
      <c r="B854">
        <v>69.647000000000006</v>
      </c>
    </row>
    <row r="855" spans="1:2">
      <c r="A855" s="1">
        <v>43586</v>
      </c>
      <c r="B855">
        <v>69.545000000000002</v>
      </c>
    </row>
    <row r="856" spans="1:2">
      <c r="A856" s="1">
        <v>43587</v>
      </c>
      <c r="B856">
        <v>69.41</v>
      </c>
    </row>
    <row r="857" spans="1:2">
      <c r="A857" s="1">
        <v>43588</v>
      </c>
      <c r="B857">
        <v>69.094999999999999</v>
      </c>
    </row>
    <row r="858" spans="1:2">
      <c r="A858" s="1">
        <v>43591</v>
      </c>
      <c r="B858">
        <v>69.38</v>
      </c>
    </row>
    <row r="859" spans="1:2">
      <c r="A859" s="1">
        <v>43592</v>
      </c>
      <c r="B859">
        <v>69.644999999999996</v>
      </c>
    </row>
    <row r="860" spans="1:2">
      <c r="A860" s="1">
        <v>43593</v>
      </c>
      <c r="B860">
        <v>69.72</v>
      </c>
    </row>
    <row r="861" spans="1:2">
      <c r="A861" s="1">
        <v>43594</v>
      </c>
      <c r="B861">
        <v>70.2</v>
      </c>
    </row>
    <row r="862" spans="1:2">
      <c r="A862" s="1">
        <v>43595</v>
      </c>
      <c r="B862">
        <v>70.015000000000001</v>
      </c>
    </row>
    <row r="863" spans="1:2">
      <c r="A863" s="1">
        <v>43598</v>
      </c>
      <c r="B863">
        <v>70.569999999999993</v>
      </c>
    </row>
    <row r="864" spans="1:2">
      <c r="A864" s="1">
        <v>43599</v>
      </c>
      <c r="B864">
        <v>70.331999999999994</v>
      </c>
    </row>
    <row r="865" spans="1:2">
      <c r="A865" s="1">
        <v>43600</v>
      </c>
      <c r="B865">
        <v>70.248999999999995</v>
      </c>
    </row>
    <row r="866" spans="1:2">
      <c r="A866" s="1">
        <v>43601</v>
      </c>
      <c r="B866">
        <v>70.13</v>
      </c>
    </row>
    <row r="867" spans="1:2">
      <c r="A867" s="1">
        <v>43602</v>
      </c>
      <c r="B867">
        <v>70.28</v>
      </c>
    </row>
    <row r="868" spans="1:2">
      <c r="A868" s="1">
        <v>43605</v>
      </c>
      <c r="B868">
        <v>69.608999999999995</v>
      </c>
    </row>
    <row r="869" spans="1:2">
      <c r="A869" s="1">
        <v>43606</v>
      </c>
      <c r="B869">
        <v>69.644999999999996</v>
      </c>
    </row>
    <row r="870" spans="1:2">
      <c r="A870" s="1">
        <v>43607</v>
      </c>
      <c r="B870">
        <v>69.650000000000006</v>
      </c>
    </row>
    <row r="871" spans="1:2">
      <c r="A871" s="1">
        <v>43608</v>
      </c>
      <c r="B871">
        <v>69.665000000000006</v>
      </c>
    </row>
    <row r="872" spans="1:2">
      <c r="A872" s="1">
        <v>43609</v>
      </c>
      <c r="B872">
        <v>69.38</v>
      </c>
    </row>
    <row r="873" spans="1:2">
      <c r="A873" s="1">
        <v>43612</v>
      </c>
      <c r="B873">
        <v>69.504000000000005</v>
      </c>
    </row>
    <row r="874" spans="1:2">
      <c r="A874" s="1">
        <v>43613</v>
      </c>
      <c r="B874">
        <v>69.61</v>
      </c>
    </row>
    <row r="875" spans="1:2">
      <c r="A875" s="1">
        <v>43614</v>
      </c>
      <c r="B875">
        <v>69.844999999999999</v>
      </c>
    </row>
    <row r="876" spans="1:2">
      <c r="A876" s="1">
        <v>43615</v>
      </c>
      <c r="B876">
        <v>69.825000000000003</v>
      </c>
    </row>
    <row r="877" spans="1:2">
      <c r="A877" s="1">
        <v>43616</v>
      </c>
      <c r="B877">
        <v>69.58</v>
      </c>
    </row>
    <row r="878" spans="1:2">
      <c r="A878" s="1">
        <v>43619</v>
      </c>
      <c r="B878">
        <v>69.171000000000006</v>
      </c>
    </row>
    <row r="879" spans="1:2">
      <c r="A879" s="1">
        <v>43620</v>
      </c>
      <c r="B879">
        <v>69.290999999999997</v>
      </c>
    </row>
    <row r="880" spans="1:2">
      <c r="A880" s="1">
        <v>43621</v>
      </c>
      <c r="B880">
        <v>69.385000000000005</v>
      </c>
    </row>
    <row r="881" spans="1:2">
      <c r="A881" s="1">
        <v>43622</v>
      </c>
      <c r="B881">
        <v>69.165000000000006</v>
      </c>
    </row>
    <row r="882" spans="1:2">
      <c r="A882" s="1">
        <v>43623</v>
      </c>
      <c r="B882">
        <v>69.355000000000004</v>
      </c>
    </row>
    <row r="883" spans="1:2">
      <c r="A883" s="1">
        <v>43626</v>
      </c>
      <c r="B883">
        <v>69.534999999999997</v>
      </c>
    </row>
    <row r="884" spans="1:2">
      <c r="A884" s="1">
        <v>43627</v>
      </c>
      <c r="B884">
        <v>69.385000000000005</v>
      </c>
    </row>
    <row r="885" spans="1:2">
      <c r="A885" s="1">
        <v>43628</v>
      </c>
      <c r="B885">
        <v>69.375</v>
      </c>
    </row>
    <row r="886" spans="1:2">
      <c r="A886" s="1">
        <v>43629</v>
      </c>
      <c r="B886">
        <v>69.53</v>
      </c>
    </row>
    <row r="887" spans="1:2">
      <c r="A887" s="1">
        <v>43630</v>
      </c>
      <c r="B887">
        <v>69.832999999999998</v>
      </c>
    </row>
    <row r="888" spans="1:2">
      <c r="A888" s="1">
        <v>43633</v>
      </c>
      <c r="B888">
        <v>69.849999999999994</v>
      </c>
    </row>
    <row r="889" spans="1:2">
      <c r="A889" s="1">
        <v>43634</v>
      </c>
      <c r="B889">
        <v>69.61</v>
      </c>
    </row>
    <row r="890" spans="1:2">
      <c r="A890" s="1">
        <v>43635</v>
      </c>
      <c r="B890">
        <v>69.650000000000006</v>
      </c>
    </row>
    <row r="891" spans="1:2">
      <c r="A891" s="1">
        <v>43636</v>
      </c>
      <c r="B891">
        <v>69.52</v>
      </c>
    </row>
    <row r="892" spans="1:2">
      <c r="A892" s="1">
        <v>43637</v>
      </c>
      <c r="B892">
        <v>69.614999999999995</v>
      </c>
    </row>
    <row r="893" spans="1:2">
      <c r="A893" s="1">
        <v>43640</v>
      </c>
      <c r="B893">
        <v>69.272999999999996</v>
      </c>
    </row>
    <row r="894" spans="1:2">
      <c r="A894" s="1">
        <v>43641</v>
      </c>
      <c r="B894">
        <v>69.334000000000003</v>
      </c>
    </row>
    <row r="895" spans="1:2">
      <c r="A895" s="1">
        <v>43642</v>
      </c>
      <c r="B895">
        <v>69.245000000000005</v>
      </c>
    </row>
    <row r="896" spans="1:2">
      <c r="A896" s="1">
        <v>43643</v>
      </c>
      <c r="B896">
        <v>69.087999999999994</v>
      </c>
    </row>
    <row r="897" spans="1:2">
      <c r="A897" s="1">
        <v>43644</v>
      </c>
      <c r="B897">
        <v>68.95</v>
      </c>
    </row>
    <row r="898" spans="1:2">
      <c r="A898" s="1">
        <v>43647</v>
      </c>
      <c r="B898">
        <v>68.885000000000005</v>
      </c>
    </row>
    <row r="899" spans="1:2">
      <c r="A899" s="1">
        <v>43648</v>
      </c>
      <c r="B899">
        <v>68.89</v>
      </c>
    </row>
    <row r="900" spans="1:2">
      <c r="A900" s="1">
        <v>43649</v>
      </c>
      <c r="B900">
        <v>68.8</v>
      </c>
    </row>
    <row r="901" spans="1:2">
      <c r="A901" s="1">
        <v>43650</v>
      </c>
      <c r="B901">
        <v>68.527000000000001</v>
      </c>
    </row>
    <row r="902" spans="1:2">
      <c r="A902" s="1">
        <v>43651</v>
      </c>
      <c r="B902">
        <v>68.45</v>
      </c>
    </row>
    <row r="903" spans="1:2">
      <c r="A903" s="1">
        <v>43654</v>
      </c>
      <c r="B903">
        <v>68.566000000000003</v>
      </c>
    </row>
    <row r="904" spans="1:2">
      <c r="A904" s="1">
        <v>43655</v>
      </c>
      <c r="B904">
        <v>68.564999999999998</v>
      </c>
    </row>
    <row r="905" spans="1:2">
      <c r="A905" s="1">
        <v>43656</v>
      </c>
      <c r="B905">
        <v>68.418999999999997</v>
      </c>
    </row>
    <row r="906" spans="1:2">
      <c r="A906" s="1">
        <v>43657</v>
      </c>
      <c r="B906">
        <v>68.41</v>
      </c>
    </row>
    <row r="907" spans="1:2">
      <c r="A907" s="1">
        <v>43658</v>
      </c>
      <c r="B907">
        <v>68.56</v>
      </c>
    </row>
    <row r="908" spans="1:2">
      <c r="A908" s="1">
        <v>43661</v>
      </c>
      <c r="B908">
        <v>68.545000000000002</v>
      </c>
    </row>
    <row r="909" spans="1:2">
      <c r="A909" s="1">
        <v>43662</v>
      </c>
      <c r="B909">
        <v>68.650000000000006</v>
      </c>
    </row>
    <row r="910" spans="1:2">
      <c r="A910" s="1">
        <v>43663</v>
      </c>
      <c r="B910">
        <v>68.846000000000004</v>
      </c>
    </row>
    <row r="911" spans="1:2">
      <c r="A911" s="1">
        <v>43664</v>
      </c>
      <c r="B911">
        <v>68.855000000000004</v>
      </c>
    </row>
    <row r="912" spans="1:2">
      <c r="A912" s="1">
        <v>43665</v>
      </c>
      <c r="B912">
        <v>68.86</v>
      </c>
    </row>
    <row r="913" spans="1:2">
      <c r="A913" s="1">
        <v>43668</v>
      </c>
      <c r="B913">
        <v>68.930000000000007</v>
      </c>
    </row>
    <row r="914" spans="1:2">
      <c r="A914" s="1">
        <v>43669</v>
      </c>
      <c r="B914">
        <v>69.033000000000001</v>
      </c>
    </row>
    <row r="915" spans="1:2">
      <c r="A915" s="1">
        <v>43670</v>
      </c>
      <c r="B915">
        <v>68.98</v>
      </c>
    </row>
    <row r="916" spans="1:2">
      <c r="A916" s="1">
        <v>43671</v>
      </c>
      <c r="B916">
        <v>69.040999999999997</v>
      </c>
    </row>
    <row r="917" spans="1:2">
      <c r="A917" s="1">
        <v>43672</v>
      </c>
      <c r="B917">
        <v>68.88</v>
      </c>
    </row>
    <row r="918" spans="1:2">
      <c r="A918" s="1">
        <v>43675</v>
      </c>
      <c r="B918">
        <v>68.754999999999995</v>
      </c>
    </row>
    <row r="919" spans="1:2">
      <c r="A919" s="1">
        <v>43676</v>
      </c>
      <c r="B919">
        <v>68.861999999999995</v>
      </c>
    </row>
    <row r="920" spans="1:2">
      <c r="A920" s="1">
        <v>43677</v>
      </c>
      <c r="B920">
        <v>68.875</v>
      </c>
    </row>
    <row r="921" spans="1:2">
      <c r="A921" s="1">
        <v>43678</v>
      </c>
      <c r="B921">
        <v>69.016999999999996</v>
      </c>
    </row>
    <row r="922" spans="1:2">
      <c r="A922" s="1">
        <v>43679</v>
      </c>
      <c r="B922">
        <v>69.7</v>
      </c>
    </row>
    <row r="923" spans="1:2">
      <c r="A923" s="1">
        <v>43682</v>
      </c>
      <c r="B923">
        <v>70.820999999999998</v>
      </c>
    </row>
    <row r="924" spans="1:2">
      <c r="A924" s="1">
        <v>43683</v>
      </c>
      <c r="B924">
        <v>71.040000000000006</v>
      </c>
    </row>
    <row r="925" spans="1:2">
      <c r="A925" s="1">
        <v>43684</v>
      </c>
      <c r="B925">
        <v>71.144999999999996</v>
      </c>
    </row>
    <row r="926" spans="1:2">
      <c r="A926" s="1">
        <v>43685</v>
      </c>
      <c r="B926">
        <v>70.42</v>
      </c>
    </row>
    <row r="927" spans="1:2">
      <c r="A927" s="1">
        <v>43686</v>
      </c>
      <c r="B927">
        <v>70.924000000000007</v>
      </c>
    </row>
    <row r="928" spans="1:2">
      <c r="A928" s="1">
        <v>43689</v>
      </c>
      <c r="B928">
        <v>71.283000000000001</v>
      </c>
    </row>
    <row r="929" spans="1:2">
      <c r="A929" s="1">
        <v>43690</v>
      </c>
      <c r="B929">
        <v>71.418000000000006</v>
      </c>
    </row>
    <row r="930" spans="1:2">
      <c r="A930" s="1">
        <v>43691</v>
      </c>
      <c r="B930">
        <v>71.275000000000006</v>
      </c>
    </row>
    <row r="931" spans="1:2">
      <c r="A931" s="1">
        <v>43692</v>
      </c>
      <c r="B931">
        <v>71.81</v>
      </c>
    </row>
    <row r="932" spans="1:2">
      <c r="A932" s="1">
        <v>43693</v>
      </c>
      <c r="B932">
        <v>71.155000000000001</v>
      </c>
    </row>
    <row r="933" spans="1:2">
      <c r="A933" s="1">
        <v>43696</v>
      </c>
      <c r="B933">
        <v>71.450999999999993</v>
      </c>
    </row>
    <row r="934" spans="1:2">
      <c r="A934" s="1">
        <v>43697</v>
      </c>
      <c r="B934">
        <v>71.549000000000007</v>
      </c>
    </row>
    <row r="935" spans="1:2">
      <c r="A935" s="1">
        <v>43698</v>
      </c>
      <c r="B935">
        <v>71.44</v>
      </c>
    </row>
    <row r="936" spans="1:2">
      <c r="A936" s="1">
        <v>43699</v>
      </c>
      <c r="B936">
        <v>71.930000000000007</v>
      </c>
    </row>
    <row r="937" spans="1:2">
      <c r="A937" s="1">
        <v>43700</v>
      </c>
      <c r="B937">
        <v>71.513000000000005</v>
      </c>
    </row>
    <row r="938" spans="1:2">
      <c r="A938" s="1">
        <v>43703</v>
      </c>
      <c r="B938">
        <v>72.025000000000006</v>
      </c>
    </row>
    <row r="939" spans="1:2">
      <c r="A939" s="1">
        <v>43704</v>
      </c>
      <c r="B939">
        <v>71.543000000000006</v>
      </c>
    </row>
    <row r="940" spans="1:2">
      <c r="A940" s="1">
        <v>43705</v>
      </c>
      <c r="B940">
        <v>71.828999999999994</v>
      </c>
    </row>
    <row r="941" spans="1:2">
      <c r="A941" s="1">
        <v>43706</v>
      </c>
      <c r="B941">
        <v>71.69</v>
      </c>
    </row>
    <row r="942" spans="1:2">
      <c r="A942" s="1">
        <v>43707</v>
      </c>
      <c r="B942">
        <v>71.453000000000003</v>
      </c>
    </row>
    <row r="943" spans="1:2">
      <c r="A943" s="1">
        <v>43710</v>
      </c>
      <c r="B943">
        <v>71.968999999999994</v>
      </c>
    </row>
    <row r="944" spans="1:2">
      <c r="A944" s="1">
        <v>43711</v>
      </c>
      <c r="B944">
        <v>72.17</v>
      </c>
    </row>
    <row r="945" spans="1:2">
      <c r="A945" s="1">
        <v>43712</v>
      </c>
      <c r="B945">
        <v>71.989000000000004</v>
      </c>
    </row>
    <row r="946" spans="1:2">
      <c r="A946" s="1">
        <v>43713</v>
      </c>
      <c r="B946">
        <v>71.927999999999997</v>
      </c>
    </row>
    <row r="947" spans="1:2">
      <c r="A947" s="1">
        <v>43714</v>
      </c>
      <c r="B947">
        <v>71.644999999999996</v>
      </c>
    </row>
    <row r="948" spans="1:2">
      <c r="A948" s="1">
        <v>43717</v>
      </c>
      <c r="B948">
        <v>71.778000000000006</v>
      </c>
    </row>
    <row r="949" spans="1:2">
      <c r="A949" s="1">
        <v>43718</v>
      </c>
      <c r="B949">
        <v>71.875</v>
      </c>
    </row>
    <row r="950" spans="1:2">
      <c r="A950" s="1">
        <v>43719</v>
      </c>
      <c r="B950">
        <v>71.576999999999998</v>
      </c>
    </row>
    <row r="951" spans="1:2">
      <c r="A951" s="1">
        <v>43720</v>
      </c>
      <c r="B951">
        <v>70.966999999999999</v>
      </c>
    </row>
    <row r="952" spans="1:2">
      <c r="A952" s="1">
        <v>43721</v>
      </c>
      <c r="B952">
        <v>70.984999999999999</v>
      </c>
    </row>
    <row r="953" spans="1:2">
      <c r="A953" s="1">
        <v>43724</v>
      </c>
      <c r="B953">
        <v>71.58</v>
      </c>
    </row>
    <row r="954" spans="1:2">
      <c r="A954" s="1">
        <v>43725</v>
      </c>
      <c r="B954">
        <v>71.489999999999995</v>
      </c>
    </row>
    <row r="955" spans="1:2">
      <c r="A955" s="1">
        <v>43726</v>
      </c>
      <c r="B955">
        <v>71.144999999999996</v>
      </c>
    </row>
    <row r="956" spans="1:2">
      <c r="A956" s="1">
        <v>43727</v>
      </c>
      <c r="B956">
        <v>71.375</v>
      </c>
    </row>
    <row r="957" spans="1:2">
      <c r="A957" s="1">
        <v>43728</v>
      </c>
      <c r="B957">
        <v>71.075000000000003</v>
      </c>
    </row>
    <row r="958" spans="1:2">
      <c r="A958" s="1">
        <v>43731</v>
      </c>
      <c r="B958">
        <v>70.799000000000007</v>
      </c>
    </row>
    <row r="959" spans="1:2">
      <c r="A959" s="1">
        <v>43732</v>
      </c>
      <c r="B959">
        <v>70.971000000000004</v>
      </c>
    </row>
    <row r="960" spans="1:2">
      <c r="A960" s="1">
        <v>43733</v>
      </c>
      <c r="B960">
        <v>70.988</v>
      </c>
    </row>
    <row r="961" spans="1:2">
      <c r="A961" s="1">
        <v>43734</v>
      </c>
      <c r="B961">
        <v>70.963999999999999</v>
      </c>
    </row>
    <row r="962" spans="1:2">
      <c r="A962" s="1">
        <v>43735</v>
      </c>
      <c r="B962">
        <v>70.509</v>
      </c>
    </row>
    <row r="963" spans="1:2">
      <c r="A963" s="1">
        <v>43738</v>
      </c>
      <c r="B963">
        <v>70.644999999999996</v>
      </c>
    </row>
    <row r="964" spans="1:2">
      <c r="A964" s="1">
        <v>43739</v>
      </c>
      <c r="B964">
        <v>71.11</v>
      </c>
    </row>
    <row r="965" spans="1:2">
      <c r="A965" s="1">
        <v>43740</v>
      </c>
      <c r="B965">
        <v>71.150000000000006</v>
      </c>
    </row>
    <row r="966" spans="1:2">
      <c r="A966" s="1">
        <v>43741</v>
      </c>
      <c r="B966">
        <v>71.03</v>
      </c>
    </row>
    <row r="967" spans="1:2">
      <c r="A967" s="1">
        <v>43742</v>
      </c>
      <c r="B967">
        <v>70.825000000000003</v>
      </c>
    </row>
    <row r="968" spans="1:2">
      <c r="A968" s="1">
        <v>43745</v>
      </c>
      <c r="B968">
        <v>70.974999999999994</v>
      </c>
    </row>
    <row r="969" spans="1:2">
      <c r="A969" s="1">
        <v>43746</v>
      </c>
      <c r="B969">
        <v>71.22</v>
      </c>
    </row>
    <row r="970" spans="1:2">
      <c r="A970" s="1">
        <v>43747</v>
      </c>
      <c r="B970">
        <v>71.12</v>
      </c>
    </row>
    <row r="971" spans="1:2">
      <c r="A971" s="1">
        <v>43748</v>
      </c>
      <c r="B971">
        <v>70.989999999999995</v>
      </c>
    </row>
    <row r="972" spans="1:2">
      <c r="A972" s="1">
        <v>43749</v>
      </c>
      <c r="B972">
        <v>70.924000000000007</v>
      </c>
    </row>
    <row r="973" spans="1:2">
      <c r="A973" s="1">
        <v>43752</v>
      </c>
      <c r="B973">
        <v>71.236999999999995</v>
      </c>
    </row>
    <row r="974" spans="1:2">
      <c r="A974" s="1">
        <v>43753</v>
      </c>
      <c r="B974">
        <v>71.5</v>
      </c>
    </row>
    <row r="975" spans="1:2">
      <c r="A975" s="1">
        <v>43754</v>
      </c>
      <c r="B975">
        <v>71.364000000000004</v>
      </c>
    </row>
    <row r="976" spans="1:2">
      <c r="A976" s="1">
        <v>43755</v>
      </c>
      <c r="B976">
        <v>71.13</v>
      </c>
    </row>
    <row r="977" spans="1:2">
      <c r="A977" s="1">
        <v>43756</v>
      </c>
      <c r="B977">
        <v>71.09</v>
      </c>
    </row>
    <row r="978" spans="1:2">
      <c r="A978" s="1">
        <v>43759</v>
      </c>
      <c r="B978">
        <v>70.924999999999997</v>
      </c>
    </row>
    <row r="979" spans="1:2">
      <c r="A979" s="1">
        <v>43760</v>
      </c>
      <c r="B979">
        <v>70.81</v>
      </c>
    </row>
    <row r="980" spans="1:2">
      <c r="A980" s="1">
        <v>43761</v>
      </c>
      <c r="B980">
        <v>70.724999999999994</v>
      </c>
    </row>
    <row r="981" spans="1:2">
      <c r="A981" s="1">
        <v>43762</v>
      </c>
      <c r="B981">
        <v>70.965000000000003</v>
      </c>
    </row>
    <row r="982" spans="1:2">
      <c r="A982" s="1">
        <v>43763</v>
      </c>
      <c r="B982">
        <v>70.819999999999993</v>
      </c>
    </row>
    <row r="983" spans="1:2">
      <c r="A983" s="1">
        <v>43766</v>
      </c>
      <c r="B983">
        <v>70.745000000000005</v>
      </c>
    </row>
    <row r="984" spans="1:2">
      <c r="A984" s="1">
        <v>43767</v>
      </c>
      <c r="B984">
        <v>70.89</v>
      </c>
    </row>
    <row r="985" spans="1:2">
      <c r="A985" s="1">
        <v>43768</v>
      </c>
      <c r="B985">
        <v>70.951999999999998</v>
      </c>
    </row>
    <row r="986" spans="1:2">
      <c r="A986" s="1">
        <v>43769</v>
      </c>
      <c r="B986">
        <v>70.98</v>
      </c>
    </row>
    <row r="987" spans="1:2">
      <c r="A987" s="1">
        <v>43770</v>
      </c>
      <c r="B987">
        <v>70.760000000000005</v>
      </c>
    </row>
    <row r="988" spans="1:2">
      <c r="A988" s="1">
        <v>43773</v>
      </c>
      <c r="B988">
        <v>70.789000000000001</v>
      </c>
    </row>
    <row r="989" spans="1:2">
      <c r="A989" s="1">
        <v>43774</v>
      </c>
      <c r="B989">
        <v>70.775000000000006</v>
      </c>
    </row>
    <row r="990" spans="1:2">
      <c r="A990" s="1">
        <v>43775</v>
      </c>
      <c r="B990">
        <v>71.010000000000005</v>
      </c>
    </row>
    <row r="991" spans="1:2">
      <c r="A991" s="1">
        <v>43776</v>
      </c>
      <c r="B991">
        <v>71.046999999999997</v>
      </c>
    </row>
    <row r="992" spans="1:2">
      <c r="A992" s="1">
        <v>43777</v>
      </c>
      <c r="B992">
        <v>71.36</v>
      </c>
    </row>
    <row r="993" spans="1:2">
      <c r="A993" s="1">
        <v>43780</v>
      </c>
      <c r="B993">
        <v>71.569999999999993</v>
      </c>
    </row>
    <row r="994" spans="1:2">
      <c r="A994" s="1">
        <v>43781</v>
      </c>
      <c r="B994">
        <v>71.790000000000006</v>
      </c>
    </row>
    <row r="995" spans="1:2">
      <c r="A995" s="1">
        <v>43782</v>
      </c>
      <c r="B995">
        <v>72.150000000000006</v>
      </c>
    </row>
    <row r="996" spans="1:2">
      <c r="A996" s="1">
        <v>43783</v>
      </c>
      <c r="B996">
        <v>71.965999999999994</v>
      </c>
    </row>
    <row r="997" spans="1:2">
      <c r="A997" s="1">
        <v>43784</v>
      </c>
      <c r="B997">
        <v>71.650000000000006</v>
      </c>
    </row>
    <row r="998" spans="1:2">
      <c r="A998" s="1">
        <v>43787</v>
      </c>
      <c r="B998">
        <v>71.944999999999993</v>
      </c>
    </row>
    <row r="999" spans="1:2">
      <c r="A999" s="1">
        <v>43788</v>
      </c>
      <c r="B999">
        <v>71.83</v>
      </c>
    </row>
    <row r="1000" spans="1:2">
      <c r="A1000" s="1">
        <v>43789</v>
      </c>
      <c r="B1000">
        <v>71.745999999999995</v>
      </c>
    </row>
    <row r="1001" spans="1:2">
      <c r="A1001" s="1">
        <v>43790</v>
      </c>
      <c r="B1001">
        <v>71.75</v>
      </c>
    </row>
    <row r="1002" spans="1:2">
      <c r="A1002" s="1">
        <v>43791</v>
      </c>
      <c r="B1002">
        <v>71.792000000000002</v>
      </c>
    </row>
    <row r="1003" spans="1:2">
      <c r="A1003" s="1">
        <v>43794</v>
      </c>
      <c r="B1003">
        <v>71.688999999999993</v>
      </c>
    </row>
    <row r="1004" spans="1:2">
      <c r="A1004" s="1">
        <v>43795</v>
      </c>
      <c r="B1004">
        <v>71.48</v>
      </c>
    </row>
    <row r="1005" spans="1:2">
      <c r="A1005" s="1">
        <v>43796</v>
      </c>
      <c r="B1005">
        <v>71.260000000000005</v>
      </c>
    </row>
    <row r="1006" spans="1:2">
      <c r="A1006" s="1">
        <v>43797</v>
      </c>
      <c r="B1006">
        <v>71.504999999999995</v>
      </c>
    </row>
    <row r="1007" spans="1:2">
      <c r="A1007" s="1">
        <v>43798</v>
      </c>
      <c r="B1007">
        <v>71.748999999999995</v>
      </c>
    </row>
    <row r="1008" spans="1:2">
      <c r="A1008" s="1">
        <v>43801</v>
      </c>
      <c r="B1008">
        <v>71.634</v>
      </c>
    </row>
    <row r="1009" spans="1:2">
      <c r="A1009" s="1">
        <v>43802</v>
      </c>
      <c r="B1009">
        <v>71.739999999999995</v>
      </c>
    </row>
    <row r="1010" spans="1:2">
      <c r="A1010" s="1">
        <v>43803</v>
      </c>
      <c r="B1010">
        <v>71.474000000000004</v>
      </c>
    </row>
    <row r="1011" spans="1:2">
      <c r="A1011" s="1">
        <v>43804</v>
      </c>
      <c r="B1011">
        <v>71.251999999999995</v>
      </c>
    </row>
    <row r="1012" spans="1:2">
      <c r="A1012" s="1">
        <v>43805</v>
      </c>
      <c r="B1012">
        <v>71.283000000000001</v>
      </c>
    </row>
    <row r="1013" spans="1:2">
      <c r="A1013" s="1">
        <v>43808</v>
      </c>
      <c r="B1013">
        <v>70.97</v>
      </c>
    </row>
    <row r="1014" spans="1:2">
      <c r="A1014" s="1">
        <v>43809</v>
      </c>
      <c r="B1014">
        <v>70.81</v>
      </c>
    </row>
    <row r="1015" spans="1:2">
      <c r="A1015" s="1">
        <v>43810</v>
      </c>
      <c r="B1015">
        <v>70.709999999999994</v>
      </c>
    </row>
    <row r="1016" spans="1:2">
      <c r="A1016" s="1">
        <v>43811</v>
      </c>
      <c r="B1016">
        <v>70.569999999999993</v>
      </c>
    </row>
    <row r="1017" spans="1:2">
      <c r="A1017" s="1">
        <v>43812</v>
      </c>
      <c r="B1017">
        <v>70.798000000000002</v>
      </c>
    </row>
    <row r="1018" spans="1:2">
      <c r="A1018" s="1">
        <v>43815</v>
      </c>
      <c r="B1018">
        <v>70.915000000000006</v>
      </c>
    </row>
    <row r="1019" spans="1:2">
      <c r="A1019" s="1">
        <v>43816</v>
      </c>
      <c r="B1019">
        <v>71.034999999999997</v>
      </c>
    </row>
    <row r="1020" spans="1:2">
      <c r="A1020" s="1">
        <v>43817</v>
      </c>
      <c r="B1020">
        <v>71</v>
      </c>
    </row>
    <row r="1021" spans="1:2">
      <c r="A1021" s="1">
        <v>43818</v>
      </c>
      <c r="B1021">
        <v>71.180000000000007</v>
      </c>
    </row>
    <row r="1022" spans="1:2">
      <c r="A1022" s="1">
        <v>43819</v>
      </c>
      <c r="B1022">
        <v>71.06</v>
      </c>
    </row>
    <row r="1023" spans="1:2">
      <c r="A1023" s="1">
        <v>43822</v>
      </c>
      <c r="B1023">
        <v>71.22</v>
      </c>
    </row>
    <row r="1024" spans="1:2">
      <c r="A1024" s="1">
        <v>43823</v>
      </c>
      <c r="B1024">
        <v>71.28</v>
      </c>
    </row>
    <row r="1025" spans="1:2">
      <c r="A1025" s="1">
        <v>43824</v>
      </c>
      <c r="B1025">
        <v>71.28</v>
      </c>
    </row>
    <row r="1026" spans="1:2">
      <c r="A1026" s="1">
        <v>43825</v>
      </c>
      <c r="B1026">
        <v>71.3</v>
      </c>
    </row>
    <row r="1027" spans="1:2">
      <c r="A1027" s="1">
        <v>43826</v>
      </c>
      <c r="B1027">
        <v>71.454999999999998</v>
      </c>
    </row>
    <row r="1028" spans="1:2">
      <c r="A1028" s="1">
        <v>43829</v>
      </c>
      <c r="B1028">
        <v>71.319999999999993</v>
      </c>
    </row>
    <row r="1029" spans="1:2">
      <c r="A1029" s="1">
        <v>43830</v>
      </c>
      <c r="B1029">
        <v>71.355000000000004</v>
      </c>
    </row>
    <row r="1030" spans="1:2">
      <c r="A1030" s="1">
        <v>43831</v>
      </c>
      <c r="B1030">
        <v>71.227000000000004</v>
      </c>
    </row>
    <row r="1031" spans="1:2">
      <c r="A1031" s="1">
        <v>43832</v>
      </c>
      <c r="B1031">
        <v>71.349999999999994</v>
      </c>
    </row>
    <row r="1032" spans="1:2">
      <c r="A1032" s="1">
        <v>43833</v>
      </c>
      <c r="B1032">
        <v>71.77</v>
      </c>
    </row>
    <row r="1033" spans="1:2">
      <c r="A1033" s="1">
        <v>43836</v>
      </c>
      <c r="B1033">
        <v>71.867000000000004</v>
      </c>
    </row>
    <row r="1034" spans="1:2">
      <c r="A1034" s="1">
        <v>43837</v>
      </c>
      <c r="B1034">
        <v>71.844999999999999</v>
      </c>
    </row>
    <row r="1035" spans="1:2">
      <c r="A1035" s="1">
        <v>43838</v>
      </c>
      <c r="B1035">
        <v>71.510000000000005</v>
      </c>
    </row>
    <row r="1036" spans="1:2">
      <c r="A1036" s="1">
        <v>43839</v>
      </c>
      <c r="B1036">
        <v>71.209999999999994</v>
      </c>
    </row>
    <row r="1037" spans="1:2">
      <c r="A1037" s="1">
        <v>43840</v>
      </c>
      <c r="B1037">
        <v>70.959999999999994</v>
      </c>
    </row>
    <row r="1038" spans="1:2">
      <c r="A1038" s="1">
        <v>43843</v>
      </c>
      <c r="B1038">
        <v>70.709999999999994</v>
      </c>
    </row>
    <row r="1039" spans="1:2">
      <c r="A1039" s="1">
        <v>43844</v>
      </c>
      <c r="B1039">
        <v>70.849999999999994</v>
      </c>
    </row>
    <row r="1040" spans="1:2">
      <c r="A1040" s="1">
        <v>43845</v>
      </c>
      <c r="B1040">
        <v>70.72</v>
      </c>
    </row>
    <row r="1041" spans="1:2">
      <c r="A1041" s="1">
        <v>43846</v>
      </c>
      <c r="B1041">
        <v>70.977999999999994</v>
      </c>
    </row>
    <row r="1042" spans="1:2">
      <c r="A1042" s="1">
        <v>43847</v>
      </c>
      <c r="B1042">
        <v>71.078999999999994</v>
      </c>
    </row>
    <row r="1043" spans="1:2">
      <c r="A1043" s="1">
        <v>43850</v>
      </c>
      <c r="B1043">
        <v>71.040000000000006</v>
      </c>
    </row>
    <row r="1044" spans="1:2">
      <c r="A1044" s="1">
        <v>43851</v>
      </c>
      <c r="B1044">
        <v>71.17</v>
      </c>
    </row>
    <row r="1045" spans="1:2">
      <c r="A1045" s="1">
        <v>43852</v>
      </c>
      <c r="B1045">
        <v>71.08</v>
      </c>
    </row>
    <row r="1046" spans="1:2">
      <c r="A1046" s="1">
        <v>43853</v>
      </c>
      <c r="B1046">
        <v>71.400000000000006</v>
      </c>
    </row>
    <row r="1047" spans="1:2">
      <c r="A1047" s="1">
        <v>43854</v>
      </c>
      <c r="B1047">
        <v>71.33</v>
      </c>
    </row>
    <row r="1048" spans="1:2">
      <c r="A1048" s="1">
        <v>43857</v>
      </c>
      <c r="B1048">
        <v>71.45</v>
      </c>
    </row>
    <row r="1049" spans="1:2">
      <c r="A1049" s="1">
        <v>43858</v>
      </c>
      <c r="B1049">
        <v>71.2</v>
      </c>
    </row>
    <row r="1050" spans="1:2">
      <c r="A1050" s="1">
        <v>43859</v>
      </c>
      <c r="B1050">
        <v>71.31</v>
      </c>
    </row>
    <row r="1051" spans="1:2">
      <c r="A1051" s="1">
        <v>43860</v>
      </c>
      <c r="B1051">
        <v>71.55</v>
      </c>
    </row>
    <row r="1052" spans="1:2">
      <c r="A1052" s="1">
        <v>43861</v>
      </c>
      <c r="B1052">
        <v>71.555000000000007</v>
      </c>
    </row>
    <row r="1053" spans="1:2">
      <c r="A1053" s="1">
        <v>43864</v>
      </c>
      <c r="B1053">
        <v>71.323999999999998</v>
      </c>
    </row>
    <row r="1054" spans="1:2">
      <c r="A1054" s="1">
        <v>43865</v>
      </c>
      <c r="B1054">
        <v>71.114999999999995</v>
      </c>
    </row>
    <row r="1055" spans="1:2">
      <c r="A1055" s="1">
        <v>43866</v>
      </c>
      <c r="B1055">
        <v>71.19</v>
      </c>
    </row>
    <row r="1056" spans="1:2">
      <c r="A1056" s="1">
        <v>43867</v>
      </c>
      <c r="B1056">
        <v>71.224999999999994</v>
      </c>
    </row>
    <row r="1057" spans="1:2">
      <c r="A1057" s="1">
        <v>43868</v>
      </c>
      <c r="B1057">
        <v>71.515000000000001</v>
      </c>
    </row>
    <row r="1058" spans="1:2">
      <c r="A1058" s="1">
        <v>43871</v>
      </c>
      <c r="B1058">
        <v>71.290000000000006</v>
      </c>
    </row>
    <row r="1059" spans="1:2">
      <c r="A1059" s="1">
        <v>43872</v>
      </c>
      <c r="B1059">
        <v>71.284999999999997</v>
      </c>
    </row>
    <row r="1060" spans="1:2">
      <c r="A1060" s="1">
        <v>43873</v>
      </c>
      <c r="B1060">
        <v>71.305999999999997</v>
      </c>
    </row>
    <row r="1061" spans="1:2">
      <c r="A1061" s="1">
        <v>43874</v>
      </c>
      <c r="B1061">
        <v>71.33</v>
      </c>
    </row>
    <row r="1062" spans="1:2">
      <c r="A1062" s="1">
        <v>43875</v>
      </c>
      <c r="B1062">
        <v>71.528999999999996</v>
      </c>
    </row>
    <row r="1063" spans="1:2">
      <c r="A1063" s="1">
        <v>43878</v>
      </c>
      <c r="B1063">
        <v>71.34</v>
      </c>
    </row>
    <row r="1064" spans="1:2">
      <c r="A1064" s="1">
        <v>43879</v>
      </c>
      <c r="B1064">
        <v>71.584999999999994</v>
      </c>
    </row>
    <row r="1065" spans="1:2">
      <c r="A1065" s="1">
        <v>43880</v>
      </c>
      <c r="B1065">
        <v>71.599999999999994</v>
      </c>
    </row>
    <row r="1066" spans="1:2">
      <c r="A1066" s="1">
        <v>43881</v>
      </c>
      <c r="B1066">
        <v>71.680000000000007</v>
      </c>
    </row>
    <row r="1067" spans="1:2">
      <c r="A1067" s="1">
        <v>43882</v>
      </c>
      <c r="B1067">
        <v>71.88</v>
      </c>
    </row>
    <row r="1068" spans="1:2">
      <c r="A1068" s="1">
        <v>43885</v>
      </c>
      <c r="B1068">
        <v>71.935000000000002</v>
      </c>
    </row>
    <row r="1069" spans="1:2">
      <c r="A1069" s="1">
        <v>43886</v>
      </c>
      <c r="B1069">
        <v>71.819999999999993</v>
      </c>
    </row>
    <row r="1070" spans="1:2">
      <c r="A1070" s="1">
        <v>43887</v>
      </c>
      <c r="B1070">
        <v>71.58</v>
      </c>
    </row>
    <row r="1071" spans="1:2">
      <c r="A1071" s="1">
        <v>43888</v>
      </c>
      <c r="B1071">
        <v>71.655000000000001</v>
      </c>
    </row>
    <row r="1072" spans="1:2">
      <c r="A1072" s="1">
        <v>43889</v>
      </c>
      <c r="B1072">
        <v>72.539000000000001</v>
      </c>
    </row>
    <row r="1073" spans="1:2">
      <c r="A1073" s="1">
        <v>43892</v>
      </c>
      <c r="B1073">
        <v>72.882000000000005</v>
      </c>
    </row>
    <row r="1074" spans="1:2">
      <c r="A1074" s="1">
        <v>43893</v>
      </c>
      <c r="B1074">
        <v>73.05</v>
      </c>
    </row>
    <row r="1075" spans="1:2">
      <c r="A1075" s="1">
        <v>43894</v>
      </c>
      <c r="B1075">
        <v>73.540000000000006</v>
      </c>
    </row>
    <row r="1076" spans="1:2">
      <c r="A1076" s="1">
        <v>43895</v>
      </c>
      <c r="B1076">
        <v>73.506</v>
      </c>
    </row>
    <row r="1077" spans="1:2">
      <c r="A1077" s="1">
        <v>43896</v>
      </c>
      <c r="B1077">
        <v>74.004000000000005</v>
      </c>
    </row>
    <row r="1078" spans="1:2">
      <c r="A1078" s="1">
        <v>43899</v>
      </c>
      <c r="B1078">
        <v>74.195999999999998</v>
      </c>
    </row>
    <row r="1079" spans="1:2">
      <c r="A1079" s="1">
        <v>43900</v>
      </c>
      <c r="B1079">
        <v>74.150000000000006</v>
      </c>
    </row>
    <row r="1080" spans="1:2">
      <c r="A1080" s="1">
        <v>43901</v>
      </c>
      <c r="B1080">
        <v>73.682000000000002</v>
      </c>
    </row>
    <row r="1081" spans="1:2">
      <c r="A1081" s="1">
        <v>43902</v>
      </c>
      <c r="B1081">
        <v>74.575999999999993</v>
      </c>
    </row>
    <row r="1082" spans="1:2">
      <c r="A1082" s="1">
        <v>43903</v>
      </c>
      <c r="B1082">
        <v>73.84</v>
      </c>
    </row>
    <row r="1083" spans="1:2">
      <c r="A1083" s="1">
        <v>43906</v>
      </c>
      <c r="B1083">
        <v>74.003</v>
      </c>
    </row>
    <row r="1084" spans="1:2">
      <c r="A1084" s="1">
        <v>43907</v>
      </c>
      <c r="B1084">
        <v>74.061999999999998</v>
      </c>
    </row>
    <row r="1085" spans="1:2">
      <c r="A1085" s="1">
        <v>43908</v>
      </c>
      <c r="B1085">
        <v>74.55</v>
      </c>
    </row>
    <row r="1086" spans="1:2">
      <c r="A1086" s="1">
        <v>43909</v>
      </c>
      <c r="B1086">
        <v>74.786000000000001</v>
      </c>
    </row>
    <row r="1087" spans="1:2">
      <c r="A1087" s="1">
        <v>43910</v>
      </c>
      <c r="B1087">
        <v>75.399000000000001</v>
      </c>
    </row>
    <row r="1088" spans="1:2">
      <c r="A1088" s="1">
        <v>43913</v>
      </c>
      <c r="B1088">
        <v>76.334999999999994</v>
      </c>
    </row>
    <row r="1089" spans="1:2">
      <c r="A1089" s="1">
        <v>43914</v>
      </c>
      <c r="B1089">
        <v>76.379000000000005</v>
      </c>
    </row>
    <row r="1090" spans="1:2">
      <c r="A1090" s="1">
        <v>43915</v>
      </c>
      <c r="B1090">
        <v>76.375</v>
      </c>
    </row>
    <row r="1091" spans="1:2">
      <c r="A1091" s="1">
        <v>43916</v>
      </c>
      <c r="B1091">
        <v>74.888999999999996</v>
      </c>
    </row>
    <row r="1092" spans="1:2">
      <c r="A1092" s="1">
        <v>43917</v>
      </c>
      <c r="B1092">
        <v>75.471999999999994</v>
      </c>
    </row>
    <row r="1093" spans="1:2">
      <c r="A1093" s="1">
        <v>43920</v>
      </c>
      <c r="B1093">
        <v>75.41</v>
      </c>
    </row>
    <row r="1094" spans="1:2">
      <c r="A1094" s="1">
        <v>43921</v>
      </c>
      <c r="B1094">
        <v>75.343000000000004</v>
      </c>
    </row>
    <row r="1095" spans="1:2">
      <c r="A1095" s="1">
        <v>43922</v>
      </c>
      <c r="B1095">
        <v>76.403999999999996</v>
      </c>
    </row>
    <row r="1096" spans="1:2">
      <c r="A1096" s="1">
        <v>43923</v>
      </c>
      <c r="B1096">
        <v>76.400000000000006</v>
      </c>
    </row>
    <row r="1097" spans="1:2">
      <c r="A1097" s="1">
        <v>43924</v>
      </c>
      <c r="B1097">
        <v>76.239999999999995</v>
      </c>
    </row>
    <row r="1098" spans="1:2">
      <c r="A1098" s="1">
        <v>43927</v>
      </c>
      <c r="B1098">
        <v>75.974999999999994</v>
      </c>
    </row>
    <row r="1099" spans="1:2">
      <c r="A1099" s="1">
        <v>43928</v>
      </c>
      <c r="B1099">
        <v>75.644999999999996</v>
      </c>
    </row>
    <row r="1100" spans="1:2">
      <c r="A1100" s="1">
        <v>43929</v>
      </c>
      <c r="B1100">
        <v>75.944999999999993</v>
      </c>
    </row>
    <row r="1101" spans="1:2">
      <c r="A1101" s="1">
        <v>43930</v>
      </c>
      <c r="B1101">
        <v>76.3</v>
      </c>
    </row>
    <row r="1102" spans="1:2">
      <c r="A1102" s="1">
        <v>43931</v>
      </c>
      <c r="B1102">
        <v>75.879000000000005</v>
      </c>
    </row>
    <row r="1103" spans="1:2">
      <c r="A1103" s="1">
        <v>43934</v>
      </c>
      <c r="B1103">
        <v>76.248999999999995</v>
      </c>
    </row>
    <row r="1104" spans="1:2">
      <c r="A1104" s="1">
        <v>43935</v>
      </c>
      <c r="B1104">
        <v>76.015000000000001</v>
      </c>
    </row>
    <row r="1105" spans="1:2">
      <c r="A1105" s="1">
        <v>43936</v>
      </c>
      <c r="B1105">
        <v>76.563999999999993</v>
      </c>
    </row>
    <row r="1106" spans="1:2">
      <c r="A1106" s="1">
        <v>43937</v>
      </c>
      <c r="B1106">
        <v>76.805000000000007</v>
      </c>
    </row>
    <row r="1107" spans="1:2">
      <c r="A1107" s="1">
        <v>43938</v>
      </c>
      <c r="B1107">
        <v>76.55</v>
      </c>
    </row>
    <row r="1108" spans="1:2">
      <c r="A1108" s="1">
        <v>43941</v>
      </c>
      <c r="B1108">
        <v>76.575000000000003</v>
      </c>
    </row>
    <row r="1109" spans="1:2">
      <c r="A1109" s="1">
        <v>43942</v>
      </c>
      <c r="B1109">
        <v>76.974999999999994</v>
      </c>
    </row>
    <row r="1110" spans="1:2">
      <c r="A1110" s="1">
        <v>43943</v>
      </c>
      <c r="B1110">
        <v>76.41</v>
      </c>
    </row>
    <row r="1111" spans="1:2">
      <c r="A1111" s="1">
        <v>43944</v>
      </c>
      <c r="B1111">
        <v>75.894999999999996</v>
      </c>
    </row>
    <row r="1112" spans="1:2">
      <c r="A1112" s="1">
        <v>43945</v>
      </c>
      <c r="B1112">
        <v>76.27</v>
      </c>
    </row>
    <row r="1113" spans="1:2">
      <c r="A1113" s="1">
        <v>43948</v>
      </c>
      <c r="B1113">
        <v>76.228999999999999</v>
      </c>
    </row>
    <row r="1114" spans="1:2">
      <c r="A1114" s="1">
        <v>43949</v>
      </c>
      <c r="B1114">
        <v>76.064999999999998</v>
      </c>
    </row>
    <row r="1115" spans="1:2">
      <c r="A1115" s="1">
        <v>43950</v>
      </c>
      <c r="B1115">
        <v>75.454999999999998</v>
      </c>
    </row>
    <row r="1116" spans="1:2">
      <c r="A1116" s="1">
        <v>43951</v>
      </c>
      <c r="B1116">
        <v>75.08</v>
      </c>
    </row>
    <row r="1117" spans="1:2">
      <c r="A1117" s="1">
        <v>43952</v>
      </c>
      <c r="B1117">
        <v>75.748999999999995</v>
      </c>
    </row>
    <row r="1118" spans="1:2">
      <c r="A1118" s="1">
        <v>43955</v>
      </c>
      <c r="B1118">
        <v>75.64</v>
      </c>
    </row>
    <row r="1119" spans="1:2">
      <c r="A1119" s="1">
        <v>43956</v>
      </c>
      <c r="B1119">
        <v>75.709999999999994</v>
      </c>
    </row>
    <row r="1120" spans="1:2">
      <c r="A1120" s="1">
        <v>43957</v>
      </c>
      <c r="B1120">
        <v>76.105000000000004</v>
      </c>
    </row>
    <row r="1121" spans="1:2">
      <c r="A1121" s="1">
        <v>43958</v>
      </c>
      <c r="B1121">
        <v>75.793999999999997</v>
      </c>
    </row>
    <row r="1122" spans="1:2">
      <c r="A1122" s="1">
        <v>43959</v>
      </c>
      <c r="B1122">
        <v>75.534999999999997</v>
      </c>
    </row>
    <row r="1123" spans="1:2">
      <c r="A1123" s="1">
        <v>43962</v>
      </c>
      <c r="B1123">
        <v>75.888000000000005</v>
      </c>
    </row>
    <row r="1124" spans="1:2">
      <c r="A1124" s="1">
        <v>43963</v>
      </c>
      <c r="B1124">
        <v>75.061999999999998</v>
      </c>
    </row>
    <row r="1125" spans="1:2">
      <c r="A1125" s="1">
        <v>43964</v>
      </c>
      <c r="B1125">
        <v>75.364999999999995</v>
      </c>
    </row>
    <row r="1126" spans="1:2">
      <c r="A1126" s="1">
        <v>43965</v>
      </c>
      <c r="B1126">
        <v>75.495000000000005</v>
      </c>
    </row>
    <row r="1127" spans="1:2">
      <c r="A1127" s="1">
        <v>43966</v>
      </c>
      <c r="B1127">
        <v>75.83</v>
      </c>
    </row>
    <row r="1128" spans="1:2">
      <c r="A1128" s="1">
        <v>43969</v>
      </c>
      <c r="B1128">
        <v>75.7</v>
      </c>
    </row>
    <row r="1129" spans="1:2">
      <c r="A1129" s="1">
        <v>43970</v>
      </c>
      <c r="B1129">
        <v>75.644999999999996</v>
      </c>
    </row>
    <row r="1130" spans="1:2">
      <c r="A1130" s="1">
        <v>43971</v>
      </c>
      <c r="B1130">
        <v>75.555000000000007</v>
      </c>
    </row>
    <row r="1131" spans="1:2">
      <c r="A1131" s="1">
        <v>43972</v>
      </c>
      <c r="B1131">
        <v>75.62</v>
      </c>
    </row>
    <row r="1132" spans="1:2">
      <c r="A1132" s="1">
        <v>43973</v>
      </c>
      <c r="B1132">
        <v>75.95</v>
      </c>
    </row>
    <row r="1133" spans="1:2">
      <c r="A1133" s="1">
        <v>43976</v>
      </c>
      <c r="B1133">
        <v>75.887</v>
      </c>
    </row>
    <row r="1134" spans="1:2">
      <c r="A1134" s="1">
        <v>43977</v>
      </c>
      <c r="B1134">
        <v>75.459000000000003</v>
      </c>
    </row>
    <row r="1135" spans="1:2">
      <c r="A1135" s="1">
        <v>43978</v>
      </c>
      <c r="B1135">
        <v>75.92</v>
      </c>
    </row>
    <row r="1136" spans="1:2">
      <c r="A1136" s="1">
        <v>43979</v>
      </c>
      <c r="B1136">
        <v>75.66</v>
      </c>
    </row>
    <row r="1137" spans="1:2">
      <c r="A1137" s="1">
        <v>43980</v>
      </c>
      <c r="B1137">
        <v>75.605000000000004</v>
      </c>
    </row>
    <row r="1138" spans="1:2">
      <c r="A1138" s="1">
        <v>43983</v>
      </c>
      <c r="B1138">
        <v>75.504999999999995</v>
      </c>
    </row>
    <row r="1139" spans="1:2">
      <c r="A1139" s="1">
        <v>43984</v>
      </c>
      <c r="B1139">
        <v>75.099999999999994</v>
      </c>
    </row>
    <row r="1140" spans="1:2">
      <c r="A1140" s="1">
        <v>43985</v>
      </c>
      <c r="B1140">
        <v>75.325000000000003</v>
      </c>
    </row>
    <row r="1141" spans="1:2">
      <c r="A1141" s="1">
        <v>43986</v>
      </c>
      <c r="B1141">
        <v>75.459000000000003</v>
      </c>
    </row>
    <row r="1142" spans="1:2">
      <c r="A1142" s="1">
        <v>43987</v>
      </c>
      <c r="B1142">
        <v>75.56</v>
      </c>
    </row>
    <row r="1143" spans="1:2">
      <c r="A1143" s="1">
        <v>43990</v>
      </c>
      <c r="B1143">
        <v>75.400000000000006</v>
      </c>
    </row>
    <row r="1144" spans="1:2">
      <c r="A1144" s="1">
        <v>43991</v>
      </c>
      <c r="B1144">
        <v>75.504999999999995</v>
      </c>
    </row>
    <row r="1145" spans="1:2">
      <c r="A1145" s="1">
        <v>43992</v>
      </c>
      <c r="B1145">
        <v>75.635000000000005</v>
      </c>
    </row>
    <row r="1146" spans="1:2">
      <c r="A1146" s="1">
        <v>43993</v>
      </c>
      <c r="B1146">
        <v>75.971000000000004</v>
      </c>
    </row>
    <row r="1147" spans="1:2">
      <c r="A1147" s="1">
        <v>43994</v>
      </c>
      <c r="B1147">
        <v>76.05</v>
      </c>
    </row>
    <row r="1148" spans="1:2">
      <c r="A1148" s="1">
        <v>43997</v>
      </c>
      <c r="B1148">
        <v>75.978999999999999</v>
      </c>
    </row>
    <row r="1149" spans="1:2">
      <c r="A1149" s="1">
        <v>43998</v>
      </c>
      <c r="B1149">
        <v>76.25</v>
      </c>
    </row>
    <row r="1150" spans="1:2">
      <c r="A1150" s="1">
        <v>43999</v>
      </c>
      <c r="B1150">
        <v>76.290000000000006</v>
      </c>
    </row>
    <row r="1151" spans="1:2">
      <c r="A1151" s="1">
        <v>44000</v>
      </c>
      <c r="B1151">
        <v>76.400000000000006</v>
      </c>
    </row>
    <row r="1152" spans="1:2">
      <c r="A1152" s="1">
        <v>44001</v>
      </c>
      <c r="B1152">
        <v>76.260000000000005</v>
      </c>
    </row>
    <row r="1153" spans="1:2">
      <c r="A1153" s="1">
        <v>44004</v>
      </c>
      <c r="B1153">
        <v>75.790000000000006</v>
      </c>
    </row>
    <row r="1154" spans="1:2">
      <c r="A1154" s="1">
        <v>44005</v>
      </c>
      <c r="B1154">
        <v>75.503</v>
      </c>
    </row>
    <row r="1155" spans="1:2">
      <c r="A1155" s="1">
        <v>44006</v>
      </c>
      <c r="B1155">
        <v>75.665000000000006</v>
      </c>
    </row>
    <row r="1156" spans="1:2">
      <c r="A1156" s="1">
        <v>44007</v>
      </c>
      <c r="B1156">
        <v>75.587000000000003</v>
      </c>
    </row>
    <row r="1157" spans="1:2">
      <c r="A1157" s="1">
        <v>44008</v>
      </c>
      <c r="B1157">
        <v>75.62</v>
      </c>
    </row>
    <row r="1158" spans="1:2">
      <c r="A1158" s="1">
        <v>44011</v>
      </c>
      <c r="B1158">
        <v>75.510000000000005</v>
      </c>
    </row>
    <row r="1159" spans="1:2">
      <c r="A1159" s="1">
        <v>44012</v>
      </c>
      <c r="B1159">
        <v>75.545000000000002</v>
      </c>
    </row>
    <row r="1160" spans="1:2">
      <c r="A1160" s="1">
        <v>44013</v>
      </c>
      <c r="B1160">
        <v>75.489999999999995</v>
      </c>
    </row>
    <row r="1161" spans="1:2">
      <c r="A1161" s="1">
        <v>44014</v>
      </c>
      <c r="B1161">
        <v>74.75</v>
      </c>
    </row>
    <row r="1162" spans="1:2">
      <c r="A1162" s="1">
        <v>44015</v>
      </c>
      <c r="B1162">
        <v>74.635999999999996</v>
      </c>
    </row>
    <row r="1163" spans="1:2">
      <c r="A1163" s="1">
        <v>44018</v>
      </c>
      <c r="B1163">
        <v>74.635000000000005</v>
      </c>
    </row>
    <row r="1164" spans="1:2">
      <c r="A1164" s="1">
        <v>44019</v>
      </c>
      <c r="B1164">
        <v>74.81</v>
      </c>
    </row>
    <row r="1165" spans="1:2">
      <c r="A1165" s="1">
        <v>44020</v>
      </c>
      <c r="B1165">
        <v>74.944999999999993</v>
      </c>
    </row>
    <row r="1166" spans="1:2">
      <c r="A1166" s="1">
        <v>44021</v>
      </c>
      <c r="B1166">
        <v>75.155000000000001</v>
      </c>
    </row>
    <row r="1167" spans="1:2">
      <c r="A1167" s="1">
        <v>44022</v>
      </c>
      <c r="B1167">
        <v>75.194999999999993</v>
      </c>
    </row>
    <row r="1168" spans="1:2">
      <c r="A1168" s="1">
        <v>44025</v>
      </c>
      <c r="B1168">
        <v>75.212000000000003</v>
      </c>
    </row>
    <row r="1169" spans="1:2">
      <c r="A1169" s="1">
        <v>44026</v>
      </c>
      <c r="B1169">
        <v>75.406000000000006</v>
      </c>
    </row>
    <row r="1170" spans="1:2">
      <c r="A1170" s="1">
        <v>44027</v>
      </c>
      <c r="B1170">
        <v>75.125</v>
      </c>
    </row>
    <row r="1171" spans="1:2">
      <c r="A1171" s="1">
        <v>44028</v>
      </c>
      <c r="B1171">
        <v>75.180000000000007</v>
      </c>
    </row>
    <row r="1172" spans="1:2">
      <c r="A1172" s="1">
        <v>44029</v>
      </c>
      <c r="B1172">
        <v>74.897999999999996</v>
      </c>
    </row>
    <row r="1173" spans="1:2">
      <c r="A1173" s="1">
        <v>44032</v>
      </c>
      <c r="B1173">
        <v>74.75</v>
      </c>
    </row>
    <row r="1174" spans="1:2">
      <c r="A1174" s="1">
        <v>44033</v>
      </c>
      <c r="B1174">
        <v>74.540000000000006</v>
      </c>
    </row>
    <row r="1175" spans="1:2">
      <c r="A1175" s="1">
        <v>44034</v>
      </c>
      <c r="B1175">
        <v>74.61</v>
      </c>
    </row>
    <row r="1176" spans="1:2">
      <c r="A1176" s="1">
        <v>44035</v>
      </c>
      <c r="B1176">
        <v>74.814999999999998</v>
      </c>
    </row>
    <row r="1177" spans="1:2">
      <c r="A1177" s="1">
        <v>44036</v>
      </c>
      <c r="B1177">
        <v>74.760000000000005</v>
      </c>
    </row>
    <row r="1178" spans="1:2">
      <c r="A1178" s="1">
        <v>44039</v>
      </c>
      <c r="B1178">
        <v>74.8</v>
      </c>
    </row>
    <row r="1179" spans="1:2">
      <c r="A1179" s="1">
        <v>44040</v>
      </c>
      <c r="B1179">
        <v>74.909000000000006</v>
      </c>
    </row>
    <row r="1180" spans="1:2">
      <c r="A1180" s="1">
        <v>44041</v>
      </c>
      <c r="B1180">
        <v>74.947999999999993</v>
      </c>
    </row>
    <row r="1181" spans="1:2">
      <c r="A1181" s="1">
        <v>44042</v>
      </c>
      <c r="B1181">
        <v>74.876000000000005</v>
      </c>
    </row>
    <row r="1182" spans="1:2">
      <c r="A1182" s="1">
        <v>44043</v>
      </c>
      <c r="B1182">
        <v>74.918000000000006</v>
      </c>
    </row>
    <row r="1183" spans="1:2">
      <c r="A1183" s="1">
        <v>44046</v>
      </c>
      <c r="B1183">
        <v>75.185000000000002</v>
      </c>
    </row>
    <row r="1184" spans="1:2">
      <c r="A1184" s="1">
        <v>44047</v>
      </c>
      <c r="B1184">
        <v>75.061000000000007</v>
      </c>
    </row>
    <row r="1185" spans="1:2">
      <c r="A1185" s="1">
        <v>44048</v>
      </c>
      <c r="B1185">
        <v>74.798000000000002</v>
      </c>
    </row>
    <row r="1186" spans="1:2">
      <c r="A1186" s="1">
        <v>44049</v>
      </c>
      <c r="B1186">
        <v>74.900000000000006</v>
      </c>
    </row>
    <row r="1187" spans="1:2">
      <c r="A1187" s="1">
        <v>44050</v>
      </c>
      <c r="B1187">
        <v>75.025000000000006</v>
      </c>
    </row>
    <row r="1188" spans="1:2">
      <c r="A1188" s="1">
        <v>44053</v>
      </c>
      <c r="B1188">
        <v>74.875</v>
      </c>
    </row>
    <row r="1189" spans="1:2">
      <c r="A1189" s="1">
        <v>44054</v>
      </c>
      <c r="B1189">
        <v>74.62</v>
      </c>
    </row>
    <row r="1190" spans="1:2">
      <c r="A1190" s="1">
        <v>44055</v>
      </c>
      <c r="B1190">
        <v>74.795000000000002</v>
      </c>
    </row>
    <row r="1191" spans="1:2">
      <c r="A1191" s="1">
        <v>44056</v>
      </c>
      <c r="B1191">
        <v>74.811999999999998</v>
      </c>
    </row>
    <row r="1192" spans="1:2">
      <c r="A1192" s="1">
        <v>44057</v>
      </c>
      <c r="B1192">
        <v>74.903000000000006</v>
      </c>
    </row>
    <row r="1193" spans="1:2">
      <c r="A1193" s="1">
        <v>44060</v>
      </c>
      <c r="B1193">
        <v>74.744</v>
      </c>
    </row>
    <row r="1194" spans="1:2">
      <c r="A1194" s="1">
        <v>44061</v>
      </c>
      <c r="B1194">
        <v>74.575000000000003</v>
      </c>
    </row>
    <row r="1195" spans="1:2">
      <c r="A1195" s="1">
        <v>44062</v>
      </c>
      <c r="B1195">
        <v>74.846999999999994</v>
      </c>
    </row>
    <row r="1196" spans="1:2">
      <c r="A1196" s="1">
        <v>44063</v>
      </c>
      <c r="B1196">
        <v>75.013000000000005</v>
      </c>
    </row>
    <row r="1197" spans="1:2">
      <c r="A1197" s="1">
        <v>44064</v>
      </c>
      <c r="B1197">
        <v>74.921999999999997</v>
      </c>
    </row>
    <row r="1198" spans="1:2">
      <c r="A1198" s="1">
        <v>44067</v>
      </c>
      <c r="B1198">
        <v>74.168999999999997</v>
      </c>
    </row>
    <row r="1199" spans="1:2">
      <c r="A1199" s="1">
        <v>44068</v>
      </c>
      <c r="B1199">
        <v>74.222999999999999</v>
      </c>
    </row>
    <row r="1200" spans="1:2">
      <c r="A1200" s="1">
        <v>44069</v>
      </c>
      <c r="B1200">
        <v>74.221999999999994</v>
      </c>
    </row>
    <row r="1201" spans="1:2">
      <c r="A1201" s="1">
        <v>44070</v>
      </c>
      <c r="B1201">
        <v>73.903999999999996</v>
      </c>
    </row>
    <row r="1202" spans="1:2">
      <c r="A1202" s="1">
        <v>44071</v>
      </c>
      <c r="B1202">
        <v>73.114999999999995</v>
      </c>
    </row>
    <row r="1203" spans="1:2">
      <c r="A1203" s="1">
        <v>44074</v>
      </c>
      <c r="B1203">
        <v>73.257000000000005</v>
      </c>
    </row>
    <row r="1204" spans="1:2">
      <c r="A1204" s="1">
        <v>44075</v>
      </c>
      <c r="B1204">
        <v>73.004000000000005</v>
      </c>
    </row>
    <row r="1205" spans="1:2">
      <c r="A1205" s="1">
        <v>44076</v>
      </c>
      <c r="B1205">
        <v>73.269000000000005</v>
      </c>
    </row>
    <row r="1206" spans="1:2">
      <c r="A1206" s="1">
        <v>44077</v>
      </c>
      <c r="B1206">
        <v>73.391000000000005</v>
      </c>
    </row>
    <row r="1207" spans="1:2">
      <c r="A1207" s="1">
        <v>44078</v>
      </c>
      <c r="B1207">
        <v>73.290999999999997</v>
      </c>
    </row>
    <row r="1208" spans="1:2">
      <c r="A1208" s="1">
        <v>44081</v>
      </c>
      <c r="B1208">
        <v>73.447000000000003</v>
      </c>
    </row>
    <row r="1209" spans="1:2">
      <c r="A1209" s="1">
        <v>44082</v>
      </c>
      <c r="B1209">
        <v>73.75</v>
      </c>
    </row>
    <row r="1210" spans="1:2">
      <c r="A1210" s="1">
        <v>44083</v>
      </c>
      <c r="B1210">
        <v>73.31</v>
      </c>
    </row>
    <row r="1211" spans="1:2">
      <c r="A1211" s="1">
        <v>44084</v>
      </c>
      <c r="B1211">
        <v>73.44</v>
      </c>
    </row>
    <row r="1212" spans="1:2">
      <c r="A1212" s="1">
        <v>44085</v>
      </c>
      <c r="B1212">
        <v>73.44</v>
      </c>
    </row>
    <row r="1213" spans="1:2">
      <c r="A1213" s="1">
        <v>44088</v>
      </c>
      <c r="B1213">
        <v>73.385000000000005</v>
      </c>
    </row>
    <row r="1214" spans="1:2">
      <c r="A1214" s="1">
        <v>44089</v>
      </c>
      <c r="B1214">
        <v>73.61</v>
      </c>
    </row>
    <row r="1215" spans="1:2">
      <c r="A1215" s="1">
        <v>44090</v>
      </c>
      <c r="B1215">
        <v>73.545000000000002</v>
      </c>
    </row>
    <row r="1216" spans="1:2">
      <c r="A1216" s="1">
        <v>44091</v>
      </c>
      <c r="B1216">
        <v>73.61</v>
      </c>
    </row>
    <row r="1217" spans="1:2">
      <c r="A1217" s="1">
        <v>44092</v>
      </c>
      <c r="B1217">
        <v>73.540000000000006</v>
      </c>
    </row>
    <row r="1218" spans="1:2">
      <c r="A1218" s="1">
        <v>44095</v>
      </c>
      <c r="B1218">
        <v>73.58</v>
      </c>
    </row>
    <row r="1219" spans="1:2">
      <c r="A1219" s="1">
        <v>44096</v>
      </c>
      <c r="B1219">
        <v>73.52</v>
      </c>
    </row>
    <row r="1220" spans="1:2">
      <c r="A1220" s="1">
        <v>44097</v>
      </c>
      <c r="B1220">
        <v>73.58</v>
      </c>
    </row>
    <row r="1221" spans="1:2">
      <c r="A1221" s="1">
        <v>44098</v>
      </c>
      <c r="B1221">
        <v>73.91</v>
      </c>
    </row>
    <row r="1222" spans="1:2">
      <c r="A1222" s="1">
        <v>44099</v>
      </c>
      <c r="B1222">
        <v>73.685000000000002</v>
      </c>
    </row>
    <row r="1223" spans="1:2">
      <c r="A1223" s="1">
        <v>44102</v>
      </c>
      <c r="B1223">
        <v>73.765000000000001</v>
      </c>
    </row>
    <row r="1224" spans="1:2">
      <c r="A1224" s="1">
        <v>44103</v>
      </c>
      <c r="B1224">
        <v>73.760000000000005</v>
      </c>
    </row>
    <row r="1225" spans="1:2">
      <c r="A1225" s="1">
        <v>44104</v>
      </c>
      <c r="B1225">
        <v>73.569999999999993</v>
      </c>
    </row>
    <row r="1226" spans="1:2">
      <c r="A1226" s="1">
        <v>44105</v>
      </c>
      <c r="B1226">
        <v>73.218000000000004</v>
      </c>
    </row>
    <row r="1227" spans="1:2">
      <c r="A1227" s="1">
        <v>44106</v>
      </c>
      <c r="B1227">
        <v>73.295000000000002</v>
      </c>
    </row>
    <row r="1228" spans="1:2">
      <c r="A1228" s="1">
        <v>44109</v>
      </c>
      <c r="B1228">
        <v>73.117000000000004</v>
      </c>
    </row>
    <row r="1229" spans="1:2">
      <c r="A1229" s="1">
        <v>44110</v>
      </c>
      <c r="B1229">
        <v>73.441000000000003</v>
      </c>
    </row>
    <row r="1230" spans="1:2">
      <c r="A1230" s="1">
        <v>44111</v>
      </c>
      <c r="B1230">
        <v>73.334999999999994</v>
      </c>
    </row>
    <row r="1231" spans="1:2">
      <c r="A1231" s="1">
        <v>44112</v>
      </c>
      <c r="B1231">
        <v>73.3</v>
      </c>
    </row>
    <row r="1232" spans="1:2">
      <c r="A1232" s="1">
        <v>44113</v>
      </c>
      <c r="B1232">
        <v>73.02</v>
      </c>
    </row>
    <row r="1233" spans="1:2">
      <c r="A1233" s="1">
        <v>44116</v>
      </c>
      <c r="B1233">
        <v>73.364000000000004</v>
      </c>
    </row>
    <row r="1234" spans="1:2">
      <c r="A1234" s="1">
        <v>44117</v>
      </c>
      <c r="B1234">
        <v>73.41</v>
      </c>
    </row>
    <row r="1235" spans="1:2">
      <c r="A1235" s="1">
        <v>44118</v>
      </c>
      <c r="B1235">
        <v>73.254999999999995</v>
      </c>
    </row>
    <row r="1236" spans="1:2">
      <c r="A1236" s="1">
        <v>44119</v>
      </c>
      <c r="B1236">
        <v>73.435000000000002</v>
      </c>
    </row>
    <row r="1237" spans="1:2">
      <c r="A1237" s="1">
        <v>44120</v>
      </c>
      <c r="B1237">
        <v>73.444000000000003</v>
      </c>
    </row>
    <row r="1238" spans="1:2">
      <c r="A1238" s="1">
        <v>44123</v>
      </c>
      <c r="B1238">
        <v>73.36</v>
      </c>
    </row>
    <row r="1239" spans="1:2">
      <c r="A1239" s="1">
        <v>44124</v>
      </c>
      <c r="B1239">
        <v>73.45</v>
      </c>
    </row>
    <row r="1240" spans="1:2">
      <c r="A1240" s="1">
        <v>44125</v>
      </c>
      <c r="B1240">
        <v>73.599999999999994</v>
      </c>
    </row>
    <row r="1241" spans="1:2">
      <c r="A1241" s="1">
        <v>44126</v>
      </c>
      <c r="B1241">
        <v>73.67</v>
      </c>
    </row>
    <row r="1242" spans="1:2">
      <c r="A1242" s="1">
        <v>44127</v>
      </c>
      <c r="B1242">
        <v>73.841999999999999</v>
      </c>
    </row>
    <row r="1243" spans="1:2">
      <c r="A1243" s="1">
        <v>44130</v>
      </c>
      <c r="B1243">
        <v>73.97</v>
      </c>
    </row>
    <row r="1244" spans="1:2">
      <c r="A1244" s="1">
        <v>44131</v>
      </c>
      <c r="B1244">
        <v>73.623999999999995</v>
      </c>
    </row>
    <row r="1245" spans="1:2">
      <c r="A1245" s="1">
        <v>44132</v>
      </c>
      <c r="B1245">
        <v>74.19</v>
      </c>
    </row>
    <row r="1246" spans="1:2">
      <c r="A1246" s="1">
        <v>44133</v>
      </c>
      <c r="B1246">
        <v>74.38</v>
      </c>
    </row>
    <row r="1247" spans="1:2">
      <c r="A1247" s="1">
        <v>44134</v>
      </c>
      <c r="B1247">
        <v>74.566999999999993</v>
      </c>
    </row>
    <row r="1248" spans="1:2">
      <c r="A1248" s="1">
        <v>44137</v>
      </c>
      <c r="B1248">
        <v>74.510000000000005</v>
      </c>
    </row>
    <row r="1249" spans="1:2">
      <c r="A1249" s="1">
        <v>44138</v>
      </c>
      <c r="B1249">
        <v>74.625</v>
      </c>
    </row>
    <row r="1250" spans="1:2">
      <c r="A1250" s="1">
        <v>44139</v>
      </c>
      <c r="B1250">
        <v>74.367999999999995</v>
      </c>
    </row>
    <row r="1251" spans="1:2">
      <c r="A1251" s="1">
        <v>44140</v>
      </c>
      <c r="B1251">
        <v>73.924999999999997</v>
      </c>
    </row>
    <row r="1252" spans="1:2">
      <c r="A1252" s="1">
        <v>44141</v>
      </c>
      <c r="B1252">
        <v>73.975999999999999</v>
      </c>
    </row>
    <row r="1253" spans="1:2">
      <c r="A1253" s="1">
        <v>44144</v>
      </c>
      <c r="B1253">
        <v>74.034999999999997</v>
      </c>
    </row>
    <row r="1254" spans="1:2">
      <c r="A1254" s="1">
        <v>44145</v>
      </c>
      <c r="B1254">
        <v>74.290000000000006</v>
      </c>
    </row>
    <row r="1255" spans="1:2">
      <c r="A1255" s="1">
        <v>44146</v>
      </c>
      <c r="B1255">
        <v>74.462000000000003</v>
      </c>
    </row>
    <row r="1256" spans="1:2">
      <c r="A1256" s="1">
        <v>44147</v>
      </c>
      <c r="B1256">
        <v>74.685000000000002</v>
      </c>
    </row>
    <row r="1257" spans="1:2">
      <c r="A1257" s="1">
        <v>44148</v>
      </c>
      <c r="B1257">
        <v>74.581999999999994</v>
      </c>
    </row>
    <row r="1258" spans="1:2">
      <c r="A1258" s="1">
        <v>44151</v>
      </c>
      <c r="B1258">
        <v>74.38</v>
      </c>
    </row>
    <row r="1259" spans="1:2">
      <c r="A1259" s="1">
        <v>44152</v>
      </c>
      <c r="B1259">
        <v>74.48</v>
      </c>
    </row>
    <row r="1260" spans="1:2">
      <c r="A1260" s="1">
        <v>44153</v>
      </c>
      <c r="B1260">
        <v>74.12</v>
      </c>
    </row>
    <row r="1261" spans="1:2">
      <c r="A1261" s="1">
        <v>44154</v>
      </c>
      <c r="B1261">
        <v>74.11</v>
      </c>
    </row>
    <row r="1262" spans="1:2">
      <c r="A1262" s="1">
        <v>44155</v>
      </c>
      <c r="B1262">
        <v>74.12</v>
      </c>
    </row>
    <row r="1263" spans="1:2">
      <c r="A1263" s="1">
        <v>44158</v>
      </c>
      <c r="B1263">
        <v>74.260000000000005</v>
      </c>
    </row>
    <row r="1264" spans="1:2">
      <c r="A1264" s="1">
        <v>44159</v>
      </c>
      <c r="B1264">
        <v>74.078999999999994</v>
      </c>
    </row>
    <row r="1265" spans="1:2">
      <c r="A1265" s="1">
        <v>44160</v>
      </c>
      <c r="B1265">
        <v>73.789000000000001</v>
      </c>
    </row>
    <row r="1266" spans="1:2">
      <c r="A1266" s="1">
        <v>44161</v>
      </c>
      <c r="B1266">
        <v>73.837000000000003</v>
      </c>
    </row>
    <row r="1267" spans="1:2">
      <c r="A1267" s="1">
        <v>44162</v>
      </c>
      <c r="B1267">
        <v>73.935000000000002</v>
      </c>
    </row>
    <row r="1268" spans="1:2">
      <c r="A1268" s="1">
        <v>44165</v>
      </c>
      <c r="B1268">
        <v>74</v>
      </c>
    </row>
    <row r="1269" spans="1:2">
      <c r="A1269" s="1">
        <v>44166</v>
      </c>
      <c r="B1269">
        <v>73.5</v>
      </c>
    </row>
    <row r="1270" spans="1:2">
      <c r="A1270" s="1">
        <v>44167</v>
      </c>
      <c r="B1270">
        <v>73.77</v>
      </c>
    </row>
    <row r="1271" spans="1:2">
      <c r="A1271" s="1">
        <v>44168</v>
      </c>
      <c r="B1271">
        <v>73.87</v>
      </c>
    </row>
    <row r="1272" spans="1:2">
      <c r="A1272" s="1">
        <v>44169</v>
      </c>
      <c r="B1272">
        <v>73.775999999999996</v>
      </c>
    </row>
    <row r="1273" spans="1:2">
      <c r="A1273" s="1">
        <v>44172</v>
      </c>
      <c r="B1273">
        <v>73.778999999999996</v>
      </c>
    </row>
    <row r="1274" spans="1:2">
      <c r="A1274" s="1">
        <v>44173</v>
      </c>
      <c r="B1274">
        <v>73.724999999999994</v>
      </c>
    </row>
    <row r="1275" spans="1:2">
      <c r="A1275" s="1">
        <v>44174</v>
      </c>
      <c r="B1275">
        <v>73.73</v>
      </c>
    </row>
    <row r="1276" spans="1:2">
      <c r="A1276" s="1">
        <v>44175</v>
      </c>
      <c r="B1276">
        <v>73.745000000000005</v>
      </c>
    </row>
    <row r="1277" spans="1:2">
      <c r="A1277" s="1">
        <v>44176</v>
      </c>
      <c r="B1277">
        <v>73.738</v>
      </c>
    </row>
    <row r="1278" spans="1:2">
      <c r="A1278" s="1">
        <v>44179</v>
      </c>
      <c r="B1278">
        <v>73.64</v>
      </c>
    </row>
    <row r="1279" spans="1:2">
      <c r="A1279" s="1">
        <v>44180</v>
      </c>
      <c r="B1279">
        <v>73.558000000000007</v>
      </c>
    </row>
    <row r="1280" spans="1:2">
      <c r="A1280" s="1">
        <v>44181</v>
      </c>
      <c r="B1280">
        <v>73.64</v>
      </c>
    </row>
    <row r="1281" spans="1:2">
      <c r="A1281" s="1">
        <v>44182</v>
      </c>
      <c r="B1281">
        <v>73.525000000000006</v>
      </c>
    </row>
    <row r="1282" spans="1:2">
      <c r="A1282" s="1">
        <v>44183</v>
      </c>
      <c r="B1282">
        <v>73.575000000000003</v>
      </c>
    </row>
    <row r="1283" spans="1:2">
      <c r="A1283" s="1">
        <v>44186</v>
      </c>
      <c r="B1283">
        <v>74.028000000000006</v>
      </c>
    </row>
    <row r="1284" spans="1:2">
      <c r="A1284" s="1">
        <v>44187</v>
      </c>
      <c r="B1284">
        <v>73.853999999999999</v>
      </c>
    </row>
    <row r="1285" spans="1:2">
      <c r="A1285" s="1">
        <v>44188</v>
      </c>
      <c r="B1285">
        <v>73.78</v>
      </c>
    </row>
    <row r="1286" spans="1:2">
      <c r="A1286" s="1">
        <v>44189</v>
      </c>
      <c r="B1286">
        <v>73.555000000000007</v>
      </c>
    </row>
    <row r="1287" spans="1:2">
      <c r="A1287" s="1">
        <v>44190</v>
      </c>
      <c r="B1287">
        <v>73.558000000000007</v>
      </c>
    </row>
    <row r="1288" spans="1:2">
      <c r="A1288" s="1">
        <v>44193</v>
      </c>
      <c r="B1288">
        <v>73.548000000000002</v>
      </c>
    </row>
    <row r="1289" spans="1:2">
      <c r="A1289" s="1">
        <v>44194</v>
      </c>
      <c r="B1289">
        <v>73.405000000000001</v>
      </c>
    </row>
    <row r="1290" spans="1:2">
      <c r="A1290" s="1">
        <v>44195</v>
      </c>
      <c r="B1290">
        <v>73.144000000000005</v>
      </c>
    </row>
    <row r="1291" spans="1:2">
      <c r="A1291" s="1">
        <v>44196</v>
      </c>
      <c r="B1291">
        <v>73.054000000000002</v>
      </c>
    </row>
    <row r="1292" spans="1:2">
      <c r="A1292" s="1">
        <v>44197</v>
      </c>
      <c r="B1292">
        <v>73.125</v>
      </c>
    </row>
    <row r="1293" spans="1:2">
      <c r="A1293" s="1">
        <v>44200</v>
      </c>
      <c r="B1293">
        <v>73.08</v>
      </c>
    </row>
    <row r="1294" spans="1:2">
      <c r="A1294" s="1">
        <v>44201</v>
      </c>
      <c r="B1294">
        <v>73.13</v>
      </c>
    </row>
    <row r="1295" spans="1:2">
      <c r="A1295" s="1">
        <v>44202</v>
      </c>
      <c r="B1295">
        <v>73.135999999999996</v>
      </c>
    </row>
    <row r="1296" spans="1:2">
      <c r="A1296" s="1">
        <v>44203</v>
      </c>
      <c r="B1296">
        <v>73.430000000000007</v>
      </c>
    </row>
    <row r="1297" spans="1:2">
      <c r="A1297" s="1">
        <v>44204</v>
      </c>
      <c r="B1297">
        <v>73.34</v>
      </c>
    </row>
    <row r="1298" spans="1:2">
      <c r="A1298" s="1">
        <v>44207</v>
      </c>
      <c r="B1298">
        <v>73.474000000000004</v>
      </c>
    </row>
    <row r="1299" spans="1:2">
      <c r="A1299" s="1">
        <v>44208</v>
      </c>
      <c r="B1299">
        <v>73.224999999999994</v>
      </c>
    </row>
    <row r="1300" spans="1:2">
      <c r="A1300" s="1">
        <v>44209</v>
      </c>
      <c r="B1300">
        <v>73.17</v>
      </c>
    </row>
    <row r="1301" spans="1:2">
      <c r="A1301" s="1">
        <v>44210</v>
      </c>
      <c r="B1301">
        <v>73.08</v>
      </c>
    </row>
    <row r="1302" spans="1:2">
      <c r="A1302" s="1">
        <v>44211</v>
      </c>
      <c r="B1302">
        <v>73.13</v>
      </c>
    </row>
    <row r="1303" spans="1:2">
      <c r="A1303" s="1">
        <v>44214</v>
      </c>
      <c r="B1303">
        <v>73.188000000000002</v>
      </c>
    </row>
    <row r="1304" spans="1:2">
      <c r="A1304" s="1">
        <v>44215</v>
      </c>
      <c r="B1304">
        <v>73.191999999999993</v>
      </c>
    </row>
    <row r="1305" spans="1:2">
      <c r="A1305" s="1">
        <v>44216</v>
      </c>
      <c r="B1305">
        <v>72.915000000000006</v>
      </c>
    </row>
    <row r="1306" spans="1:2">
      <c r="A1306" s="1">
        <v>44217</v>
      </c>
      <c r="B1306">
        <v>72.97</v>
      </c>
    </row>
    <row r="1307" spans="1:2">
      <c r="A1307" s="1">
        <v>44218</v>
      </c>
      <c r="B1307">
        <v>72.984999999999999</v>
      </c>
    </row>
    <row r="1308" spans="1:2">
      <c r="A1308" s="1">
        <v>44221</v>
      </c>
      <c r="B1308">
        <v>72.97</v>
      </c>
    </row>
    <row r="1309" spans="1:2">
      <c r="A1309" s="1">
        <v>44222</v>
      </c>
      <c r="B1309">
        <v>72.915000000000006</v>
      </c>
    </row>
    <row r="1310" spans="1:2">
      <c r="A1310" s="1">
        <v>44223</v>
      </c>
      <c r="B1310">
        <v>73.069999999999993</v>
      </c>
    </row>
    <row r="1311" spans="1:2">
      <c r="A1311" s="1">
        <v>44224</v>
      </c>
      <c r="B1311">
        <v>72.944000000000003</v>
      </c>
    </row>
    <row r="1312" spans="1:2">
      <c r="A1312" s="1">
        <v>44225</v>
      </c>
      <c r="B1312">
        <v>72.906000000000006</v>
      </c>
    </row>
    <row r="1313" spans="1:2">
      <c r="A1313" s="1">
        <v>44228</v>
      </c>
      <c r="B1313">
        <v>73.12</v>
      </c>
    </row>
    <row r="1314" spans="1:2">
      <c r="A1314" s="1">
        <v>44229</v>
      </c>
      <c r="B1314">
        <v>72.917000000000002</v>
      </c>
    </row>
    <row r="1315" spans="1:2">
      <c r="A1315" s="1">
        <v>44230</v>
      </c>
      <c r="B1315">
        <v>72.814999999999998</v>
      </c>
    </row>
    <row r="1316" spans="1:2">
      <c r="A1316" s="1">
        <v>44231</v>
      </c>
      <c r="B1316">
        <v>72.954999999999998</v>
      </c>
    </row>
    <row r="1317" spans="1:2">
      <c r="A1317" s="1">
        <v>44232</v>
      </c>
      <c r="B1317">
        <v>72.814999999999998</v>
      </c>
    </row>
    <row r="1318" spans="1:2">
      <c r="A1318" s="1">
        <v>44235</v>
      </c>
      <c r="B1318">
        <v>72.935000000000002</v>
      </c>
    </row>
    <row r="1319" spans="1:2">
      <c r="A1319" s="1">
        <v>44236</v>
      </c>
      <c r="B1319">
        <v>72.855999999999995</v>
      </c>
    </row>
    <row r="1320" spans="1:2">
      <c r="A1320" s="1">
        <v>44237</v>
      </c>
      <c r="B1320">
        <v>72.795000000000002</v>
      </c>
    </row>
    <row r="1321" spans="1:2">
      <c r="A1321" s="1">
        <v>44238</v>
      </c>
      <c r="B1321">
        <v>72.709999999999994</v>
      </c>
    </row>
    <row r="1322" spans="1:2">
      <c r="A1322" s="1">
        <v>44239</v>
      </c>
      <c r="B1322">
        <v>72.594999999999999</v>
      </c>
    </row>
    <row r="1323" spans="1:2">
      <c r="A1323" s="1">
        <v>44242</v>
      </c>
      <c r="B1323">
        <v>72.623999999999995</v>
      </c>
    </row>
    <row r="1324" spans="1:2">
      <c r="A1324" s="1">
        <v>44243</v>
      </c>
      <c r="B1324">
        <v>72.87</v>
      </c>
    </row>
    <row r="1325" spans="1:2">
      <c r="A1325" s="1">
        <v>44244</v>
      </c>
      <c r="B1325">
        <v>72.834999999999994</v>
      </c>
    </row>
    <row r="1326" spans="1:2">
      <c r="A1326" s="1">
        <v>44245</v>
      </c>
      <c r="B1326">
        <v>72.584999999999994</v>
      </c>
    </row>
    <row r="1327" spans="1:2">
      <c r="A1327" s="1">
        <v>44246</v>
      </c>
      <c r="B1327">
        <v>72.56</v>
      </c>
    </row>
    <row r="1328" spans="1:2">
      <c r="A1328" s="1">
        <v>44249</v>
      </c>
      <c r="B1328">
        <v>72.45</v>
      </c>
    </row>
    <row r="1329" spans="1:2">
      <c r="A1329" s="1">
        <v>44250</v>
      </c>
      <c r="B1329">
        <v>72.382000000000005</v>
      </c>
    </row>
    <row r="1330" spans="1:2">
      <c r="A1330" s="1">
        <v>44251</v>
      </c>
      <c r="B1330">
        <v>72.39</v>
      </c>
    </row>
    <row r="1331" spans="1:2">
      <c r="A1331" s="1">
        <v>44252</v>
      </c>
      <c r="B1331">
        <v>72.745000000000005</v>
      </c>
    </row>
    <row r="1332" spans="1:2">
      <c r="A1332" s="1">
        <v>44253</v>
      </c>
      <c r="B1332">
        <v>73.936999999999998</v>
      </c>
    </row>
    <row r="1333" spans="1:2">
      <c r="A1333" s="1">
        <v>44256</v>
      </c>
      <c r="B1333">
        <v>73.405000000000001</v>
      </c>
    </row>
    <row r="1334" spans="1:2">
      <c r="A1334" s="1">
        <v>44257</v>
      </c>
      <c r="B1334">
        <v>73.260000000000005</v>
      </c>
    </row>
    <row r="1335" spans="1:2">
      <c r="A1335" s="1">
        <v>44258</v>
      </c>
      <c r="B1335">
        <v>72.94</v>
      </c>
    </row>
    <row r="1336" spans="1:2">
      <c r="A1336" s="1">
        <v>44259</v>
      </c>
      <c r="B1336">
        <v>72.739000000000004</v>
      </c>
    </row>
    <row r="1337" spans="1:2">
      <c r="A1337" s="1">
        <v>44260</v>
      </c>
      <c r="B1337">
        <v>73.19</v>
      </c>
    </row>
    <row r="1338" spans="1:2">
      <c r="A1338" s="1">
        <v>44263</v>
      </c>
      <c r="B1338">
        <v>73.36</v>
      </c>
    </row>
    <row r="1339" spans="1:2">
      <c r="A1339" s="1">
        <v>44264</v>
      </c>
      <c r="B1339">
        <v>72.775999999999996</v>
      </c>
    </row>
    <row r="1340" spans="1:2">
      <c r="A1340" s="1">
        <v>44265</v>
      </c>
      <c r="B1340">
        <v>72.73</v>
      </c>
    </row>
    <row r="1341" spans="1:2">
      <c r="A1341" s="1">
        <v>44266</v>
      </c>
      <c r="B1341">
        <v>72.7</v>
      </c>
    </row>
    <row r="1342" spans="1:2">
      <c r="A1342" s="1">
        <v>44267</v>
      </c>
      <c r="B1342">
        <v>72.69</v>
      </c>
    </row>
    <row r="1343" spans="1:2">
      <c r="A1343" s="1">
        <v>44270</v>
      </c>
      <c r="B1343">
        <v>72.534999999999997</v>
      </c>
    </row>
    <row r="1344" spans="1:2">
      <c r="A1344" s="1">
        <v>44271</v>
      </c>
      <c r="B1344">
        <v>72.515000000000001</v>
      </c>
    </row>
    <row r="1345" spans="1:2">
      <c r="A1345" s="1">
        <v>44272</v>
      </c>
      <c r="B1345">
        <v>72.569999999999993</v>
      </c>
    </row>
    <row r="1346" spans="1:2">
      <c r="A1346" s="1">
        <v>44273</v>
      </c>
      <c r="B1346">
        <v>72.7</v>
      </c>
    </row>
    <row r="1347" spans="1:2">
      <c r="A1347" s="1">
        <v>44274</v>
      </c>
      <c r="B1347">
        <v>72.412999999999997</v>
      </c>
    </row>
    <row r="1348" spans="1:2">
      <c r="A1348" s="1">
        <v>44277</v>
      </c>
      <c r="B1348">
        <v>72.38</v>
      </c>
    </row>
    <row r="1349" spans="1:2">
      <c r="A1349" s="1">
        <v>44278</v>
      </c>
      <c r="B1349">
        <v>72.555000000000007</v>
      </c>
    </row>
    <row r="1350" spans="1:2">
      <c r="A1350" s="1">
        <v>44279</v>
      </c>
      <c r="B1350">
        <v>72.594999999999999</v>
      </c>
    </row>
    <row r="1351" spans="1:2">
      <c r="A1351" s="1">
        <v>44280</v>
      </c>
      <c r="B1351">
        <v>72.665000000000006</v>
      </c>
    </row>
    <row r="1352" spans="1:2">
      <c r="A1352" s="1">
        <v>44281</v>
      </c>
      <c r="B1352">
        <v>72.614999999999995</v>
      </c>
    </row>
    <row r="1353" spans="1:2">
      <c r="A1353" s="1">
        <v>44284</v>
      </c>
      <c r="B1353">
        <v>72.754999999999995</v>
      </c>
    </row>
    <row r="1354" spans="1:2">
      <c r="A1354" s="1">
        <v>44285</v>
      </c>
      <c r="B1354">
        <v>73.444999999999993</v>
      </c>
    </row>
    <row r="1355" spans="1:2">
      <c r="A1355" s="1">
        <v>44286</v>
      </c>
      <c r="B1355">
        <v>73.147999999999996</v>
      </c>
    </row>
    <row r="1356" spans="1:2">
      <c r="A1356" s="1">
        <v>44287</v>
      </c>
      <c r="B1356">
        <v>73.331999999999994</v>
      </c>
    </row>
    <row r="1357" spans="1:2">
      <c r="A1357" s="1">
        <v>44288</v>
      </c>
      <c r="B1357">
        <v>73.385000000000005</v>
      </c>
    </row>
    <row r="1358" spans="1:2">
      <c r="A1358" s="1">
        <v>44291</v>
      </c>
      <c r="B1358">
        <v>73.319000000000003</v>
      </c>
    </row>
    <row r="1359" spans="1:2">
      <c r="A1359" s="1">
        <v>44292</v>
      </c>
      <c r="B1359">
        <v>73.489999999999995</v>
      </c>
    </row>
    <row r="1360" spans="1:2">
      <c r="A1360" s="1">
        <v>44293</v>
      </c>
      <c r="B1360">
        <v>74.367999999999995</v>
      </c>
    </row>
    <row r="1361" spans="1:2">
      <c r="A1361" s="1">
        <v>44294</v>
      </c>
      <c r="B1361">
        <v>74.576999999999998</v>
      </c>
    </row>
    <row r="1362" spans="1:2">
      <c r="A1362" s="1">
        <v>44295</v>
      </c>
      <c r="B1362">
        <v>74.733999999999995</v>
      </c>
    </row>
    <row r="1363" spans="1:2">
      <c r="A1363" s="1">
        <v>44298</v>
      </c>
      <c r="B1363">
        <v>74.989999999999995</v>
      </c>
    </row>
    <row r="1364" spans="1:2">
      <c r="A1364" s="1">
        <v>44299</v>
      </c>
      <c r="B1364">
        <v>75.27</v>
      </c>
    </row>
    <row r="1365" spans="1:2">
      <c r="A1365" s="1">
        <v>44300</v>
      </c>
      <c r="B1365">
        <v>75.06</v>
      </c>
    </row>
    <row r="1366" spans="1:2">
      <c r="A1366" s="1">
        <v>44301</v>
      </c>
      <c r="B1366">
        <v>74.73</v>
      </c>
    </row>
    <row r="1367" spans="1:2">
      <c r="A1367" s="1">
        <v>44302</v>
      </c>
      <c r="B1367">
        <v>74.540000000000006</v>
      </c>
    </row>
    <row r="1368" spans="1:2">
      <c r="A1368" s="1">
        <v>44305</v>
      </c>
      <c r="B1368">
        <v>74.86</v>
      </c>
    </row>
    <row r="1369" spans="1:2">
      <c r="A1369" s="1">
        <v>44306</v>
      </c>
      <c r="B1369">
        <v>75.394999999999996</v>
      </c>
    </row>
    <row r="1370" spans="1:2">
      <c r="A1370" s="1">
        <v>44307</v>
      </c>
      <c r="B1370">
        <v>75.438999999999993</v>
      </c>
    </row>
    <row r="1371" spans="1:2">
      <c r="A1371" s="1">
        <v>44308</v>
      </c>
      <c r="B1371">
        <v>75.12</v>
      </c>
    </row>
    <row r="1372" spans="1:2">
      <c r="A1372" s="1">
        <v>44309</v>
      </c>
      <c r="B1372">
        <v>74.930000000000007</v>
      </c>
    </row>
    <row r="1373" spans="1:2">
      <c r="A1373" s="1">
        <v>44312</v>
      </c>
      <c r="B1373">
        <v>74.757000000000005</v>
      </c>
    </row>
    <row r="1374" spans="1:2">
      <c r="A1374" s="1">
        <v>44313</v>
      </c>
      <c r="B1374">
        <v>74.59</v>
      </c>
    </row>
    <row r="1375" spans="1:2">
      <c r="A1375" s="1">
        <v>44314</v>
      </c>
      <c r="B1375">
        <v>74.492999999999995</v>
      </c>
    </row>
    <row r="1376" spans="1:2">
      <c r="A1376" s="1">
        <v>44315</v>
      </c>
      <c r="B1376">
        <v>74.099999999999994</v>
      </c>
    </row>
    <row r="1377" spans="1:2">
      <c r="A1377" s="1">
        <v>44316</v>
      </c>
      <c r="B1377">
        <v>74.055000000000007</v>
      </c>
    </row>
    <row r="1378" spans="1:2">
      <c r="A1378" s="1">
        <v>44319</v>
      </c>
      <c r="B1378">
        <v>73.819999999999993</v>
      </c>
    </row>
    <row r="1379" spans="1:2">
      <c r="A1379" s="1">
        <v>44320</v>
      </c>
      <c r="B1379">
        <v>73.77</v>
      </c>
    </row>
    <row r="1380" spans="1:2">
      <c r="A1380" s="1">
        <v>44321</v>
      </c>
      <c r="B1380">
        <v>73.81</v>
      </c>
    </row>
    <row r="1381" spans="1:2">
      <c r="A1381" s="1">
        <v>44322</v>
      </c>
      <c r="B1381">
        <v>73.605000000000004</v>
      </c>
    </row>
    <row r="1382" spans="1:2">
      <c r="A1382" s="1">
        <v>44323</v>
      </c>
      <c r="B1382">
        <v>73.254000000000005</v>
      </c>
    </row>
    <row r="1383" spans="1:2">
      <c r="A1383" s="1">
        <v>44326</v>
      </c>
      <c r="B1383">
        <v>73.459999999999994</v>
      </c>
    </row>
    <row r="1384" spans="1:2">
      <c r="A1384" s="1">
        <v>44327</v>
      </c>
      <c r="B1384">
        <v>73.375</v>
      </c>
    </row>
    <row r="1385" spans="1:2">
      <c r="A1385" s="1">
        <v>44328</v>
      </c>
      <c r="B1385">
        <v>73.537999999999997</v>
      </c>
    </row>
    <row r="1386" spans="1:2">
      <c r="A1386" s="1">
        <v>44329</v>
      </c>
      <c r="B1386">
        <v>73.48</v>
      </c>
    </row>
    <row r="1387" spans="1:2">
      <c r="A1387" s="1">
        <v>44330</v>
      </c>
      <c r="B1387">
        <v>73.3</v>
      </c>
    </row>
    <row r="1388" spans="1:2">
      <c r="A1388" s="1">
        <v>44333</v>
      </c>
      <c r="B1388">
        <v>73.334999999999994</v>
      </c>
    </row>
    <row r="1389" spans="1:2">
      <c r="A1389" s="1">
        <v>44334</v>
      </c>
      <c r="B1389">
        <v>73.055000000000007</v>
      </c>
    </row>
    <row r="1390" spans="1:2">
      <c r="A1390" s="1">
        <v>44335</v>
      </c>
      <c r="B1390">
        <v>73.22</v>
      </c>
    </row>
    <row r="1391" spans="1:2">
      <c r="A1391" s="1">
        <v>44336</v>
      </c>
      <c r="B1391">
        <v>73.015000000000001</v>
      </c>
    </row>
    <row r="1392" spans="1:2">
      <c r="A1392" s="1">
        <v>44337</v>
      </c>
      <c r="B1392">
        <v>72.826999999999998</v>
      </c>
    </row>
    <row r="1393" spans="1:2">
      <c r="A1393" s="1">
        <v>44340</v>
      </c>
      <c r="B1393">
        <v>72.834999999999994</v>
      </c>
    </row>
    <row r="1394" spans="1:2">
      <c r="A1394" s="1">
        <v>44341</v>
      </c>
      <c r="B1394">
        <v>72.795000000000002</v>
      </c>
    </row>
    <row r="1395" spans="1:2">
      <c r="A1395" s="1">
        <v>44342</v>
      </c>
      <c r="B1395">
        <v>72.724999999999994</v>
      </c>
    </row>
    <row r="1396" spans="1:2">
      <c r="A1396" s="1">
        <v>44343</v>
      </c>
      <c r="B1396">
        <v>72.709999999999994</v>
      </c>
    </row>
    <row r="1397" spans="1:2">
      <c r="A1397" s="1">
        <v>44344</v>
      </c>
      <c r="B1397">
        <v>72.41</v>
      </c>
    </row>
    <row r="1398" spans="1:2">
      <c r="A1398" s="1">
        <v>44347</v>
      </c>
      <c r="B1398">
        <v>72.518000000000001</v>
      </c>
    </row>
    <row r="1399" spans="1:2">
      <c r="A1399" s="1">
        <v>44348</v>
      </c>
      <c r="B1399">
        <v>72.864999999999995</v>
      </c>
    </row>
    <row r="1400" spans="1:2">
      <c r="A1400" s="1">
        <v>44349</v>
      </c>
      <c r="B1400">
        <v>72.959999999999994</v>
      </c>
    </row>
    <row r="1401" spans="1:2">
      <c r="A1401" s="1">
        <v>44350</v>
      </c>
      <c r="B1401">
        <v>73.045000000000002</v>
      </c>
    </row>
    <row r="1402" spans="1:2">
      <c r="A1402" s="1">
        <v>44351</v>
      </c>
      <c r="B1402">
        <v>72.87</v>
      </c>
    </row>
    <row r="1403" spans="1:2">
      <c r="A1403" s="1">
        <v>44354</v>
      </c>
      <c r="B1403">
        <v>72.811000000000007</v>
      </c>
    </row>
    <row r="1404" spans="1:2">
      <c r="A1404" s="1">
        <v>44355</v>
      </c>
      <c r="B1404">
        <v>72.954999999999998</v>
      </c>
    </row>
    <row r="1405" spans="1:2">
      <c r="A1405" s="1">
        <v>44356</v>
      </c>
      <c r="B1405">
        <v>72.984999999999999</v>
      </c>
    </row>
    <row r="1406" spans="1:2">
      <c r="A1406" s="1">
        <v>44357</v>
      </c>
      <c r="B1406">
        <v>73.08</v>
      </c>
    </row>
    <row r="1407" spans="1:2">
      <c r="A1407" s="1">
        <v>44358</v>
      </c>
      <c r="B1407">
        <v>73.245000000000005</v>
      </c>
    </row>
    <row r="1408" spans="1:2">
      <c r="A1408" s="1">
        <v>44361</v>
      </c>
      <c r="B1408">
        <v>73.185000000000002</v>
      </c>
    </row>
    <row r="1409" spans="1:2">
      <c r="A1409" s="1">
        <v>44362</v>
      </c>
      <c r="B1409">
        <v>73.36</v>
      </c>
    </row>
    <row r="1410" spans="1:2">
      <c r="A1410" s="1">
        <v>44363</v>
      </c>
      <c r="B1410">
        <v>73.275000000000006</v>
      </c>
    </row>
    <row r="1411" spans="1:2">
      <c r="A1411" s="1">
        <v>44364</v>
      </c>
      <c r="B1411">
        <v>74.186000000000007</v>
      </c>
    </row>
    <row r="1412" spans="1:2">
      <c r="A1412" s="1">
        <v>44365</v>
      </c>
      <c r="B1412">
        <v>74.12</v>
      </c>
    </row>
    <row r="1413" spans="1:2">
      <c r="A1413" s="1">
        <v>44368</v>
      </c>
      <c r="B1413">
        <v>74.14</v>
      </c>
    </row>
    <row r="1414" spans="1:2">
      <c r="A1414" s="1">
        <v>44369</v>
      </c>
      <c r="B1414">
        <v>74.34</v>
      </c>
    </row>
    <row r="1415" spans="1:2">
      <c r="A1415" s="1">
        <v>44370</v>
      </c>
      <c r="B1415">
        <v>74.150000000000006</v>
      </c>
    </row>
    <row r="1416" spans="1:2">
      <c r="A1416" s="1">
        <v>44371</v>
      </c>
      <c r="B1416">
        <v>74.19</v>
      </c>
    </row>
    <row r="1417" spans="1:2">
      <c r="A1417" s="1">
        <v>44372</v>
      </c>
      <c r="B1417">
        <v>74.22</v>
      </c>
    </row>
    <row r="1418" spans="1:2">
      <c r="A1418" s="1">
        <v>44375</v>
      </c>
      <c r="B1418">
        <v>74.275000000000006</v>
      </c>
    </row>
    <row r="1419" spans="1:2">
      <c r="A1419" s="1">
        <v>44376</v>
      </c>
      <c r="B1419">
        <v>74.3</v>
      </c>
    </row>
    <row r="1420" spans="1:2">
      <c r="A1420" s="1">
        <v>44377</v>
      </c>
      <c r="B1420">
        <v>74.364999999999995</v>
      </c>
    </row>
    <row r="1421" spans="1:2">
      <c r="A1421" s="1">
        <v>44378</v>
      </c>
      <c r="B1421">
        <v>74.564999999999998</v>
      </c>
    </row>
    <row r="1422" spans="1:2">
      <c r="A1422" s="1">
        <v>44379</v>
      </c>
      <c r="B1422">
        <v>74.518000000000001</v>
      </c>
    </row>
    <row r="1423" spans="1:2">
      <c r="A1423" s="1">
        <v>44382</v>
      </c>
      <c r="B1423">
        <v>74.316999999999993</v>
      </c>
    </row>
    <row r="1424" spans="1:2">
      <c r="A1424" s="1">
        <v>44383</v>
      </c>
      <c r="B1424">
        <v>74.590999999999994</v>
      </c>
    </row>
    <row r="1425" spans="1:2">
      <c r="A1425" s="1">
        <v>44384</v>
      </c>
      <c r="B1425">
        <v>74.8</v>
      </c>
    </row>
    <row r="1426" spans="1:2">
      <c r="A1426" s="1">
        <v>44385</v>
      </c>
      <c r="B1426">
        <v>74.739999999999995</v>
      </c>
    </row>
    <row r="1427" spans="1:2">
      <c r="A1427" s="1">
        <v>44386</v>
      </c>
      <c r="B1427">
        <v>74.486999999999995</v>
      </c>
    </row>
    <row r="1428" spans="1:2">
      <c r="A1428" s="1">
        <v>44389</v>
      </c>
      <c r="B1428">
        <v>74.545000000000002</v>
      </c>
    </row>
    <row r="1429" spans="1:2">
      <c r="A1429" s="1">
        <v>44390</v>
      </c>
      <c r="B1429">
        <v>74.599999999999994</v>
      </c>
    </row>
    <row r="1430" spans="1:2">
      <c r="A1430" s="1">
        <v>44391</v>
      </c>
      <c r="B1430">
        <v>74.47</v>
      </c>
    </row>
    <row r="1431" spans="1:2">
      <c r="A1431" s="1">
        <v>44392</v>
      </c>
      <c r="B1431">
        <v>74.55</v>
      </c>
    </row>
    <row r="1432" spans="1:2">
      <c r="A1432" s="1">
        <v>44393</v>
      </c>
      <c r="B1432">
        <v>74.61</v>
      </c>
    </row>
    <row r="1433" spans="1:2">
      <c r="A1433" s="1">
        <v>44396</v>
      </c>
      <c r="B1433">
        <v>74.858000000000004</v>
      </c>
    </row>
    <row r="1434" spans="1:2">
      <c r="A1434" s="1">
        <v>44397</v>
      </c>
      <c r="B1434">
        <v>74.534999999999997</v>
      </c>
    </row>
    <row r="1435" spans="1:2">
      <c r="A1435" s="1">
        <v>44398</v>
      </c>
      <c r="B1435">
        <v>74.495000000000005</v>
      </c>
    </row>
    <row r="1436" spans="1:2">
      <c r="A1436" s="1">
        <v>44399</v>
      </c>
      <c r="B1436">
        <v>74.454999999999998</v>
      </c>
    </row>
    <row r="1437" spans="1:2">
      <c r="A1437" s="1">
        <v>44400</v>
      </c>
      <c r="B1437">
        <v>74.427000000000007</v>
      </c>
    </row>
    <row r="1438" spans="1:2">
      <c r="A1438" s="1">
        <v>44403</v>
      </c>
      <c r="B1438">
        <v>74.34</v>
      </c>
    </row>
    <row r="1439" spans="1:2">
      <c r="A1439" s="1">
        <v>44404</v>
      </c>
      <c r="B1439">
        <v>74.504000000000005</v>
      </c>
    </row>
    <row r="1440" spans="1:2">
      <c r="A1440" s="1">
        <v>44405</v>
      </c>
      <c r="B1440">
        <v>74.5</v>
      </c>
    </row>
    <row r="1441" spans="1:2">
      <c r="A1441" s="1">
        <v>44406</v>
      </c>
      <c r="B1441">
        <v>74.248000000000005</v>
      </c>
    </row>
    <row r="1442" spans="1:2">
      <c r="A1442" s="1">
        <v>44407</v>
      </c>
      <c r="B1442">
        <v>74.343999999999994</v>
      </c>
    </row>
    <row r="1443" spans="1:2">
      <c r="A1443" s="1">
        <v>44410</v>
      </c>
      <c r="B1443">
        <v>74.355999999999995</v>
      </c>
    </row>
    <row r="1444" spans="1:2">
      <c r="A1444" s="1">
        <v>44411</v>
      </c>
      <c r="B1444">
        <v>74.251000000000005</v>
      </c>
    </row>
    <row r="1445" spans="1:2">
      <c r="A1445" s="1">
        <v>44412</v>
      </c>
      <c r="B1445">
        <v>74.174999999999997</v>
      </c>
    </row>
    <row r="1446" spans="1:2">
      <c r="A1446" s="1">
        <v>44413</v>
      </c>
      <c r="B1446">
        <v>74.099999999999994</v>
      </c>
    </row>
    <row r="1447" spans="1:2">
      <c r="A1447" s="1">
        <v>44414</v>
      </c>
      <c r="B1447">
        <v>74.242000000000004</v>
      </c>
    </row>
    <row r="1448" spans="1:2">
      <c r="A1448" s="1">
        <v>44417</v>
      </c>
      <c r="B1448">
        <v>74.488</v>
      </c>
    </row>
    <row r="1449" spans="1:2">
      <c r="A1449" s="1">
        <v>44418</v>
      </c>
      <c r="B1449">
        <v>74.435000000000002</v>
      </c>
    </row>
    <row r="1450" spans="1:2">
      <c r="A1450" s="1">
        <v>44419</v>
      </c>
      <c r="B1450">
        <v>74.263000000000005</v>
      </c>
    </row>
    <row r="1451" spans="1:2">
      <c r="A1451" s="1">
        <v>44420</v>
      </c>
      <c r="B1451">
        <v>74.314999999999998</v>
      </c>
    </row>
    <row r="1452" spans="1:2">
      <c r="A1452" s="1">
        <v>44421</v>
      </c>
      <c r="B1452">
        <v>74.242000000000004</v>
      </c>
    </row>
    <row r="1453" spans="1:2">
      <c r="A1453" s="1">
        <v>44424</v>
      </c>
      <c r="B1453">
        <v>74.17</v>
      </c>
    </row>
    <row r="1454" spans="1:2">
      <c r="A1454" s="1">
        <v>44425</v>
      </c>
      <c r="B1454">
        <v>74.375</v>
      </c>
    </row>
    <row r="1455" spans="1:2">
      <c r="A1455" s="1">
        <v>44426</v>
      </c>
      <c r="B1455">
        <v>74.290000000000006</v>
      </c>
    </row>
    <row r="1456" spans="1:2">
      <c r="A1456" s="1">
        <v>44427</v>
      </c>
      <c r="B1456">
        <v>74.38</v>
      </c>
    </row>
    <row r="1457" spans="1:2">
      <c r="A1457" s="1">
        <v>44428</v>
      </c>
      <c r="B1457">
        <v>74.352000000000004</v>
      </c>
    </row>
    <row r="1458" spans="1:2">
      <c r="A1458" s="1">
        <v>44431</v>
      </c>
      <c r="B1458">
        <v>74.135000000000005</v>
      </c>
    </row>
    <row r="1459" spans="1:2">
      <c r="A1459" s="1">
        <v>44432</v>
      </c>
      <c r="B1459">
        <v>74.135999999999996</v>
      </c>
    </row>
    <row r="1460" spans="1:2">
      <c r="A1460" s="1">
        <v>44433</v>
      </c>
      <c r="B1460">
        <v>74.12</v>
      </c>
    </row>
    <row r="1461" spans="1:2">
      <c r="A1461" s="1">
        <v>44434</v>
      </c>
      <c r="B1461">
        <v>74.155000000000001</v>
      </c>
    </row>
    <row r="1462" spans="1:2">
      <c r="A1462" s="1">
        <v>44435</v>
      </c>
      <c r="B1462">
        <v>73.474999999999994</v>
      </c>
    </row>
    <row r="1463" spans="1:2">
      <c r="A1463" s="1">
        <v>44438</v>
      </c>
      <c r="B1463">
        <v>73.299000000000007</v>
      </c>
    </row>
    <row r="1464" spans="1:2">
      <c r="A1464" s="1">
        <v>44439</v>
      </c>
      <c r="B1464">
        <v>72.950999999999993</v>
      </c>
    </row>
    <row r="1465" spans="1:2">
      <c r="A1465" s="1">
        <v>44440</v>
      </c>
      <c r="B1465">
        <v>72.995000000000005</v>
      </c>
    </row>
    <row r="1466" spans="1:2">
      <c r="A1466" s="1">
        <v>44441</v>
      </c>
      <c r="B1466">
        <v>73.006</v>
      </c>
    </row>
    <row r="1467" spans="1:2">
      <c r="A1467" s="1">
        <v>44442</v>
      </c>
      <c r="B1467">
        <v>72.997</v>
      </c>
    </row>
    <row r="1468" spans="1:2">
      <c r="A1468" s="1">
        <v>44445</v>
      </c>
      <c r="B1468">
        <v>73.078000000000003</v>
      </c>
    </row>
    <row r="1469" spans="1:2">
      <c r="A1469" s="1">
        <v>44446</v>
      </c>
      <c r="B1469">
        <v>73.441999999999993</v>
      </c>
    </row>
    <row r="1470" spans="1:2">
      <c r="A1470" s="1">
        <v>44447</v>
      </c>
      <c r="B1470">
        <v>73.796000000000006</v>
      </c>
    </row>
    <row r="1471" spans="1:2">
      <c r="A1471" s="1">
        <v>44448</v>
      </c>
      <c r="B1471">
        <v>73.546000000000006</v>
      </c>
    </row>
    <row r="1472" spans="1:2">
      <c r="A1472" s="1">
        <v>44449</v>
      </c>
      <c r="B1472">
        <v>73.524000000000001</v>
      </c>
    </row>
    <row r="1473" spans="1:2">
      <c r="A1473" s="1">
        <v>44452</v>
      </c>
      <c r="B1473">
        <v>73.564999999999998</v>
      </c>
    </row>
    <row r="1474" spans="1:2">
      <c r="A1474" s="1">
        <v>44453</v>
      </c>
      <c r="B1474">
        <v>73.647000000000006</v>
      </c>
    </row>
    <row r="1475" spans="1:2">
      <c r="A1475" s="1">
        <v>44454</v>
      </c>
      <c r="B1475">
        <v>73.444999999999993</v>
      </c>
    </row>
    <row r="1476" spans="1:2">
      <c r="A1476" s="1">
        <v>44455</v>
      </c>
      <c r="B1476">
        <v>73.575000000000003</v>
      </c>
    </row>
    <row r="1477" spans="1:2">
      <c r="A1477" s="1">
        <v>44456</v>
      </c>
      <c r="B1477">
        <v>73.644999999999996</v>
      </c>
    </row>
    <row r="1478" spans="1:2">
      <c r="A1478" s="1">
        <v>44459</v>
      </c>
      <c r="B1478">
        <v>73.653000000000006</v>
      </c>
    </row>
    <row r="1479" spans="1:2">
      <c r="A1479" s="1">
        <v>44460</v>
      </c>
      <c r="B1479">
        <v>73.745000000000005</v>
      </c>
    </row>
    <row r="1480" spans="1:2">
      <c r="A1480" s="1">
        <v>44461</v>
      </c>
      <c r="B1480">
        <v>73.825000000000003</v>
      </c>
    </row>
    <row r="1481" spans="1:2">
      <c r="A1481" s="1">
        <v>44462</v>
      </c>
      <c r="B1481">
        <v>73.81</v>
      </c>
    </row>
    <row r="1482" spans="1:2">
      <c r="A1482" s="1">
        <v>44463</v>
      </c>
      <c r="B1482">
        <v>73.820999999999998</v>
      </c>
    </row>
    <row r="1483" spans="1:2">
      <c r="A1483" s="1">
        <v>44466</v>
      </c>
      <c r="B1483">
        <v>73.825000000000003</v>
      </c>
    </row>
    <row r="1484" spans="1:2">
      <c r="A1484" s="1">
        <v>44467</v>
      </c>
      <c r="B1484">
        <v>74.2</v>
      </c>
    </row>
    <row r="1485" spans="1:2">
      <c r="A1485" s="1">
        <v>44468</v>
      </c>
      <c r="B1485">
        <v>74.298000000000002</v>
      </c>
    </row>
    <row r="1486" spans="1:2">
      <c r="A1486" s="1">
        <v>44469</v>
      </c>
      <c r="B1486">
        <v>74.17</v>
      </c>
    </row>
    <row r="1487" spans="1:2">
      <c r="A1487" s="1">
        <v>44470</v>
      </c>
      <c r="B1487">
        <v>74.150000000000006</v>
      </c>
    </row>
    <row r="1488" spans="1:2">
      <c r="A1488" s="1">
        <v>44473</v>
      </c>
      <c r="B1488">
        <v>74.587999999999994</v>
      </c>
    </row>
    <row r="1489" spans="1:2">
      <c r="A1489" s="1">
        <v>44474</v>
      </c>
      <c r="B1489">
        <v>74.564999999999998</v>
      </c>
    </row>
    <row r="1490" spans="1:2">
      <c r="A1490" s="1">
        <v>44475</v>
      </c>
      <c r="B1490">
        <v>74.778000000000006</v>
      </c>
    </row>
    <row r="1491" spans="1:2">
      <c r="A1491" s="1">
        <v>44476</v>
      </c>
      <c r="B1491">
        <v>74.825000000000003</v>
      </c>
    </row>
    <row r="1492" spans="1:2">
      <c r="A1492" s="1">
        <v>44477</v>
      </c>
      <c r="B1492">
        <v>75.131</v>
      </c>
    </row>
    <row r="1493" spans="1:2">
      <c r="A1493" s="1">
        <v>44480</v>
      </c>
      <c r="B1493">
        <v>75.403000000000006</v>
      </c>
    </row>
    <row r="1494" spans="1:2">
      <c r="A1494" s="1">
        <v>44481</v>
      </c>
      <c r="B1494">
        <v>75.488</v>
      </c>
    </row>
    <row r="1495" spans="1:2">
      <c r="A1495" s="1">
        <v>44482</v>
      </c>
      <c r="B1495">
        <v>75.305999999999997</v>
      </c>
    </row>
    <row r="1496" spans="1:2">
      <c r="A1496" s="1">
        <v>44483</v>
      </c>
      <c r="B1496">
        <v>74.995000000000005</v>
      </c>
    </row>
    <row r="1497" spans="1:2">
      <c r="A1497" s="1">
        <v>44484</v>
      </c>
      <c r="B1497">
        <v>75.03</v>
      </c>
    </row>
    <row r="1498" spans="1:2">
      <c r="A1498" s="1">
        <v>44487</v>
      </c>
      <c r="B1498">
        <v>75.209999999999994</v>
      </c>
    </row>
    <row r="1499" spans="1:2">
      <c r="A1499" s="1">
        <v>44488</v>
      </c>
      <c r="B1499">
        <v>75.12</v>
      </c>
    </row>
    <row r="1500" spans="1:2">
      <c r="A1500" s="1">
        <v>44489</v>
      </c>
      <c r="B1500">
        <v>74.81</v>
      </c>
    </row>
    <row r="1501" spans="1:2">
      <c r="A1501" s="1">
        <v>44490</v>
      </c>
      <c r="B1501">
        <v>74.888999999999996</v>
      </c>
    </row>
    <row r="1502" spans="1:2">
      <c r="A1502" s="1">
        <v>44491</v>
      </c>
      <c r="B1502">
        <v>74.998999999999995</v>
      </c>
    </row>
    <row r="1503" spans="1:2">
      <c r="A1503" s="1">
        <v>44494</v>
      </c>
      <c r="B1503">
        <v>75.022000000000006</v>
      </c>
    </row>
    <row r="1504" spans="1:2">
      <c r="A1504" s="1">
        <v>44495</v>
      </c>
      <c r="B1504">
        <v>74.941999999999993</v>
      </c>
    </row>
    <row r="1505" spans="1:2">
      <c r="A1505" s="1">
        <v>44496</v>
      </c>
      <c r="B1505">
        <v>75.069000000000003</v>
      </c>
    </row>
    <row r="1506" spans="1:2">
      <c r="A1506" s="1">
        <v>44497</v>
      </c>
      <c r="B1506">
        <v>74.787999999999997</v>
      </c>
    </row>
    <row r="1507" spans="1:2">
      <c r="A1507" s="1">
        <v>44498</v>
      </c>
      <c r="B1507">
        <v>74.935000000000002</v>
      </c>
    </row>
    <row r="1508" spans="1:2">
      <c r="A1508" s="1">
        <v>44501</v>
      </c>
      <c r="B1508">
        <v>74.837000000000003</v>
      </c>
    </row>
    <row r="1509" spans="1:2">
      <c r="A1509" s="1">
        <v>44502</v>
      </c>
      <c r="B1509">
        <v>74.694999999999993</v>
      </c>
    </row>
    <row r="1510" spans="1:2">
      <c r="A1510" s="1">
        <v>44503</v>
      </c>
      <c r="B1510">
        <v>74.451999999999998</v>
      </c>
    </row>
    <row r="1511" spans="1:2">
      <c r="A1511" s="1">
        <v>44504</v>
      </c>
      <c r="B1511">
        <v>74.548000000000002</v>
      </c>
    </row>
    <row r="1512" spans="1:2">
      <c r="A1512" s="1">
        <v>44505</v>
      </c>
      <c r="B1512">
        <v>74.191000000000003</v>
      </c>
    </row>
    <row r="1513" spans="1:2">
      <c r="A1513" s="1">
        <v>44508</v>
      </c>
      <c r="B1513">
        <v>73.921000000000006</v>
      </c>
    </row>
    <row r="1514" spans="1:2">
      <c r="A1514" s="1">
        <v>44509</v>
      </c>
      <c r="B1514">
        <v>74.174999999999997</v>
      </c>
    </row>
    <row r="1515" spans="1:2">
      <c r="A1515" s="1">
        <v>44510</v>
      </c>
      <c r="B1515">
        <v>74.415000000000006</v>
      </c>
    </row>
    <row r="1516" spans="1:2">
      <c r="A1516" s="1">
        <v>44511</v>
      </c>
      <c r="B1516">
        <v>74.311999999999998</v>
      </c>
    </row>
    <row r="1517" spans="1:2">
      <c r="A1517" s="1">
        <v>44512</v>
      </c>
      <c r="B1517">
        <v>74.346999999999994</v>
      </c>
    </row>
    <row r="1518" spans="1:2">
      <c r="A1518" s="1">
        <v>44515</v>
      </c>
      <c r="B1518">
        <v>74.403999999999996</v>
      </c>
    </row>
    <row r="1519" spans="1:2">
      <c r="A1519" s="1">
        <v>44516</v>
      </c>
      <c r="B1519">
        <v>74.456999999999994</v>
      </c>
    </row>
    <row r="1520" spans="1:2">
      <c r="A1520" s="1">
        <v>44517</v>
      </c>
      <c r="B1520">
        <v>74.254999999999995</v>
      </c>
    </row>
    <row r="1521" spans="1:2">
      <c r="A1521" s="1">
        <v>44518</v>
      </c>
      <c r="B1521">
        <v>74.165000000000006</v>
      </c>
    </row>
    <row r="1522" spans="1:2">
      <c r="A1522" s="1">
        <v>44519</v>
      </c>
      <c r="B1522">
        <v>74.349999999999994</v>
      </c>
    </row>
    <row r="1523" spans="1:2">
      <c r="A1523" s="1">
        <v>44522</v>
      </c>
      <c r="B1523">
        <v>74.444999999999993</v>
      </c>
    </row>
    <row r="1524" spans="1:2">
      <c r="A1524" s="1">
        <v>44523</v>
      </c>
      <c r="B1524">
        <v>74.447000000000003</v>
      </c>
    </row>
    <row r="1525" spans="1:2">
      <c r="A1525" s="1">
        <v>44524</v>
      </c>
      <c r="B1525">
        <v>74.622</v>
      </c>
    </row>
    <row r="1526" spans="1:2">
      <c r="A1526" s="1">
        <v>44525</v>
      </c>
      <c r="B1526">
        <v>74.501999999999995</v>
      </c>
    </row>
    <row r="1527" spans="1:2">
      <c r="A1527" s="1">
        <v>44526</v>
      </c>
      <c r="B1527">
        <v>75.064999999999998</v>
      </c>
    </row>
    <row r="1528" spans="1:2">
      <c r="A1528" s="1">
        <v>44529</v>
      </c>
      <c r="B1528">
        <v>75.05</v>
      </c>
    </row>
    <row r="1529" spans="1:2">
      <c r="A1529" s="1">
        <v>44530</v>
      </c>
      <c r="B1529">
        <v>75.099999999999994</v>
      </c>
    </row>
    <row r="1530" spans="1:2">
      <c r="A1530" s="1">
        <v>44531</v>
      </c>
      <c r="B1530">
        <v>75.021000000000001</v>
      </c>
    </row>
    <row r="1531" spans="1:2">
      <c r="A1531" s="1">
        <v>44532</v>
      </c>
      <c r="B1531">
        <v>74.989000000000004</v>
      </c>
    </row>
    <row r="1532" spans="1:2">
      <c r="A1532" s="1">
        <v>44533</v>
      </c>
      <c r="B1532">
        <v>75.241</v>
      </c>
    </row>
    <row r="1533" spans="1:2">
      <c r="A1533" s="1">
        <v>44536</v>
      </c>
      <c r="B1533">
        <v>75.394999999999996</v>
      </c>
    </row>
    <row r="1534" spans="1:2">
      <c r="A1534" s="1">
        <v>44537</v>
      </c>
      <c r="B1534">
        <v>75.409000000000006</v>
      </c>
    </row>
    <row r="1535" spans="1:2">
      <c r="A1535" s="1">
        <v>44538</v>
      </c>
      <c r="B1535">
        <v>75.384</v>
      </c>
    </row>
    <row r="1536" spans="1:2">
      <c r="A1536" s="1">
        <v>44539</v>
      </c>
      <c r="B1536">
        <v>75.599000000000004</v>
      </c>
    </row>
    <row r="1537" spans="1:2">
      <c r="A1537" s="1">
        <v>44540</v>
      </c>
      <c r="B1537">
        <v>75.718000000000004</v>
      </c>
    </row>
    <row r="1538" spans="1:2">
      <c r="A1538" s="1">
        <v>44543</v>
      </c>
      <c r="B1538">
        <v>75.77</v>
      </c>
    </row>
    <row r="1539" spans="1:2">
      <c r="A1539" s="1">
        <v>44544</v>
      </c>
      <c r="B1539">
        <v>76.045000000000002</v>
      </c>
    </row>
    <row r="1540" spans="1:2">
      <c r="A1540" s="1">
        <v>44545</v>
      </c>
      <c r="B1540">
        <v>76.355000000000004</v>
      </c>
    </row>
    <row r="1541" spans="1:2">
      <c r="A1541" s="1">
        <v>44546</v>
      </c>
      <c r="B1541">
        <v>76.183999999999997</v>
      </c>
    </row>
    <row r="1542" spans="1:2">
      <c r="A1542" s="1">
        <v>44547</v>
      </c>
      <c r="B1542">
        <v>76.013000000000005</v>
      </c>
    </row>
    <row r="1543" spans="1:2">
      <c r="A1543" s="1">
        <v>44550</v>
      </c>
      <c r="B1543">
        <v>75.73</v>
      </c>
    </row>
    <row r="1544" spans="1:2">
      <c r="A1544" s="1">
        <v>44551</v>
      </c>
      <c r="B1544">
        <v>75.704999999999998</v>
      </c>
    </row>
    <row r="1545" spans="1:2">
      <c r="A1545" s="1">
        <v>44552</v>
      </c>
      <c r="B1545">
        <v>75.459999999999994</v>
      </c>
    </row>
    <row r="1546" spans="1:2">
      <c r="A1546" s="1">
        <v>44553</v>
      </c>
      <c r="B1546">
        <v>75.034999999999997</v>
      </c>
    </row>
    <row r="1547" spans="1:2">
      <c r="A1547" s="1">
        <v>44554</v>
      </c>
      <c r="B1547">
        <v>75.004000000000005</v>
      </c>
    </row>
    <row r="1548" spans="1:2">
      <c r="A1548" s="1">
        <v>44557</v>
      </c>
      <c r="B1548">
        <v>74.98</v>
      </c>
    </row>
    <row r="1549" spans="1:2">
      <c r="A1549" s="1">
        <v>44558</v>
      </c>
      <c r="B1549">
        <v>74.715000000000003</v>
      </c>
    </row>
    <row r="1550" spans="1:2">
      <c r="A1550" s="1">
        <v>44559</v>
      </c>
      <c r="B1550">
        <v>74.569999999999993</v>
      </c>
    </row>
    <row r="1551" spans="1:2">
      <c r="A1551" s="1">
        <v>44560</v>
      </c>
      <c r="B1551">
        <v>74.415000000000006</v>
      </c>
    </row>
    <row r="1552" spans="1:2">
      <c r="A1552" s="1">
        <v>44561</v>
      </c>
      <c r="B1552">
        <v>74.486000000000004</v>
      </c>
    </row>
    <row r="1553" spans="1:2">
      <c r="A1553" s="1">
        <v>44564</v>
      </c>
      <c r="B1553">
        <v>74.400000000000006</v>
      </c>
    </row>
    <row r="1554" spans="1:2">
      <c r="A1554" s="1">
        <v>44565</v>
      </c>
      <c r="B1554">
        <v>74.53</v>
      </c>
    </row>
    <row r="1555" spans="1:2">
      <c r="A1555" s="1">
        <v>44566</v>
      </c>
      <c r="B1555">
        <v>74.284999999999997</v>
      </c>
    </row>
    <row r="1556" spans="1:2">
      <c r="A1556" s="1">
        <v>44567</v>
      </c>
      <c r="B1556">
        <v>74.385000000000005</v>
      </c>
    </row>
    <row r="1557" spans="1:2">
      <c r="A1557" s="1">
        <v>44568</v>
      </c>
      <c r="B1557">
        <v>74.278000000000006</v>
      </c>
    </row>
    <row r="1558" spans="1:2">
      <c r="A1558" s="1">
        <v>44571</v>
      </c>
      <c r="B1558">
        <v>74.025000000000006</v>
      </c>
    </row>
    <row r="1559" spans="1:2">
      <c r="A1559" s="1">
        <v>44572</v>
      </c>
      <c r="B1559">
        <v>73.816999999999993</v>
      </c>
    </row>
    <row r="1560" spans="1:2">
      <c r="A1560" s="1">
        <v>44573</v>
      </c>
      <c r="B1560">
        <v>73.796999999999997</v>
      </c>
    </row>
    <row r="1561" spans="1:2">
      <c r="A1561" s="1">
        <v>44574</v>
      </c>
      <c r="B1561">
        <v>73.971999999999994</v>
      </c>
    </row>
    <row r="1562" spans="1:2">
      <c r="A1562" s="1">
        <v>44575</v>
      </c>
      <c r="B1562">
        <v>74.156000000000006</v>
      </c>
    </row>
    <row r="1563" spans="1:2">
      <c r="A1563" s="1">
        <v>44578</v>
      </c>
      <c r="B1563">
        <v>74.254999999999995</v>
      </c>
    </row>
    <row r="1564" spans="1:2">
      <c r="A1564" s="1">
        <v>44579</v>
      </c>
      <c r="B1564">
        <v>74.564999999999998</v>
      </c>
    </row>
    <row r="1565" spans="1:2">
      <c r="A1565" s="1">
        <v>44580</v>
      </c>
      <c r="B1565">
        <v>74.454999999999998</v>
      </c>
    </row>
    <row r="1566" spans="1:2">
      <c r="A1566" s="1">
        <v>44581</v>
      </c>
      <c r="B1566">
        <v>74.468000000000004</v>
      </c>
    </row>
    <row r="1567" spans="1:2">
      <c r="A1567" s="1">
        <v>44582</v>
      </c>
      <c r="B1567">
        <v>74.409000000000006</v>
      </c>
    </row>
    <row r="1568" spans="1:2">
      <c r="A1568" s="1">
        <v>44585</v>
      </c>
      <c r="B1568">
        <v>74.641999999999996</v>
      </c>
    </row>
    <row r="1569" spans="1:2">
      <c r="A1569" s="1">
        <v>44586</v>
      </c>
      <c r="B1569">
        <v>74.787000000000006</v>
      </c>
    </row>
    <row r="1570" spans="1:2">
      <c r="A1570" s="1">
        <v>44587</v>
      </c>
      <c r="B1570">
        <v>74.903000000000006</v>
      </c>
    </row>
    <row r="1571" spans="1:2">
      <c r="A1571" s="1">
        <v>44588</v>
      </c>
      <c r="B1571">
        <v>75.209000000000003</v>
      </c>
    </row>
    <row r="1572" spans="1:2">
      <c r="A1572" s="1">
        <v>44589</v>
      </c>
      <c r="B1572">
        <v>75.046000000000006</v>
      </c>
    </row>
    <row r="1573" spans="1:2">
      <c r="A1573" s="1">
        <v>44592</v>
      </c>
      <c r="B1573">
        <v>74.555999999999997</v>
      </c>
    </row>
    <row r="1574" spans="1:2">
      <c r="A1574" s="1">
        <v>44593</v>
      </c>
      <c r="B1574">
        <v>74.751000000000005</v>
      </c>
    </row>
    <row r="1575" spans="1:2">
      <c r="A1575" s="1">
        <v>44594</v>
      </c>
      <c r="B1575">
        <v>74.822999999999993</v>
      </c>
    </row>
    <row r="1576" spans="1:2">
      <c r="A1576" s="1">
        <v>44595</v>
      </c>
      <c r="B1576">
        <v>74.644000000000005</v>
      </c>
    </row>
    <row r="1577" spans="1:2">
      <c r="A1577" s="1">
        <v>44596</v>
      </c>
      <c r="B1577">
        <v>74.644999999999996</v>
      </c>
    </row>
    <row r="1578" spans="1:2">
      <c r="A1578" s="1">
        <v>44599</v>
      </c>
      <c r="B1578">
        <v>74.655000000000001</v>
      </c>
    </row>
    <row r="1579" spans="1:2">
      <c r="A1579" s="1">
        <v>44600</v>
      </c>
      <c r="B1579">
        <v>74.718999999999994</v>
      </c>
    </row>
    <row r="1580" spans="1:2">
      <c r="A1580" s="1">
        <v>44601</v>
      </c>
      <c r="B1580">
        <v>74.808000000000007</v>
      </c>
    </row>
    <row r="1581" spans="1:2">
      <c r="A1581" s="1">
        <v>44602</v>
      </c>
      <c r="B1581">
        <v>75.102000000000004</v>
      </c>
    </row>
    <row r="1582" spans="1:2">
      <c r="A1582" s="1">
        <v>44603</v>
      </c>
      <c r="B1582">
        <v>75.347999999999999</v>
      </c>
    </row>
    <row r="1583" spans="1:2">
      <c r="A1583" s="1">
        <v>44606</v>
      </c>
      <c r="B1583">
        <v>75.686000000000007</v>
      </c>
    </row>
    <row r="1584" spans="1:2">
      <c r="A1584" s="1">
        <v>44607</v>
      </c>
      <c r="B1584">
        <v>75.177000000000007</v>
      </c>
    </row>
    <row r="1585" spans="1:2">
      <c r="A1585" s="1">
        <v>44608</v>
      </c>
      <c r="B1585">
        <v>75.05</v>
      </c>
    </row>
    <row r="1586" spans="1:2">
      <c r="A1586" s="1">
        <v>44609</v>
      </c>
      <c r="B1586">
        <v>75.105000000000004</v>
      </c>
    </row>
    <row r="1587" spans="1:2">
      <c r="A1587" s="1">
        <v>44610</v>
      </c>
      <c r="B1587">
        <v>74.686999999999998</v>
      </c>
    </row>
    <row r="1588" spans="1:2">
      <c r="A1588" s="1">
        <v>44613</v>
      </c>
      <c r="B1588">
        <v>74.524000000000001</v>
      </c>
    </row>
    <row r="1589" spans="1:2">
      <c r="A1589" s="1">
        <v>44614</v>
      </c>
      <c r="B1589">
        <v>74.63</v>
      </c>
    </row>
    <row r="1590" spans="1:2">
      <c r="A1590" s="1">
        <v>44615</v>
      </c>
      <c r="B1590">
        <v>74.64</v>
      </c>
    </row>
    <row r="1591" spans="1:2">
      <c r="A1591" s="1">
        <v>44616</v>
      </c>
      <c r="B1591">
        <v>75.614999999999995</v>
      </c>
    </row>
    <row r="1592" spans="1:2">
      <c r="A1592" s="1">
        <v>44617</v>
      </c>
      <c r="B1592">
        <v>75.075000000000003</v>
      </c>
    </row>
    <row r="1593" spans="1:2">
      <c r="A1593" s="1">
        <v>44620</v>
      </c>
      <c r="B1593">
        <v>75.52</v>
      </c>
    </row>
    <row r="1594" spans="1:2">
      <c r="A1594" s="1">
        <v>44621</v>
      </c>
      <c r="B1594">
        <v>75.781999999999996</v>
      </c>
    </row>
    <row r="1595" spans="1:2">
      <c r="A1595" s="1">
        <v>44622</v>
      </c>
      <c r="B1595">
        <v>75.638000000000005</v>
      </c>
    </row>
    <row r="1596" spans="1:2">
      <c r="A1596" s="1">
        <v>44623</v>
      </c>
      <c r="B1596">
        <v>75.971000000000004</v>
      </c>
    </row>
    <row r="1597" spans="1:2">
      <c r="A1597" s="1">
        <v>44624</v>
      </c>
      <c r="B1597">
        <v>76.424999999999997</v>
      </c>
    </row>
    <row r="1598" spans="1:2">
      <c r="A1598" s="1">
        <v>44627</v>
      </c>
      <c r="B1598">
        <v>76.974999999999994</v>
      </c>
    </row>
    <row r="1599" spans="1:2">
      <c r="A1599" s="1">
        <v>44628</v>
      </c>
      <c r="B1599">
        <v>76.905000000000001</v>
      </c>
    </row>
    <row r="1600" spans="1:2">
      <c r="A1600" s="1">
        <v>44629</v>
      </c>
      <c r="B1600">
        <v>76.382000000000005</v>
      </c>
    </row>
    <row r="1601" spans="1:2">
      <c r="A1601" s="1">
        <v>44630</v>
      </c>
      <c r="B1601">
        <v>76.31</v>
      </c>
    </row>
    <row r="1602" spans="1:2">
      <c r="A1602" s="1">
        <v>44631</v>
      </c>
      <c r="B1602">
        <v>76.510999999999996</v>
      </c>
    </row>
    <row r="1603" spans="1:2">
      <c r="A1603" s="1">
        <v>44634</v>
      </c>
      <c r="B1603">
        <v>76.45</v>
      </c>
    </row>
    <row r="1604" spans="1:2">
      <c r="A1604" s="1">
        <v>44635</v>
      </c>
      <c r="B1604">
        <v>76.42</v>
      </c>
    </row>
    <row r="1605" spans="1:2">
      <c r="A1605" s="1">
        <v>44636</v>
      </c>
      <c r="B1605">
        <v>76.2</v>
      </c>
    </row>
    <row r="1606" spans="1:2">
      <c r="A1606" s="1">
        <v>44637</v>
      </c>
      <c r="B1606">
        <v>75.936999999999998</v>
      </c>
    </row>
    <row r="1607" spans="1:2">
      <c r="A1607" s="1">
        <v>44638</v>
      </c>
      <c r="B1607">
        <v>76.064999999999998</v>
      </c>
    </row>
    <row r="1608" spans="1:2">
      <c r="A1608" s="1">
        <v>44641</v>
      </c>
      <c r="B1608">
        <v>76.284999999999997</v>
      </c>
    </row>
    <row r="1609" spans="1:2">
      <c r="A1609" s="1">
        <v>44642</v>
      </c>
      <c r="B1609">
        <v>76.159000000000006</v>
      </c>
    </row>
    <row r="1610" spans="1:2">
      <c r="A1610" s="1">
        <v>44643</v>
      </c>
      <c r="B1610">
        <v>76.53</v>
      </c>
    </row>
    <row r="1611" spans="1:2">
      <c r="A1611" s="1">
        <v>44644</v>
      </c>
      <c r="B1611">
        <v>76.305000000000007</v>
      </c>
    </row>
    <row r="1612" spans="1:2">
      <c r="A1612" s="1">
        <v>44645</v>
      </c>
      <c r="B1612">
        <v>76.284999999999997</v>
      </c>
    </row>
    <row r="1613" spans="1:2">
      <c r="A1613" s="1">
        <v>44648</v>
      </c>
      <c r="B1613">
        <v>76.09</v>
      </c>
    </row>
    <row r="1614" spans="1:2">
      <c r="A1614" s="1">
        <v>44649</v>
      </c>
      <c r="B1614">
        <v>75.665999999999997</v>
      </c>
    </row>
    <row r="1615" spans="1:2">
      <c r="A1615" s="1">
        <v>44650</v>
      </c>
      <c r="B1615">
        <v>75.822999999999993</v>
      </c>
    </row>
    <row r="1616" spans="1:2">
      <c r="A1616" s="1">
        <v>44651</v>
      </c>
      <c r="B1616">
        <v>75.927999999999997</v>
      </c>
    </row>
    <row r="1617" spans="1:2">
      <c r="A1617" s="1">
        <v>44652</v>
      </c>
      <c r="B1617">
        <v>75.995000000000005</v>
      </c>
    </row>
    <row r="1618" spans="1:2">
      <c r="A1618" s="1">
        <v>44655</v>
      </c>
      <c r="B1618">
        <v>75.450999999999993</v>
      </c>
    </row>
    <row r="1619" spans="1:2">
      <c r="A1619" s="1">
        <v>44656</v>
      </c>
      <c r="B1619">
        <v>75.465000000000003</v>
      </c>
    </row>
    <row r="1620" spans="1:2">
      <c r="A1620" s="1">
        <v>44657</v>
      </c>
      <c r="B1620">
        <v>75.947000000000003</v>
      </c>
    </row>
    <row r="1621" spans="1:2">
      <c r="A1621" s="1">
        <v>44658</v>
      </c>
      <c r="B1621">
        <v>75.912999999999997</v>
      </c>
    </row>
    <row r="1622" spans="1:2">
      <c r="A1622" s="1">
        <v>44659</v>
      </c>
      <c r="B1622">
        <v>75.959999999999994</v>
      </c>
    </row>
    <row r="1623" spans="1:2">
      <c r="A1623" s="1">
        <v>44662</v>
      </c>
      <c r="B1623">
        <v>75.835999999999999</v>
      </c>
    </row>
    <row r="1624" spans="1:2">
      <c r="A1624" s="1">
        <v>44663</v>
      </c>
      <c r="B1624">
        <v>76.081999999999994</v>
      </c>
    </row>
    <row r="1625" spans="1:2">
      <c r="A1625" s="1">
        <v>44664</v>
      </c>
      <c r="B1625">
        <v>76.122</v>
      </c>
    </row>
    <row r="1626" spans="1:2">
      <c r="A1626" s="1">
        <v>44665</v>
      </c>
      <c r="B1626">
        <v>76.292000000000002</v>
      </c>
    </row>
    <row r="1627" spans="1:2">
      <c r="A1627" s="1">
        <v>44666</v>
      </c>
      <c r="B1627">
        <v>76.331999999999994</v>
      </c>
    </row>
    <row r="1628" spans="1:2">
      <c r="A1628" s="1">
        <v>44669</v>
      </c>
      <c r="B1628">
        <v>76.284000000000006</v>
      </c>
    </row>
    <row r="1629" spans="1:2">
      <c r="A1629" s="1">
        <v>44670</v>
      </c>
      <c r="B1629">
        <v>76.444999999999993</v>
      </c>
    </row>
    <row r="1630" spans="1:2">
      <c r="A1630" s="1">
        <v>44671</v>
      </c>
      <c r="B1630">
        <v>76.269000000000005</v>
      </c>
    </row>
    <row r="1631" spans="1:2">
      <c r="A1631" s="1">
        <v>44672</v>
      </c>
      <c r="B1631">
        <v>76.262</v>
      </c>
    </row>
    <row r="1632" spans="1:2">
      <c r="A1632" s="1">
        <v>44673</v>
      </c>
      <c r="B1632">
        <v>76.474999999999994</v>
      </c>
    </row>
    <row r="1633" spans="1:2">
      <c r="A1633" s="1">
        <v>44676</v>
      </c>
      <c r="B1633">
        <v>76.748000000000005</v>
      </c>
    </row>
    <row r="1634" spans="1:2">
      <c r="A1634" s="1">
        <v>44677</v>
      </c>
      <c r="B1634">
        <v>76.680000000000007</v>
      </c>
    </row>
    <row r="1635" spans="1:2">
      <c r="A1635" s="1">
        <v>44678</v>
      </c>
      <c r="B1635">
        <v>76.632000000000005</v>
      </c>
    </row>
    <row r="1636" spans="1:2">
      <c r="A1636" s="1">
        <v>44679</v>
      </c>
      <c r="B1636">
        <v>76.67</v>
      </c>
    </row>
    <row r="1637" spans="1:2">
      <c r="A1637" s="1">
        <v>44680</v>
      </c>
      <c r="B1637">
        <v>76.534999999999997</v>
      </c>
    </row>
    <row r="1638" spans="1:2">
      <c r="A1638" s="1">
        <v>44683</v>
      </c>
      <c r="B1638">
        <v>76.484999999999999</v>
      </c>
    </row>
    <row r="1639" spans="1:2">
      <c r="A1639" s="1">
        <v>44684</v>
      </c>
      <c r="B1639">
        <v>76.47</v>
      </c>
    </row>
    <row r="1640" spans="1:2">
      <c r="A1640" s="1">
        <v>44685</v>
      </c>
      <c r="B1640">
        <v>76.281999999999996</v>
      </c>
    </row>
    <row r="1641" spans="1:2">
      <c r="A1641" s="1">
        <v>44686</v>
      </c>
      <c r="B1641">
        <v>76.513999999999996</v>
      </c>
    </row>
    <row r="1642" spans="1:2">
      <c r="A1642" s="1">
        <v>44687</v>
      </c>
      <c r="B1642">
        <v>76.978999999999999</v>
      </c>
    </row>
    <row r="1643" spans="1:2">
      <c r="A1643" s="1">
        <v>44690</v>
      </c>
      <c r="B1643">
        <v>77.364999999999995</v>
      </c>
    </row>
    <row r="1644" spans="1:2">
      <c r="A1644" s="1">
        <v>44691</v>
      </c>
      <c r="B1644">
        <v>77.224999999999994</v>
      </c>
    </row>
    <row r="1645" spans="1:2">
      <c r="A1645" s="1">
        <v>44692</v>
      </c>
      <c r="B1645">
        <v>77.424999999999997</v>
      </c>
    </row>
    <row r="1646" spans="1:2">
      <c r="A1646" s="1">
        <v>44693</v>
      </c>
      <c r="B1646">
        <v>77.435000000000002</v>
      </c>
    </row>
    <row r="1647" spans="1:2">
      <c r="A1647" s="1">
        <v>44694</v>
      </c>
      <c r="B1647">
        <v>77.48</v>
      </c>
    </row>
    <row r="1648" spans="1:2">
      <c r="A1648" s="1">
        <v>44697</v>
      </c>
      <c r="B1648">
        <v>77.832999999999998</v>
      </c>
    </row>
    <row r="1649" spans="1:2">
      <c r="A1649" s="1">
        <v>44698</v>
      </c>
      <c r="B1649">
        <v>77.475999999999999</v>
      </c>
    </row>
    <row r="1650" spans="1:2">
      <c r="A1650" s="1">
        <v>44699</v>
      </c>
      <c r="B1650">
        <v>77.81</v>
      </c>
    </row>
    <row r="1651" spans="1:2">
      <c r="A1651" s="1">
        <v>44700</v>
      </c>
      <c r="B1651">
        <v>77.415000000000006</v>
      </c>
    </row>
    <row r="1652" spans="1:2">
      <c r="A1652" s="1">
        <v>44701</v>
      </c>
      <c r="B1652">
        <v>77.864999999999995</v>
      </c>
    </row>
    <row r="1653" spans="1:2">
      <c r="A1653" s="1">
        <v>44704</v>
      </c>
      <c r="B1653">
        <v>77.545000000000002</v>
      </c>
    </row>
    <row r="1654" spans="1:2">
      <c r="A1654" s="1">
        <v>44705</v>
      </c>
      <c r="B1654">
        <v>77.474999999999994</v>
      </c>
    </row>
    <row r="1655" spans="1:2">
      <c r="A1655" s="1">
        <v>44706</v>
      </c>
      <c r="B1655">
        <v>77.531000000000006</v>
      </c>
    </row>
    <row r="1656" spans="1:2">
      <c r="A1656" s="1">
        <v>44707</v>
      </c>
      <c r="B1656">
        <v>77.635999999999996</v>
      </c>
    </row>
    <row r="1657" spans="1:2">
      <c r="A1657" s="1">
        <v>44708</v>
      </c>
      <c r="B1657">
        <v>77.623999999999995</v>
      </c>
    </row>
    <row r="1658" spans="1:2">
      <c r="A1658" s="1">
        <v>44711</v>
      </c>
      <c r="B1658">
        <v>77.554000000000002</v>
      </c>
    </row>
    <row r="1659" spans="1:2">
      <c r="A1659" s="1">
        <v>44712</v>
      </c>
      <c r="B1659">
        <v>77.597999999999999</v>
      </c>
    </row>
    <row r="1660" spans="1:2">
      <c r="A1660" s="1">
        <v>44713</v>
      </c>
      <c r="B1660">
        <v>77.56</v>
      </c>
    </row>
    <row r="1661" spans="1:2">
      <c r="A1661" s="1">
        <v>44714</v>
      </c>
      <c r="B1661">
        <v>77.399000000000001</v>
      </c>
    </row>
    <row r="1662" spans="1:2">
      <c r="A1662" s="1">
        <v>44715</v>
      </c>
      <c r="B1662">
        <v>77.614999999999995</v>
      </c>
    </row>
    <row r="1663" spans="1:2">
      <c r="A1663" s="1">
        <v>44718</v>
      </c>
      <c r="B1663">
        <v>77.813999999999993</v>
      </c>
    </row>
    <row r="1664" spans="1:2">
      <c r="A1664" s="1">
        <v>44719</v>
      </c>
      <c r="B1664">
        <v>77.664000000000001</v>
      </c>
    </row>
    <row r="1665" spans="1:2">
      <c r="A1665" s="1">
        <v>44720</v>
      </c>
      <c r="B1665">
        <v>77.709000000000003</v>
      </c>
    </row>
    <row r="1666" spans="1:2">
      <c r="A1666" s="1">
        <v>44721</v>
      </c>
      <c r="B1666">
        <v>77.814999999999998</v>
      </c>
    </row>
    <row r="1667" spans="1:2">
      <c r="A1667" s="1">
        <v>44722</v>
      </c>
      <c r="B1667">
        <v>78.144000000000005</v>
      </c>
    </row>
    <row r="1668" spans="1:2">
      <c r="A1668" s="1">
        <v>44725</v>
      </c>
      <c r="B1668">
        <v>78.103999999999999</v>
      </c>
    </row>
    <row r="1669" spans="1:2">
      <c r="A1669" s="1">
        <v>44726</v>
      </c>
      <c r="B1669">
        <v>78.022000000000006</v>
      </c>
    </row>
    <row r="1670" spans="1:2">
      <c r="A1670" s="1">
        <v>44727</v>
      </c>
      <c r="B1670">
        <v>78.171000000000006</v>
      </c>
    </row>
    <row r="1671" spans="1:2">
      <c r="A1671" s="1">
        <v>44728</v>
      </c>
      <c r="B1671">
        <v>77.977000000000004</v>
      </c>
    </row>
    <row r="1672" spans="1:2">
      <c r="A1672" s="1">
        <v>44729</v>
      </c>
      <c r="B1672">
        <v>77.951999999999998</v>
      </c>
    </row>
    <row r="1673" spans="1:2">
      <c r="A1673" s="1">
        <v>44732</v>
      </c>
      <c r="B1673">
        <v>77.927000000000007</v>
      </c>
    </row>
    <row r="1674" spans="1:2">
      <c r="A1674" s="1">
        <v>44733</v>
      </c>
      <c r="B1674">
        <v>78.132999999999996</v>
      </c>
    </row>
    <row r="1675" spans="1:2">
      <c r="A1675" s="1">
        <v>44734</v>
      </c>
      <c r="B1675">
        <v>78.180000000000007</v>
      </c>
    </row>
    <row r="1676" spans="1:2">
      <c r="A1676" s="1">
        <v>44735</v>
      </c>
      <c r="B1676">
        <v>78.144999999999996</v>
      </c>
    </row>
    <row r="1677" spans="1:2">
      <c r="A1677" s="1">
        <v>44736</v>
      </c>
      <c r="B1677">
        <v>78.254999999999995</v>
      </c>
    </row>
    <row r="1678" spans="1:2">
      <c r="A1678" s="1">
        <v>44739</v>
      </c>
      <c r="B1678">
        <v>78.44</v>
      </c>
    </row>
    <row r="1679" spans="1:2">
      <c r="A1679" s="1">
        <v>44740</v>
      </c>
      <c r="B1679">
        <v>78.995000000000005</v>
      </c>
    </row>
    <row r="1680" spans="1:2">
      <c r="A1680" s="1">
        <v>44741</v>
      </c>
      <c r="B1680">
        <v>78.944999999999993</v>
      </c>
    </row>
    <row r="1681" spans="1:2">
      <c r="A1681" s="1">
        <v>44742</v>
      </c>
      <c r="B1681">
        <v>78.965000000000003</v>
      </c>
    </row>
    <row r="1682" spans="1:2">
      <c r="A1682" s="1">
        <v>44743</v>
      </c>
      <c r="B1682">
        <v>78.956000000000003</v>
      </c>
    </row>
    <row r="1683" spans="1:2">
      <c r="A1683" s="1">
        <v>44746</v>
      </c>
      <c r="B1683">
        <v>78.938999999999993</v>
      </c>
    </row>
    <row r="1684" spans="1:2">
      <c r="A1684" s="1">
        <v>44747</v>
      </c>
      <c r="B1684">
        <v>79.298000000000002</v>
      </c>
    </row>
    <row r="1685" spans="1:2">
      <c r="A1685" s="1">
        <v>44748</v>
      </c>
      <c r="B1685">
        <v>79.046999999999997</v>
      </c>
    </row>
    <row r="1686" spans="1:2">
      <c r="A1686" s="1">
        <v>44749</v>
      </c>
      <c r="B1686">
        <v>79.174999999999997</v>
      </c>
    </row>
    <row r="1687" spans="1:2">
      <c r="A1687" s="1">
        <v>44750</v>
      </c>
      <c r="B1687">
        <v>79.260000000000005</v>
      </c>
    </row>
    <row r="1688" spans="1:2">
      <c r="A1688" s="1">
        <v>44753</v>
      </c>
      <c r="B1688">
        <v>79.41</v>
      </c>
    </row>
    <row r="1689" spans="1:2">
      <c r="A1689" s="1">
        <v>44754</v>
      </c>
      <c r="B1689">
        <v>79.45</v>
      </c>
    </row>
    <row r="1690" spans="1:2">
      <c r="A1690" s="1">
        <v>44755</v>
      </c>
      <c r="B1690">
        <v>79.650000000000006</v>
      </c>
    </row>
    <row r="1691" spans="1:2">
      <c r="A1691" s="1">
        <v>44756</v>
      </c>
      <c r="B1691">
        <v>79.89</v>
      </c>
    </row>
    <row r="1692" spans="1:2">
      <c r="A1692" s="1">
        <v>44757</v>
      </c>
      <c r="B1692">
        <v>79.760000000000005</v>
      </c>
    </row>
    <row r="1693" spans="1:2">
      <c r="A1693" s="1">
        <v>44760</v>
      </c>
      <c r="B1693">
        <v>79.989999999999995</v>
      </c>
    </row>
    <row r="1694" spans="1:2">
      <c r="A1694" s="1">
        <v>44761</v>
      </c>
      <c r="B1694">
        <v>79.849999999999994</v>
      </c>
    </row>
    <row r="1695" spans="1:2">
      <c r="A1695" s="1">
        <v>44762</v>
      </c>
      <c r="B1695">
        <v>79.98</v>
      </c>
    </row>
    <row r="1696" spans="1:2">
      <c r="A1696" s="1">
        <v>44763</v>
      </c>
      <c r="B1696">
        <v>79.849999999999994</v>
      </c>
    </row>
    <row r="1697" spans="1:2">
      <c r="A1697" s="1">
        <v>44764</v>
      </c>
      <c r="B1697">
        <v>79.83</v>
      </c>
    </row>
    <row r="1698" spans="1:2">
      <c r="A1698" s="1">
        <v>44767</v>
      </c>
      <c r="B1698">
        <v>79.691000000000003</v>
      </c>
    </row>
    <row r="1699" spans="1:2">
      <c r="A1699" s="1">
        <v>44768</v>
      </c>
      <c r="B1699">
        <v>79.843000000000004</v>
      </c>
    </row>
    <row r="1700" spans="1:2">
      <c r="A1700" s="1">
        <v>44769</v>
      </c>
      <c r="B1700">
        <v>79.844999999999999</v>
      </c>
    </row>
    <row r="1701" spans="1:2">
      <c r="A1701" s="1">
        <v>44770</v>
      </c>
      <c r="B1701">
        <v>79.626000000000005</v>
      </c>
    </row>
    <row r="1702" spans="1:2">
      <c r="A1702" s="1">
        <v>44771</v>
      </c>
      <c r="B1702">
        <v>79.335999999999999</v>
      </c>
    </row>
    <row r="1703" spans="1:2">
      <c r="A1703" s="1">
        <v>44774</v>
      </c>
      <c r="B1703">
        <v>78.959000000000003</v>
      </c>
    </row>
    <row r="1704" spans="1:2">
      <c r="A1704" s="1">
        <v>44775</v>
      </c>
      <c r="B1704">
        <v>78.587000000000003</v>
      </c>
    </row>
    <row r="1705" spans="1:2">
      <c r="A1705" s="1">
        <v>44776</v>
      </c>
      <c r="B1705">
        <v>79.108000000000004</v>
      </c>
    </row>
    <row r="1706" spans="1:2">
      <c r="A1706" s="1">
        <v>44777</v>
      </c>
      <c r="B1706">
        <v>79.16</v>
      </c>
    </row>
    <row r="1707" spans="1:2">
      <c r="A1707" s="1">
        <v>44778</v>
      </c>
      <c r="B1707">
        <v>79.36</v>
      </c>
    </row>
    <row r="1708" spans="1:2">
      <c r="A1708" s="1">
        <v>44781</v>
      </c>
      <c r="B1708">
        <v>79.584000000000003</v>
      </c>
    </row>
    <row r="1709" spans="1:2">
      <c r="A1709" s="1">
        <v>44782</v>
      </c>
      <c r="B1709">
        <v>79.563000000000002</v>
      </c>
    </row>
    <row r="1710" spans="1:2">
      <c r="A1710" s="1">
        <v>44783</v>
      </c>
      <c r="B1710">
        <v>79.09</v>
      </c>
    </row>
    <row r="1711" spans="1:2">
      <c r="A1711" s="1">
        <v>44784</v>
      </c>
      <c r="B1711">
        <v>79.58</v>
      </c>
    </row>
    <row r="1712" spans="1:2">
      <c r="A1712" s="1">
        <v>44785</v>
      </c>
      <c r="B1712">
        <v>79.641000000000005</v>
      </c>
    </row>
    <row r="1713" spans="1:2">
      <c r="A1713" s="1">
        <v>44788</v>
      </c>
      <c r="B1713">
        <v>79.518000000000001</v>
      </c>
    </row>
    <row r="1714" spans="1:2">
      <c r="A1714" s="1">
        <v>44789</v>
      </c>
      <c r="B1714">
        <v>79.248000000000005</v>
      </c>
    </row>
    <row r="1715" spans="1:2">
      <c r="A1715" s="1">
        <v>44790</v>
      </c>
      <c r="B1715">
        <v>79.349999999999994</v>
      </c>
    </row>
    <row r="1716" spans="1:2">
      <c r="A1716" s="1">
        <v>44791</v>
      </c>
      <c r="B1716">
        <v>79.75</v>
      </c>
    </row>
    <row r="1717" spans="1:2">
      <c r="A1717" s="1">
        <v>44792</v>
      </c>
      <c r="B1717">
        <v>79.92</v>
      </c>
    </row>
    <row r="1718" spans="1:2">
      <c r="A1718" s="1">
        <v>44795</v>
      </c>
      <c r="B1718">
        <v>79.849999999999994</v>
      </c>
    </row>
    <row r="1719" spans="1:2">
      <c r="A1719" s="1">
        <v>44796</v>
      </c>
      <c r="B1719">
        <v>79.846999999999994</v>
      </c>
    </row>
    <row r="1720" spans="1:2">
      <c r="A1720" s="1">
        <v>44797</v>
      </c>
      <c r="B1720">
        <v>79.78</v>
      </c>
    </row>
    <row r="1721" spans="1:2">
      <c r="A1721" s="1">
        <v>44798</v>
      </c>
      <c r="B1721">
        <v>79.861999999999995</v>
      </c>
    </row>
    <row r="1722" spans="1:2">
      <c r="A1722" s="1">
        <v>44799</v>
      </c>
      <c r="B1722">
        <v>79.960999999999999</v>
      </c>
    </row>
    <row r="1723" spans="1:2">
      <c r="A1723" s="1">
        <v>44802</v>
      </c>
      <c r="B1723">
        <v>79.953999999999994</v>
      </c>
    </row>
    <row r="1724" spans="1:2">
      <c r="A1724" s="1">
        <v>44803</v>
      </c>
      <c r="B1724">
        <v>79.665000000000006</v>
      </c>
    </row>
    <row r="1725" spans="1:2">
      <c r="A1725" s="1">
        <v>44804</v>
      </c>
      <c r="B1725">
        <v>79.491</v>
      </c>
    </row>
    <row r="1726" spans="1:2">
      <c r="A1726" s="1">
        <v>44805</v>
      </c>
      <c r="B1726">
        <v>79.673000000000002</v>
      </c>
    </row>
    <row r="1727" spans="1:2">
      <c r="A1727" s="1">
        <v>44806</v>
      </c>
      <c r="B1727">
        <v>79.716999999999999</v>
      </c>
    </row>
    <row r="1728" spans="1:2">
      <c r="A1728" s="1">
        <v>44809</v>
      </c>
      <c r="B1728">
        <v>79.783000000000001</v>
      </c>
    </row>
    <row r="1729" spans="1:2">
      <c r="A1729" s="1">
        <v>44810</v>
      </c>
      <c r="B1729">
        <v>79.87</v>
      </c>
    </row>
    <row r="1730" spans="1:2">
      <c r="A1730" s="1">
        <v>44811</v>
      </c>
      <c r="B1730">
        <v>79.63</v>
      </c>
    </row>
    <row r="1731" spans="1:2">
      <c r="A1731" s="1">
        <v>44812</v>
      </c>
      <c r="B1731">
        <v>79.667000000000002</v>
      </c>
    </row>
    <row r="1732" spans="1:2">
      <c r="A1732" s="1">
        <v>44813</v>
      </c>
      <c r="B1732">
        <v>79.635000000000005</v>
      </c>
    </row>
    <row r="1733" spans="1:2">
      <c r="A1733" s="1">
        <v>44816</v>
      </c>
      <c r="B1733">
        <v>79.349999999999994</v>
      </c>
    </row>
    <row r="1734" spans="1:2">
      <c r="A1734" s="1">
        <v>44817</v>
      </c>
      <c r="B1734">
        <v>79.576999999999998</v>
      </c>
    </row>
    <row r="1735" spans="1:2">
      <c r="A1735" s="1">
        <v>44818</v>
      </c>
      <c r="B1735">
        <v>79.430999999999997</v>
      </c>
    </row>
    <row r="1736" spans="1:2">
      <c r="A1736" s="1">
        <v>44819</v>
      </c>
      <c r="B1736">
        <v>79.838999999999999</v>
      </c>
    </row>
    <row r="1737" spans="1:2">
      <c r="A1737" s="1">
        <v>44820</v>
      </c>
      <c r="B1737">
        <v>79.686000000000007</v>
      </c>
    </row>
    <row r="1738" spans="1:2">
      <c r="A1738" s="1">
        <v>44823</v>
      </c>
      <c r="B1738">
        <v>79.692999999999998</v>
      </c>
    </row>
    <row r="1739" spans="1:2">
      <c r="A1739" s="1">
        <v>44824</v>
      </c>
      <c r="B1739">
        <v>79.751000000000005</v>
      </c>
    </row>
    <row r="1740" spans="1:2">
      <c r="A1740" s="1">
        <v>44825</v>
      </c>
      <c r="B1740">
        <v>79.906999999999996</v>
      </c>
    </row>
    <row r="1741" spans="1:2">
      <c r="A1741" s="1">
        <v>44826</v>
      </c>
      <c r="B1741">
        <v>81.046999999999997</v>
      </c>
    </row>
    <row r="1742" spans="1:2">
      <c r="A1742" s="1">
        <v>44827</v>
      </c>
      <c r="B1742">
        <v>81.25</v>
      </c>
    </row>
    <row r="1743" spans="1:2">
      <c r="A1743" s="1">
        <v>44830</v>
      </c>
      <c r="B1743">
        <v>81.61</v>
      </c>
    </row>
    <row r="1744" spans="1:2">
      <c r="A1744" s="1">
        <v>44831</v>
      </c>
      <c r="B1744">
        <v>81.704999999999998</v>
      </c>
    </row>
    <row r="1745" spans="1:2">
      <c r="A1745" s="1">
        <v>44832</v>
      </c>
      <c r="B1745">
        <v>81.406000000000006</v>
      </c>
    </row>
    <row r="1746" spans="1:2">
      <c r="A1746" s="1">
        <v>44833</v>
      </c>
      <c r="B1746">
        <v>81.460999999999999</v>
      </c>
    </row>
    <row r="1747" spans="1:2">
      <c r="A1747" s="1">
        <v>44834</v>
      </c>
      <c r="B1747">
        <v>81.509</v>
      </c>
    </row>
    <row r="1748" spans="1:2">
      <c r="A1748" s="1">
        <v>44837</v>
      </c>
      <c r="B1748">
        <v>81.494</v>
      </c>
    </row>
    <row r="1749" spans="1:2">
      <c r="A1749" s="1">
        <v>44838</v>
      </c>
      <c r="B1749">
        <v>81.450999999999993</v>
      </c>
    </row>
    <row r="1750" spans="1:2">
      <c r="A1750" s="1">
        <v>44839</v>
      </c>
      <c r="B1750">
        <v>81.631</v>
      </c>
    </row>
    <row r="1751" spans="1:2">
      <c r="A1751" s="1">
        <v>44840</v>
      </c>
      <c r="B1751">
        <v>82.06</v>
      </c>
    </row>
    <row r="1752" spans="1:2">
      <c r="A1752" s="1">
        <v>44841</v>
      </c>
      <c r="B1752">
        <v>82.82</v>
      </c>
    </row>
    <row r="1753" spans="1:2">
      <c r="A1753" s="1">
        <v>44844</v>
      </c>
      <c r="B1753">
        <v>82.37</v>
      </c>
    </row>
    <row r="1754" spans="1:2">
      <c r="A1754" s="1">
        <v>44845</v>
      </c>
      <c r="B1754">
        <v>82.256</v>
      </c>
    </row>
    <row r="1755" spans="1:2">
      <c r="A1755" s="1">
        <v>44846</v>
      </c>
      <c r="B1755">
        <v>82.159000000000006</v>
      </c>
    </row>
    <row r="1756" spans="1:2">
      <c r="A1756" s="1">
        <v>44847</v>
      </c>
      <c r="B1756">
        <v>82.171999999999997</v>
      </c>
    </row>
    <row r="1757" spans="1:2">
      <c r="A1757" s="1">
        <v>44848</v>
      </c>
      <c r="B1757">
        <v>82.34</v>
      </c>
    </row>
    <row r="1758" spans="1:2">
      <c r="A1758" s="1">
        <v>44851</v>
      </c>
      <c r="B1758">
        <v>82.171000000000006</v>
      </c>
    </row>
    <row r="1759" spans="1:2">
      <c r="A1759" s="1">
        <v>44852</v>
      </c>
      <c r="B1759">
        <v>82.290999999999997</v>
      </c>
    </row>
    <row r="1760" spans="1:2">
      <c r="A1760" s="1">
        <v>44853</v>
      </c>
      <c r="B1760">
        <v>83.013000000000005</v>
      </c>
    </row>
    <row r="1761" spans="1:2">
      <c r="A1761" s="1">
        <v>44854</v>
      </c>
      <c r="B1761">
        <v>82.82</v>
      </c>
    </row>
    <row r="1762" spans="1:2">
      <c r="A1762" s="1">
        <v>44855</v>
      </c>
      <c r="B1762">
        <v>82.528999999999996</v>
      </c>
    </row>
    <row r="1763" spans="1:2">
      <c r="A1763" s="1">
        <v>44858</v>
      </c>
      <c r="B1763">
        <v>82.744</v>
      </c>
    </row>
    <row r="1764" spans="1:2">
      <c r="A1764" s="1">
        <v>44859</v>
      </c>
      <c r="B1764">
        <v>82.515000000000001</v>
      </c>
    </row>
    <row r="1765" spans="1:2">
      <c r="A1765" s="1">
        <v>44860</v>
      </c>
      <c r="B1765">
        <v>81.900999999999996</v>
      </c>
    </row>
    <row r="1766" spans="1:2">
      <c r="A1766" s="1">
        <v>44861</v>
      </c>
      <c r="B1766">
        <v>82.367999999999995</v>
      </c>
    </row>
    <row r="1767" spans="1:2">
      <c r="A1767" s="1">
        <v>44862</v>
      </c>
      <c r="B1767">
        <v>82.260999999999996</v>
      </c>
    </row>
    <row r="1768" spans="1:2">
      <c r="A1768" s="1">
        <v>44865</v>
      </c>
      <c r="B1768">
        <v>82.77</v>
      </c>
    </row>
    <row r="1769" spans="1:2">
      <c r="A1769" s="1">
        <v>44866</v>
      </c>
      <c r="B1769">
        <v>82.65</v>
      </c>
    </row>
    <row r="1770" spans="1:2">
      <c r="A1770" s="1">
        <v>44867</v>
      </c>
      <c r="B1770">
        <v>82.712000000000003</v>
      </c>
    </row>
    <row r="1771" spans="1:2">
      <c r="A1771" s="1">
        <v>44868</v>
      </c>
      <c r="B1771">
        <v>82.730999999999995</v>
      </c>
    </row>
    <row r="1772" spans="1:2">
      <c r="A1772" s="1">
        <v>44869</v>
      </c>
      <c r="B1772">
        <v>81.962000000000003</v>
      </c>
    </row>
    <row r="1773" spans="1:2">
      <c r="A1773" s="1">
        <v>44872</v>
      </c>
      <c r="B1773">
        <v>81.804000000000002</v>
      </c>
    </row>
    <row r="1774" spans="1:2">
      <c r="A1774" s="1">
        <v>44873</v>
      </c>
      <c r="B1774">
        <v>81.37</v>
      </c>
    </row>
    <row r="1775" spans="1:2">
      <c r="A1775" s="1">
        <v>44874</v>
      </c>
      <c r="B1775">
        <v>81.334999999999994</v>
      </c>
    </row>
    <row r="1776" spans="1:2">
      <c r="A1776" s="1">
        <v>44875</v>
      </c>
      <c r="B1776">
        <v>80.63</v>
      </c>
    </row>
    <row r="1777" spans="1:2">
      <c r="A1777" s="1">
        <v>44876</v>
      </c>
      <c r="B1777">
        <v>80.477000000000004</v>
      </c>
    </row>
    <row r="1778" spans="1:2">
      <c r="A1778" s="1">
        <v>44879</v>
      </c>
      <c r="B1778">
        <v>80.965000000000003</v>
      </c>
    </row>
    <row r="1779" spans="1:2">
      <c r="A1779" s="1">
        <v>44880</v>
      </c>
      <c r="B1779">
        <v>81.061000000000007</v>
      </c>
    </row>
    <row r="1780" spans="1:2">
      <c r="A1780" s="1">
        <v>44881</v>
      </c>
      <c r="B1780">
        <v>81.48</v>
      </c>
    </row>
    <row r="1781" spans="1:2">
      <c r="A1781" s="1">
        <v>44882</v>
      </c>
      <c r="B1781">
        <v>81.510000000000005</v>
      </c>
    </row>
    <row r="1782" spans="1:2">
      <c r="A1782" s="1">
        <v>44883</v>
      </c>
      <c r="B1782">
        <v>81.617000000000004</v>
      </c>
    </row>
    <row r="1783" spans="1:2">
      <c r="A1783" s="1">
        <v>44886</v>
      </c>
      <c r="B1783">
        <v>81.698999999999998</v>
      </c>
    </row>
    <row r="1784" spans="1:2">
      <c r="A1784" s="1">
        <v>44887</v>
      </c>
      <c r="B1784">
        <v>81.713999999999999</v>
      </c>
    </row>
    <row r="1785" spans="1:2">
      <c r="A1785" s="1">
        <v>44888</v>
      </c>
      <c r="B1785">
        <v>81.603999999999999</v>
      </c>
    </row>
    <row r="1786" spans="1:2">
      <c r="A1786" s="1">
        <v>44889</v>
      </c>
      <c r="B1786">
        <v>81.613</v>
      </c>
    </row>
    <row r="1787" spans="1:2">
      <c r="A1787" s="1">
        <v>44890</v>
      </c>
      <c r="B1787">
        <v>81.685000000000002</v>
      </c>
    </row>
    <row r="1788" spans="1:2">
      <c r="A1788" s="1">
        <v>44893</v>
      </c>
      <c r="B1788">
        <v>81.64</v>
      </c>
    </row>
    <row r="1789" spans="1:2">
      <c r="A1789" s="1">
        <v>44894</v>
      </c>
      <c r="B1789">
        <v>81.616</v>
      </c>
    </row>
    <row r="1790" spans="1:2">
      <c r="A1790" s="1">
        <v>44895</v>
      </c>
      <c r="B1790">
        <v>81.358999999999995</v>
      </c>
    </row>
    <row r="1791" spans="1:2">
      <c r="A1791" s="1">
        <v>44896</v>
      </c>
      <c r="B1791">
        <v>81.12</v>
      </c>
    </row>
    <row r="1792" spans="1:2">
      <c r="A1792" s="1">
        <v>44897</v>
      </c>
      <c r="B1792">
        <v>81.41</v>
      </c>
    </row>
    <row r="1793" spans="1:2">
      <c r="A1793" s="1">
        <v>44900</v>
      </c>
      <c r="B1793">
        <v>81.89</v>
      </c>
    </row>
    <row r="1794" spans="1:2">
      <c r="A1794" s="1">
        <v>44901</v>
      </c>
      <c r="B1794">
        <v>82.48</v>
      </c>
    </row>
    <row r="1795" spans="1:2">
      <c r="A1795" s="1">
        <v>44902</v>
      </c>
      <c r="B1795">
        <v>82.203999999999994</v>
      </c>
    </row>
    <row r="1796" spans="1:2">
      <c r="A1796" s="1">
        <v>44903</v>
      </c>
      <c r="B1796">
        <v>82.28</v>
      </c>
    </row>
    <row r="1797" spans="1:2">
      <c r="A1797" s="1">
        <v>44904</v>
      </c>
      <c r="B1797">
        <v>82.41</v>
      </c>
    </row>
    <row r="1798" spans="1:2">
      <c r="A1798" s="1">
        <v>44907</v>
      </c>
      <c r="B1798">
        <v>82.634</v>
      </c>
    </row>
    <row r="1799" spans="1:2">
      <c r="A1799" s="1">
        <v>44908</v>
      </c>
      <c r="B1799">
        <v>82.375</v>
      </c>
    </row>
    <row r="1800" spans="1:2">
      <c r="A1800" s="1">
        <v>44909</v>
      </c>
      <c r="B1800">
        <v>82.474000000000004</v>
      </c>
    </row>
    <row r="1801" spans="1:2">
      <c r="A1801" s="1">
        <v>44910</v>
      </c>
      <c r="B1801">
        <v>82.843000000000004</v>
      </c>
    </row>
    <row r="1802" spans="1:2">
      <c r="A1802" s="1">
        <v>44911</v>
      </c>
      <c r="B1802">
        <v>82.706000000000003</v>
      </c>
    </row>
    <row r="1803" spans="1:2">
      <c r="A1803" s="1">
        <v>44914</v>
      </c>
      <c r="B1803">
        <v>82.649000000000001</v>
      </c>
    </row>
    <row r="1804" spans="1:2">
      <c r="A1804" s="1">
        <v>44915</v>
      </c>
      <c r="B1804">
        <v>82.6</v>
      </c>
    </row>
    <row r="1805" spans="1:2">
      <c r="A1805" s="1">
        <v>44916</v>
      </c>
      <c r="B1805">
        <v>82.88</v>
      </c>
    </row>
    <row r="1806" spans="1:2">
      <c r="A1806" s="1">
        <v>44917</v>
      </c>
      <c r="B1806">
        <v>82.96</v>
      </c>
    </row>
    <row r="1807" spans="1:2">
      <c r="A1807" s="1">
        <v>44918</v>
      </c>
      <c r="B1807">
        <v>82.78</v>
      </c>
    </row>
    <row r="1808" spans="1:2">
      <c r="A1808" s="1">
        <v>44921</v>
      </c>
      <c r="B1808">
        <v>82.65</v>
      </c>
    </row>
    <row r="1809" spans="1:2">
      <c r="A1809" s="1">
        <v>44922</v>
      </c>
      <c r="B1809">
        <v>82.83</v>
      </c>
    </row>
    <row r="1810" spans="1:2">
      <c r="A1810" s="1">
        <v>44923</v>
      </c>
      <c r="B1810">
        <v>82.736000000000004</v>
      </c>
    </row>
    <row r="1811" spans="1:2">
      <c r="A1811" s="1">
        <v>44924</v>
      </c>
      <c r="B1811">
        <v>82.757999999999996</v>
      </c>
    </row>
    <row r="1812" spans="1:2">
      <c r="A1812" s="1">
        <v>44925</v>
      </c>
      <c r="B1812">
        <v>82.716999999999999</v>
      </c>
    </row>
    <row r="1813" spans="1:2">
      <c r="A1813" s="1">
        <v>44928</v>
      </c>
      <c r="B1813">
        <v>82.745000000000005</v>
      </c>
    </row>
    <row r="1814" spans="1:2">
      <c r="A1814" s="1">
        <v>44929</v>
      </c>
      <c r="B1814">
        <v>82.774000000000001</v>
      </c>
    </row>
    <row r="1815" spans="1:2">
      <c r="A1815" s="1">
        <v>44930</v>
      </c>
      <c r="B1815">
        <v>82.641000000000005</v>
      </c>
    </row>
    <row r="1816" spans="1:2">
      <c r="A1816" s="1">
        <v>44931</v>
      </c>
      <c r="B1816">
        <v>82.567999999999998</v>
      </c>
    </row>
    <row r="1817" spans="1:2">
      <c r="A1817" s="1">
        <v>44932</v>
      </c>
      <c r="B1817">
        <v>82.27</v>
      </c>
    </row>
    <row r="1818" spans="1:2">
      <c r="A1818" s="1">
        <v>44935</v>
      </c>
      <c r="B1818">
        <v>82.17</v>
      </c>
    </row>
    <row r="1819" spans="1:2">
      <c r="A1819" s="1">
        <v>44936</v>
      </c>
      <c r="B1819">
        <v>81.602000000000004</v>
      </c>
    </row>
    <row r="1820" spans="1:2">
      <c r="A1820" s="1">
        <v>44937</v>
      </c>
      <c r="B1820">
        <v>81.637</v>
      </c>
    </row>
    <row r="1821" spans="1:2">
      <c r="A1821" s="1">
        <v>44938</v>
      </c>
      <c r="B1821">
        <v>81.099999999999994</v>
      </c>
    </row>
    <row r="1822" spans="1:2">
      <c r="A1822" s="1">
        <v>44939</v>
      </c>
      <c r="B1822">
        <v>81.28</v>
      </c>
    </row>
    <row r="1823" spans="1:2">
      <c r="A1823" s="1">
        <v>44942</v>
      </c>
      <c r="B1823">
        <v>81.628</v>
      </c>
    </row>
    <row r="1824" spans="1:2">
      <c r="A1824" s="1">
        <v>44943</v>
      </c>
      <c r="B1824">
        <v>81.63</v>
      </c>
    </row>
    <row r="1825" spans="1:2">
      <c r="A1825" s="1">
        <v>44944</v>
      </c>
      <c r="B1825">
        <v>81.44</v>
      </c>
    </row>
    <row r="1826" spans="1:2">
      <c r="A1826" s="1">
        <v>44945</v>
      </c>
      <c r="B1826">
        <v>81.239999999999995</v>
      </c>
    </row>
    <row r="1827" spans="1:2">
      <c r="A1827" s="1">
        <v>44946</v>
      </c>
      <c r="B1827">
        <v>80.978999999999999</v>
      </c>
    </row>
    <row r="1828" spans="1:2">
      <c r="A1828" s="1">
        <v>44949</v>
      </c>
      <c r="B1828">
        <v>81.477999999999994</v>
      </c>
    </row>
    <row r="1829" spans="1:2">
      <c r="A1829" s="1">
        <v>44950</v>
      </c>
      <c r="B1829">
        <v>81.593999999999994</v>
      </c>
    </row>
    <row r="1830" spans="1:2">
      <c r="A1830" s="1">
        <v>44951</v>
      </c>
      <c r="B1830">
        <v>81.491</v>
      </c>
    </row>
    <row r="1831" spans="1:2">
      <c r="A1831" s="1">
        <v>44952</v>
      </c>
      <c r="B1831">
        <v>81.418000000000006</v>
      </c>
    </row>
    <row r="1832" spans="1:2">
      <c r="A1832" s="1">
        <v>44953</v>
      </c>
      <c r="B1832">
        <v>81.510000000000005</v>
      </c>
    </row>
    <row r="1833" spans="1:2">
      <c r="A1833" s="1">
        <v>44956</v>
      </c>
      <c r="B1833">
        <v>81.52</v>
      </c>
    </row>
    <row r="1834" spans="1:2">
      <c r="A1834" s="1">
        <v>44957</v>
      </c>
      <c r="B1834">
        <v>81.739000000000004</v>
      </c>
    </row>
    <row r="1835" spans="1:2">
      <c r="A1835" s="1">
        <v>44958</v>
      </c>
      <c r="B1835">
        <v>81.73</v>
      </c>
    </row>
    <row r="1836" spans="1:2">
      <c r="A1836" s="1">
        <v>44959</v>
      </c>
      <c r="B1836">
        <v>82.039000000000001</v>
      </c>
    </row>
    <row r="1837" spans="1:2">
      <c r="A1837" s="1">
        <v>44960</v>
      </c>
      <c r="B1837">
        <v>82.206000000000003</v>
      </c>
    </row>
    <row r="1838" spans="1:2">
      <c r="A1838" s="1">
        <v>44963</v>
      </c>
      <c r="B1838">
        <v>82.74</v>
      </c>
    </row>
    <row r="1839" spans="1:2">
      <c r="A1839" s="1">
        <v>44964</v>
      </c>
      <c r="B1839">
        <v>82.86</v>
      </c>
    </row>
    <row r="1840" spans="1:2">
      <c r="A1840" s="1">
        <v>44965</v>
      </c>
      <c r="B1840">
        <v>82.65</v>
      </c>
    </row>
    <row r="1841" spans="1:2">
      <c r="A1841" s="1">
        <v>44966</v>
      </c>
      <c r="B1841">
        <v>82.510999999999996</v>
      </c>
    </row>
    <row r="1842" spans="1:2">
      <c r="A1842" s="1">
        <v>44967</v>
      </c>
      <c r="B1842">
        <v>82.51</v>
      </c>
    </row>
    <row r="1843" spans="1:2">
      <c r="A1843" s="1">
        <v>44970</v>
      </c>
      <c r="B1843">
        <v>82.591999999999999</v>
      </c>
    </row>
    <row r="1844" spans="1:2">
      <c r="A1844" s="1">
        <v>44971</v>
      </c>
      <c r="B1844">
        <v>82.91</v>
      </c>
    </row>
    <row r="1845" spans="1:2">
      <c r="A1845" s="1">
        <v>44972</v>
      </c>
      <c r="B1845">
        <v>82.75</v>
      </c>
    </row>
    <row r="1846" spans="1:2">
      <c r="A1846" s="1">
        <v>44973</v>
      </c>
      <c r="B1846">
        <v>82.71</v>
      </c>
    </row>
    <row r="1847" spans="1:2">
      <c r="A1847" s="1">
        <v>44974</v>
      </c>
      <c r="B1847">
        <v>82.75</v>
      </c>
    </row>
    <row r="1848" spans="1:2">
      <c r="A1848" s="1">
        <v>44977</v>
      </c>
      <c r="B1848">
        <v>82.692999999999998</v>
      </c>
    </row>
    <row r="1849" spans="1:2">
      <c r="A1849" s="1">
        <v>44978</v>
      </c>
      <c r="B1849">
        <v>82.843999999999994</v>
      </c>
    </row>
    <row r="1850" spans="1:2">
      <c r="A1850" s="1">
        <v>44979</v>
      </c>
      <c r="B1850">
        <v>82.83</v>
      </c>
    </row>
    <row r="1851" spans="1:2">
      <c r="A1851" s="1">
        <v>44980</v>
      </c>
      <c r="B1851">
        <v>82.59</v>
      </c>
    </row>
    <row r="1852" spans="1:2">
      <c r="A1852" s="1">
        <v>44981</v>
      </c>
      <c r="B1852">
        <v>82.897000000000006</v>
      </c>
    </row>
    <row r="1853" spans="1:2">
      <c r="A1853" s="1">
        <v>44984</v>
      </c>
      <c r="B1853">
        <v>82.641999999999996</v>
      </c>
    </row>
    <row r="1854" spans="1:2">
      <c r="A1854" s="1">
        <v>44985</v>
      </c>
      <c r="B1854">
        <v>82.64</v>
      </c>
    </row>
    <row r="1855" spans="1:2">
      <c r="A1855" s="1">
        <v>44986</v>
      </c>
      <c r="B1855">
        <v>82.43</v>
      </c>
    </row>
    <row r="1856" spans="1:2">
      <c r="A1856" s="1">
        <v>44987</v>
      </c>
      <c r="B1856">
        <v>82.35</v>
      </c>
    </row>
    <row r="1857" spans="1:2">
      <c r="A1857" s="1">
        <v>44988</v>
      </c>
      <c r="B1857">
        <v>81.680000000000007</v>
      </c>
    </row>
    <row r="1858" spans="1:2">
      <c r="A1858" s="1">
        <v>44991</v>
      </c>
      <c r="B1858">
        <v>81.81</v>
      </c>
    </row>
    <row r="1859" spans="1:2">
      <c r="A1859" s="1">
        <v>44992</v>
      </c>
      <c r="B1859">
        <v>82</v>
      </c>
    </row>
    <row r="1860" spans="1:2">
      <c r="A1860" s="1">
        <v>44993</v>
      </c>
      <c r="B1860">
        <v>81.95</v>
      </c>
    </row>
    <row r="1861" spans="1:2">
      <c r="A1861" s="1">
        <v>44994</v>
      </c>
      <c r="B1861">
        <v>82.02</v>
      </c>
    </row>
    <row r="1862" spans="1:2">
      <c r="A1862" s="1">
        <v>44995</v>
      </c>
      <c r="B1862">
        <v>81.96</v>
      </c>
    </row>
    <row r="1863" spans="1:2">
      <c r="A1863" s="1">
        <v>44998</v>
      </c>
      <c r="B1863">
        <v>82.234999999999999</v>
      </c>
    </row>
    <row r="1864" spans="1:2">
      <c r="A1864" s="1">
        <v>44999</v>
      </c>
      <c r="B1864">
        <v>82.245000000000005</v>
      </c>
    </row>
    <row r="1865" spans="1:2">
      <c r="A1865" s="1">
        <v>45000</v>
      </c>
      <c r="B1865">
        <v>82.88</v>
      </c>
    </row>
    <row r="1866" spans="1:2">
      <c r="A1866" s="1">
        <v>45001</v>
      </c>
      <c r="B1866">
        <v>82.62</v>
      </c>
    </row>
    <row r="1867" spans="1:2">
      <c r="A1867" s="1">
        <v>45002</v>
      </c>
      <c r="B1867">
        <v>82.52</v>
      </c>
    </row>
    <row r="1868" spans="1:2">
      <c r="A1868" s="1">
        <v>45005</v>
      </c>
      <c r="B1868">
        <v>82.51</v>
      </c>
    </row>
    <row r="1869" spans="1:2">
      <c r="A1869" s="1">
        <v>45006</v>
      </c>
      <c r="B1869">
        <v>82.677000000000007</v>
      </c>
    </row>
    <row r="1870" spans="1:2">
      <c r="A1870" s="1">
        <v>45007</v>
      </c>
      <c r="B1870">
        <v>82.504999999999995</v>
      </c>
    </row>
    <row r="1871" spans="1:2">
      <c r="A1871" s="1">
        <v>45008</v>
      </c>
      <c r="B1871">
        <v>82.236000000000004</v>
      </c>
    </row>
    <row r="1872" spans="1:2">
      <c r="A1872" s="1">
        <v>45009</v>
      </c>
      <c r="B1872">
        <v>82.334000000000003</v>
      </c>
    </row>
    <row r="1873" spans="1:2">
      <c r="A1873" s="1">
        <v>45012</v>
      </c>
      <c r="B1873">
        <v>82.18</v>
      </c>
    </row>
    <row r="1874" spans="1:2">
      <c r="A1874" s="1">
        <v>45013</v>
      </c>
      <c r="B1874">
        <v>82.171999999999997</v>
      </c>
    </row>
    <row r="1875" spans="1:2">
      <c r="A1875" s="1">
        <v>45014</v>
      </c>
      <c r="B1875">
        <v>82.177999999999997</v>
      </c>
    </row>
    <row r="1876" spans="1:2">
      <c r="A1876" s="1">
        <v>45015</v>
      </c>
      <c r="B1876">
        <v>82.08</v>
      </c>
    </row>
    <row r="1877" spans="1:2">
      <c r="A1877" s="1">
        <v>45016</v>
      </c>
      <c r="B1877">
        <v>82.16</v>
      </c>
    </row>
    <row r="1878" spans="1:2">
      <c r="A1878" s="1">
        <v>45019</v>
      </c>
      <c r="B1878">
        <v>82.19</v>
      </c>
    </row>
    <row r="1879" spans="1:2">
      <c r="A1879" s="1">
        <v>45020</v>
      </c>
      <c r="B1879">
        <v>82.09</v>
      </c>
    </row>
    <row r="1880" spans="1:2">
      <c r="A1880" s="1">
        <v>45021</v>
      </c>
      <c r="B1880">
        <v>81.92</v>
      </c>
    </row>
    <row r="1881" spans="1:2">
      <c r="A1881" s="1">
        <v>45022</v>
      </c>
      <c r="B1881">
        <v>81.819999999999993</v>
      </c>
    </row>
    <row r="1882" spans="1:2">
      <c r="A1882" s="1">
        <v>45023</v>
      </c>
      <c r="B1882">
        <v>81.86</v>
      </c>
    </row>
    <row r="1883" spans="1:2">
      <c r="A1883" s="1">
        <v>45026</v>
      </c>
      <c r="B1883">
        <v>81.965000000000003</v>
      </c>
    </row>
    <row r="1884" spans="1:2">
      <c r="A1884" s="1">
        <v>45027</v>
      </c>
      <c r="B1884">
        <v>82.04</v>
      </c>
    </row>
    <row r="1885" spans="1:2">
      <c r="A1885" s="1">
        <v>45028</v>
      </c>
      <c r="B1885">
        <v>81.93</v>
      </c>
    </row>
    <row r="1886" spans="1:2">
      <c r="A1886" s="1">
        <v>45029</v>
      </c>
      <c r="B1886">
        <v>81.650000000000006</v>
      </c>
    </row>
    <row r="1887" spans="1:2">
      <c r="A1887" s="1">
        <v>45030</v>
      </c>
      <c r="B1887">
        <v>81.819999999999993</v>
      </c>
    </row>
    <row r="1888" spans="1:2">
      <c r="A1888" s="1">
        <v>45033</v>
      </c>
      <c r="B1888">
        <v>81.98</v>
      </c>
    </row>
    <row r="1889" spans="1:2">
      <c r="A1889" s="1">
        <v>45034</v>
      </c>
      <c r="B1889">
        <v>82.08</v>
      </c>
    </row>
    <row r="1890" spans="1:2">
      <c r="A1890" s="1">
        <v>45035</v>
      </c>
      <c r="B1890">
        <v>82.265000000000001</v>
      </c>
    </row>
    <row r="1891" spans="1:2">
      <c r="A1891" s="1">
        <v>45036</v>
      </c>
      <c r="B1891">
        <v>82.12</v>
      </c>
    </row>
    <row r="1892" spans="1:2">
      <c r="A1892" s="1">
        <v>45037</v>
      </c>
      <c r="B1892">
        <v>82.03</v>
      </c>
    </row>
    <row r="1893" spans="1:2">
      <c r="A1893" s="1">
        <v>45040</v>
      </c>
      <c r="B1893">
        <v>81.95</v>
      </c>
    </row>
    <row r="1894" spans="1:2">
      <c r="A1894" s="1">
        <v>45041</v>
      </c>
      <c r="B1894">
        <v>81.965000000000003</v>
      </c>
    </row>
    <row r="1895" spans="1:2">
      <c r="A1895" s="1">
        <v>45042</v>
      </c>
      <c r="B1895">
        <v>81.739999999999995</v>
      </c>
    </row>
    <row r="1896" spans="1:2">
      <c r="A1896" s="1">
        <v>45043</v>
      </c>
      <c r="B1896">
        <v>81.694999999999993</v>
      </c>
    </row>
    <row r="1897" spans="1:2">
      <c r="A1897" s="1">
        <v>45044</v>
      </c>
      <c r="B1897">
        <v>81.72</v>
      </c>
    </row>
    <row r="1898" spans="1:2">
      <c r="A1898" s="1">
        <v>45047</v>
      </c>
      <c r="B1898">
        <v>81.77</v>
      </c>
    </row>
    <row r="1899" spans="1:2">
      <c r="A1899" s="1">
        <v>45048</v>
      </c>
      <c r="B1899">
        <v>81.75</v>
      </c>
    </row>
    <row r="1900" spans="1:2">
      <c r="A1900" s="1">
        <v>45049</v>
      </c>
      <c r="B1900">
        <v>81.754999999999995</v>
      </c>
    </row>
    <row r="1901" spans="1:2">
      <c r="A1901" s="1">
        <v>45050</v>
      </c>
      <c r="B1901">
        <v>81.709999999999994</v>
      </c>
    </row>
    <row r="1902" spans="1:2">
      <c r="A1902" s="1">
        <v>45051</v>
      </c>
      <c r="B1902">
        <v>81.7</v>
      </c>
    </row>
    <row r="1903" spans="1:2">
      <c r="A1903" s="1">
        <v>45054</v>
      </c>
      <c r="B1903">
        <v>81.77</v>
      </c>
    </row>
    <row r="1904" spans="1:2">
      <c r="A1904" s="1">
        <v>45055</v>
      </c>
      <c r="B1904">
        <v>82.1</v>
      </c>
    </row>
    <row r="1905" spans="1:2">
      <c r="A1905" s="1">
        <v>45056</v>
      </c>
      <c r="B1905">
        <v>81.900000000000006</v>
      </c>
    </row>
    <row r="1906" spans="1:2">
      <c r="A1906" s="1">
        <v>45057</v>
      </c>
      <c r="B1906">
        <v>82.09</v>
      </c>
    </row>
    <row r="1907" spans="1:2">
      <c r="A1907" s="1">
        <v>45058</v>
      </c>
      <c r="B1907">
        <v>82.173000000000002</v>
      </c>
    </row>
    <row r="1908" spans="1:2">
      <c r="A1908" s="1">
        <v>45061</v>
      </c>
      <c r="B1908">
        <v>82.236999999999995</v>
      </c>
    </row>
    <row r="1909" spans="1:2">
      <c r="A1909" s="1">
        <v>45062</v>
      </c>
      <c r="B1909">
        <v>82.263999999999996</v>
      </c>
    </row>
    <row r="1910" spans="1:2">
      <c r="A1910" s="1">
        <v>45063</v>
      </c>
      <c r="B1910">
        <v>82.4</v>
      </c>
    </row>
    <row r="1911" spans="1:2">
      <c r="A1911" s="1">
        <v>45064</v>
      </c>
      <c r="B1911">
        <v>82.72</v>
      </c>
    </row>
    <row r="1912" spans="1:2">
      <c r="A1912" s="1">
        <v>45065</v>
      </c>
      <c r="B1912">
        <v>82.878</v>
      </c>
    </row>
    <row r="1913" spans="1:2">
      <c r="A1913" s="1">
        <v>45068</v>
      </c>
      <c r="B1913">
        <v>82.84</v>
      </c>
    </row>
    <row r="1914" spans="1:2">
      <c r="A1914" s="1">
        <v>45069</v>
      </c>
      <c r="B1914">
        <v>82.83</v>
      </c>
    </row>
    <row r="1915" spans="1:2">
      <c r="A1915" s="1">
        <v>45070</v>
      </c>
      <c r="B1915">
        <v>82.67</v>
      </c>
    </row>
    <row r="1916" spans="1:2">
      <c r="A1916" s="1">
        <v>45071</v>
      </c>
      <c r="B1916">
        <v>82.733000000000004</v>
      </c>
    </row>
    <row r="1917" spans="1:2">
      <c r="A1917" s="1">
        <v>45072</v>
      </c>
      <c r="B1917">
        <v>82.57</v>
      </c>
    </row>
    <row r="1918" spans="1:2">
      <c r="A1918" s="1">
        <v>45075</v>
      </c>
      <c r="B1918">
        <v>82.585999999999999</v>
      </c>
    </row>
    <row r="1919" spans="1:2">
      <c r="A1919" s="1">
        <v>45076</v>
      </c>
      <c r="B1919">
        <v>82.665000000000006</v>
      </c>
    </row>
    <row r="1920" spans="1:2">
      <c r="A1920" s="1">
        <v>45077</v>
      </c>
      <c r="B1920">
        <v>82.68</v>
      </c>
    </row>
    <row r="1921" spans="1:2">
      <c r="A1921" s="1">
        <v>45078</v>
      </c>
      <c r="B1921">
        <v>82.266000000000005</v>
      </c>
    </row>
    <row r="1922" spans="1:2">
      <c r="A1922" s="1">
        <v>45079</v>
      </c>
      <c r="B1922">
        <v>82.397999999999996</v>
      </c>
    </row>
    <row r="1923" spans="1:2">
      <c r="A1923" s="1">
        <v>45082</v>
      </c>
      <c r="B1923">
        <v>82.52</v>
      </c>
    </row>
    <row r="1924" spans="1:2">
      <c r="A1924" s="1">
        <v>45083</v>
      </c>
      <c r="B1924">
        <v>82.51</v>
      </c>
    </row>
    <row r="1925" spans="1:2">
      <c r="A1925" s="1">
        <v>45084</v>
      </c>
      <c r="B1925">
        <v>82.5</v>
      </c>
    </row>
    <row r="1926" spans="1:2">
      <c r="A1926" s="1">
        <v>45085</v>
      </c>
      <c r="B1926">
        <v>82.488</v>
      </c>
    </row>
    <row r="1927" spans="1:2">
      <c r="A1927" s="1">
        <v>45086</v>
      </c>
      <c r="B1927">
        <v>82.44</v>
      </c>
    </row>
    <row r="1928" spans="1:2">
      <c r="A1928" s="1">
        <v>45089</v>
      </c>
      <c r="B1928">
        <v>82.39</v>
      </c>
    </row>
    <row r="1929" spans="1:2">
      <c r="A1929" s="1">
        <v>45090</v>
      </c>
      <c r="B1929">
        <v>82.228999999999999</v>
      </c>
    </row>
    <row r="1930" spans="1:2">
      <c r="A1930" s="1">
        <v>45091</v>
      </c>
      <c r="B1930">
        <v>81.95</v>
      </c>
    </row>
    <row r="1931" spans="1:2">
      <c r="A1931" s="1">
        <v>45092</v>
      </c>
      <c r="B1931">
        <v>81.900000000000006</v>
      </c>
    </row>
    <row r="1932" spans="1:2">
      <c r="A1932" s="1">
        <v>45093</v>
      </c>
      <c r="B1932">
        <v>81.91</v>
      </c>
    </row>
    <row r="1933" spans="1:2">
      <c r="A1933" s="1">
        <v>45096</v>
      </c>
      <c r="B1933">
        <v>81.91</v>
      </c>
    </row>
    <row r="1934" spans="1:2">
      <c r="A1934" s="1">
        <v>45097</v>
      </c>
      <c r="B1934">
        <v>82</v>
      </c>
    </row>
    <row r="1935" spans="1:2">
      <c r="A1935" s="1">
        <v>45098</v>
      </c>
      <c r="B1935">
        <v>81.93</v>
      </c>
    </row>
    <row r="1936" spans="1:2">
      <c r="A1936" s="1">
        <v>45099</v>
      </c>
      <c r="B1936">
        <v>81.95</v>
      </c>
    </row>
    <row r="1937" spans="1:2">
      <c r="A1937" s="1">
        <v>45100</v>
      </c>
      <c r="B1937">
        <v>81.98</v>
      </c>
    </row>
    <row r="1938" spans="1:2">
      <c r="A1938" s="1">
        <v>45103</v>
      </c>
      <c r="B1938">
        <v>81.97</v>
      </c>
    </row>
    <row r="1939" spans="1:2">
      <c r="A1939" s="1">
        <v>45104</v>
      </c>
      <c r="B1939">
        <v>81.983000000000004</v>
      </c>
    </row>
    <row r="1940" spans="1:2">
      <c r="A1940" s="1">
        <v>45105</v>
      </c>
      <c r="B1940">
        <v>82.02</v>
      </c>
    </row>
    <row r="1941" spans="1:2">
      <c r="A1941" s="1">
        <v>45106</v>
      </c>
      <c r="B1941">
        <v>82.1</v>
      </c>
    </row>
    <row r="1942" spans="1:2">
      <c r="A1942" s="1">
        <v>45107</v>
      </c>
      <c r="B1942">
        <v>82.090999999999994</v>
      </c>
    </row>
    <row r="1943" spans="1:2">
      <c r="A1943" s="1">
        <v>45110</v>
      </c>
      <c r="B1943">
        <v>81.94</v>
      </c>
    </row>
    <row r="1944" spans="1:2">
      <c r="A1944" s="1">
        <v>45111</v>
      </c>
      <c r="B1944">
        <v>81.945999999999998</v>
      </c>
    </row>
    <row r="1945" spans="1:2">
      <c r="A1945" s="1">
        <v>45112</v>
      </c>
      <c r="B1945">
        <v>82.397000000000006</v>
      </c>
    </row>
    <row r="1946" spans="1:2">
      <c r="A1946" s="1">
        <v>45113</v>
      </c>
      <c r="B1946">
        <v>82.757999999999996</v>
      </c>
    </row>
    <row r="1947" spans="1:2">
      <c r="A1947" s="1">
        <v>45114</v>
      </c>
      <c r="B1947">
        <v>82.61</v>
      </c>
    </row>
    <row r="1948" spans="1:2">
      <c r="A1948" s="1">
        <v>45117</v>
      </c>
      <c r="B1948">
        <v>82.52</v>
      </c>
    </row>
    <row r="1949" spans="1:2">
      <c r="A1949" s="1">
        <v>45118</v>
      </c>
      <c r="B1949">
        <v>82.39</v>
      </c>
    </row>
    <row r="1950" spans="1:2">
      <c r="A1950" s="1">
        <v>45119</v>
      </c>
      <c r="B1950">
        <v>81.98</v>
      </c>
    </row>
    <row r="1951" spans="1:2">
      <c r="A1951" s="1">
        <v>45120</v>
      </c>
      <c r="B1951">
        <v>82.04</v>
      </c>
    </row>
    <row r="1952" spans="1:2">
      <c r="A1952" s="1">
        <v>45121</v>
      </c>
      <c r="B1952">
        <v>82.049000000000007</v>
      </c>
    </row>
    <row r="1953" spans="1:2">
      <c r="A1953" s="1">
        <v>45124</v>
      </c>
      <c r="B1953">
        <v>82.04</v>
      </c>
    </row>
    <row r="1954" spans="1:2">
      <c r="A1954" s="1">
        <v>45125</v>
      </c>
      <c r="B1954">
        <v>82.06</v>
      </c>
    </row>
    <row r="1955" spans="1:2">
      <c r="A1955" s="1">
        <v>45126</v>
      </c>
      <c r="B1955">
        <v>82.05</v>
      </c>
    </row>
    <row r="1956" spans="1:2">
      <c r="A1956" s="1">
        <v>45127</v>
      </c>
      <c r="B1956">
        <v>82.07</v>
      </c>
    </row>
    <row r="1957" spans="1:2">
      <c r="A1957" s="1">
        <v>45128</v>
      </c>
      <c r="B1957">
        <v>81.98</v>
      </c>
    </row>
    <row r="1958" spans="1:2">
      <c r="A1958" s="1">
        <v>45131</v>
      </c>
      <c r="B1958">
        <v>81.790000000000006</v>
      </c>
    </row>
    <row r="1959" spans="1:2">
      <c r="A1959" s="1">
        <v>45132</v>
      </c>
      <c r="B1959">
        <v>81.849999999999994</v>
      </c>
    </row>
    <row r="1960" spans="1:2">
      <c r="A1960" s="1">
        <v>45133</v>
      </c>
      <c r="B1960">
        <v>81.95</v>
      </c>
    </row>
    <row r="1961" spans="1:2">
      <c r="A1961" s="1">
        <v>45134</v>
      </c>
      <c r="B1961">
        <v>82.15</v>
      </c>
    </row>
    <row r="1962" spans="1:2">
      <c r="A1962" s="1">
        <v>45135</v>
      </c>
      <c r="B1962">
        <v>82.224999999999994</v>
      </c>
    </row>
    <row r="1963" spans="1:2">
      <c r="A1963" s="1">
        <v>45138</v>
      </c>
      <c r="B1963">
        <v>82.24</v>
      </c>
    </row>
    <row r="1964" spans="1:2">
      <c r="A1964" s="1">
        <v>45139</v>
      </c>
      <c r="B1964">
        <v>82.34</v>
      </c>
    </row>
    <row r="1965" spans="1:2">
      <c r="A1965" s="1">
        <v>45140</v>
      </c>
      <c r="B1965">
        <v>82.73</v>
      </c>
    </row>
    <row r="1966" spans="1:2">
      <c r="A1966" s="1">
        <v>45141</v>
      </c>
      <c r="B1966">
        <v>82.75</v>
      </c>
    </row>
    <row r="1967" spans="1:2">
      <c r="A1967" s="1">
        <v>45142</v>
      </c>
      <c r="B1967">
        <v>82.668000000000006</v>
      </c>
    </row>
    <row r="1968" spans="1:2">
      <c r="A1968" s="1">
        <v>45145</v>
      </c>
      <c r="B1968">
        <v>82.75</v>
      </c>
    </row>
    <row r="1969" spans="1:2">
      <c r="A1969" s="1">
        <v>45146</v>
      </c>
      <c r="B1969">
        <v>82.852999999999994</v>
      </c>
    </row>
    <row r="1970" spans="1:2">
      <c r="A1970" s="1">
        <v>45147</v>
      </c>
      <c r="B1970">
        <v>82.843999999999994</v>
      </c>
    </row>
    <row r="1971" spans="1:2">
      <c r="A1971" s="1">
        <v>45148</v>
      </c>
      <c r="B1971">
        <v>82.616</v>
      </c>
    </row>
    <row r="1972" spans="1:2">
      <c r="A1972" s="1">
        <v>45149</v>
      </c>
      <c r="B1972">
        <v>82.87</v>
      </c>
    </row>
    <row r="1973" spans="1:2">
      <c r="A1973" s="1">
        <v>45152</v>
      </c>
      <c r="B1973">
        <v>83.17</v>
      </c>
    </row>
    <row r="1974" spans="1:2">
      <c r="A1974" s="1">
        <v>45153</v>
      </c>
      <c r="B1974">
        <v>83.212000000000003</v>
      </c>
    </row>
    <row r="1975" spans="1:2">
      <c r="A1975" s="1">
        <v>45154</v>
      </c>
      <c r="B1975">
        <v>83.209000000000003</v>
      </c>
    </row>
    <row r="1976" spans="1:2">
      <c r="A1976" s="1">
        <v>45155</v>
      </c>
      <c r="B1976">
        <v>83.13</v>
      </c>
    </row>
    <row r="1977" spans="1:2">
      <c r="A1977" s="1">
        <v>45156</v>
      </c>
      <c r="B1977">
        <v>83.14</v>
      </c>
    </row>
    <row r="1978" spans="1:2">
      <c r="A1978" s="1">
        <v>45159</v>
      </c>
      <c r="B1978">
        <v>83.09</v>
      </c>
    </row>
    <row r="1979" spans="1:2">
      <c r="A1979" s="1">
        <v>45160</v>
      </c>
      <c r="B1979">
        <v>83.04</v>
      </c>
    </row>
    <row r="1980" spans="1:2">
      <c r="A1980" s="1">
        <v>45161</v>
      </c>
      <c r="B1980">
        <v>82.507999999999996</v>
      </c>
    </row>
    <row r="1981" spans="1:2">
      <c r="A1981" s="1">
        <v>45162</v>
      </c>
      <c r="B1981">
        <v>82.58</v>
      </c>
    </row>
    <row r="1982" spans="1:2">
      <c r="A1982" s="1">
        <v>45163</v>
      </c>
      <c r="B1982">
        <v>82.637</v>
      </c>
    </row>
    <row r="1983" spans="1:2">
      <c r="A1983" s="1">
        <v>45166</v>
      </c>
      <c r="B1983">
        <v>82.6</v>
      </c>
    </row>
    <row r="1984" spans="1:2">
      <c r="A1984" s="1">
        <v>45167</v>
      </c>
      <c r="B1984">
        <v>82.573999999999998</v>
      </c>
    </row>
    <row r="1985" spans="1:2">
      <c r="A1985" s="1">
        <v>45168</v>
      </c>
      <c r="B1985">
        <v>82.606999999999999</v>
      </c>
    </row>
    <row r="1986" spans="1:2">
      <c r="A1986" s="1">
        <v>45169</v>
      </c>
      <c r="B1986">
        <v>82.701999999999998</v>
      </c>
    </row>
    <row r="1987" spans="1:2">
      <c r="A1987" s="1">
        <v>45170</v>
      </c>
      <c r="B1987">
        <v>82.688999999999993</v>
      </c>
    </row>
    <row r="1988" spans="1:2">
      <c r="A1988" s="1">
        <v>45173</v>
      </c>
      <c r="B1988">
        <v>82.715000000000003</v>
      </c>
    </row>
    <row r="1989" spans="1:2">
      <c r="A1989" s="1">
        <v>45174</v>
      </c>
      <c r="B1989">
        <v>83.033000000000001</v>
      </c>
    </row>
    <row r="1990" spans="1:2">
      <c r="A1990" s="1">
        <v>45175</v>
      </c>
      <c r="B1990">
        <v>83.197000000000003</v>
      </c>
    </row>
    <row r="1991" spans="1:2">
      <c r="A1991" s="1">
        <v>45176</v>
      </c>
      <c r="B1991">
        <v>83.15</v>
      </c>
    </row>
    <row r="1992" spans="1:2">
      <c r="A1992" s="1">
        <v>45177</v>
      </c>
      <c r="B1992">
        <v>83.004000000000005</v>
      </c>
    </row>
    <row r="1993" spans="1:2">
      <c r="A1993" s="1">
        <v>45180</v>
      </c>
      <c r="B1993">
        <v>82.9</v>
      </c>
    </row>
    <row r="1994" spans="1:2">
      <c r="A1994" s="1">
        <v>45181</v>
      </c>
      <c r="B1994">
        <v>82.85</v>
      </c>
    </row>
    <row r="1995" spans="1:2">
      <c r="A1995" s="1">
        <v>45182</v>
      </c>
      <c r="B1995">
        <v>82.933999999999997</v>
      </c>
    </row>
    <row r="1996" spans="1:2">
      <c r="A1996" s="1">
        <v>45183</v>
      </c>
      <c r="B1996">
        <v>83.01</v>
      </c>
    </row>
    <row r="1997" spans="1:2">
      <c r="A1997" s="1">
        <v>45184</v>
      </c>
      <c r="B1997">
        <v>83.069000000000003</v>
      </c>
    </row>
    <row r="1998" spans="1:2">
      <c r="A1998" s="1">
        <v>45187</v>
      </c>
      <c r="B1998">
        <v>83.27</v>
      </c>
    </row>
    <row r="1999" spans="1:2">
      <c r="A1999" s="1">
        <v>45188</v>
      </c>
      <c r="B1999">
        <v>83.31</v>
      </c>
    </row>
    <row r="2000" spans="1:2">
      <c r="A2000" s="1">
        <v>45189</v>
      </c>
      <c r="B2000">
        <v>82.92</v>
      </c>
    </row>
    <row r="2001" spans="1:2">
      <c r="A2001" s="1">
        <v>45190</v>
      </c>
      <c r="B2001">
        <v>83.102000000000004</v>
      </c>
    </row>
    <row r="2002" spans="1:2">
      <c r="A2002" s="1">
        <v>45191</v>
      </c>
      <c r="B2002">
        <v>82.97</v>
      </c>
    </row>
    <row r="2003" spans="1:2">
      <c r="A2003" s="1">
        <v>45194</v>
      </c>
      <c r="B2003">
        <v>83.13</v>
      </c>
    </row>
    <row r="2004" spans="1:2">
      <c r="A2004" s="1">
        <v>45195</v>
      </c>
      <c r="B2004">
        <v>83.23</v>
      </c>
    </row>
    <row r="2005" spans="1:2">
      <c r="A2005" s="1">
        <v>45196</v>
      </c>
      <c r="B2005">
        <v>83.180999999999997</v>
      </c>
    </row>
    <row r="2006" spans="1:2">
      <c r="A2006" s="1">
        <v>45197</v>
      </c>
      <c r="B2006">
        <v>83.15</v>
      </c>
    </row>
    <row r="2007" spans="1:2">
      <c r="A2007" s="1">
        <v>45198</v>
      </c>
      <c r="B2007">
        <v>83.03</v>
      </c>
    </row>
    <row r="2008" spans="1:2">
      <c r="A2008" s="1">
        <v>45201</v>
      </c>
      <c r="B2008">
        <v>83.174000000000007</v>
      </c>
    </row>
    <row r="2009" spans="1:2">
      <c r="A2009" s="1">
        <v>45202</v>
      </c>
      <c r="B2009">
        <v>83.213999999999999</v>
      </c>
    </row>
    <row r="2010" spans="1:2">
      <c r="A2010" s="1">
        <v>45203</v>
      </c>
      <c r="B2010">
        <v>83.25</v>
      </c>
    </row>
    <row r="2011" spans="1:2">
      <c r="A2011" s="1">
        <v>45204</v>
      </c>
      <c r="B2011">
        <v>83.2</v>
      </c>
    </row>
    <row r="2012" spans="1:2">
      <c r="A2012" s="1">
        <v>45205</v>
      </c>
      <c r="B2012">
        <v>83.117999999999995</v>
      </c>
    </row>
    <row r="2013" spans="1:2">
      <c r="A2013" s="1">
        <v>45208</v>
      </c>
      <c r="B2013">
        <v>83.254000000000005</v>
      </c>
    </row>
    <row r="2014" spans="1:2">
      <c r="A2014" s="1">
        <v>45209</v>
      </c>
      <c r="B2014">
        <v>83.162000000000006</v>
      </c>
    </row>
    <row r="2015" spans="1:2">
      <c r="A2015" s="1">
        <v>45210</v>
      </c>
      <c r="B2015">
        <v>83.16</v>
      </c>
    </row>
    <row r="2016" spans="1:2">
      <c r="A2016" s="1">
        <v>45211</v>
      </c>
      <c r="B2016">
        <v>83.29</v>
      </c>
    </row>
    <row r="2017" spans="1:2">
      <c r="A2017" s="1">
        <v>45212</v>
      </c>
      <c r="B2017">
        <v>83.254999999999995</v>
      </c>
    </row>
    <row r="2018" spans="1:2">
      <c r="A2018" s="1">
        <v>45215</v>
      </c>
      <c r="B2018">
        <v>83.19</v>
      </c>
    </row>
    <row r="2019" spans="1:2">
      <c r="A2019" s="1">
        <v>45216</v>
      </c>
      <c r="B2019">
        <v>83.24</v>
      </c>
    </row>
    <row r="2020" spans="1:2">
      <c r="A2020" s="1">
        <v>45217</v>
      </c>
      <c r="B2020">
        <v>83.29</v>
      </c>
    </row>
    <row r="2021" spans="1:2">
      <c r="A2021" s="1">
        <v>45218</v>
      </c>
      <c r="B2021">
        <v>83.096999999999994</v>
      </c>
    </row>
    <row r="2022" spans="1:2">
      <c r="A2022" s="1">
        <v>45219</v>
      </c>
      <c r="B2022">
        <v>83.15</v>
      </c>
    </row>
    <row r="2023" spans="1:2">
      <c r="A2023" s="1">
        <v>45222</v>
      </c>
      <c r="B2023">
        <v>83.070999999999998</v>
      </c>
    </row>
    <row r="2024" spans="1:2">
      <c r="A2024" s="1">
        <v>45223</v>
      </c>
      <c r="B2024">
        <v>83.01</v>
      </c>
    </row>
    <row r="2025" spans="1:2">
      <c r="A2025" s="1">
        <v>45224</v>
      </c>
      <c r="B2025">
        <v>83.14</v>
      </c>
    </row>
    <row r="2026" spans="1:2">
      <c r="A2026" s="1">
        <v>45225</v>
      </c>
      <c r="B2026">
        <v>83.242999999999995</v>
      </c>
    </row>
    <row r="2027" spans="1:2">
      <c r="A2027" s="1">
        <v>45226</v>
      </c>
      <c r="B2027">
        <v>83.265000000000001</v>
      </c>
    </row>
    <row r="2028" spans="1:2">
      <c r="A2028" s="1">
        <v>45229</v>
      </c>
      <c r="B2028">
        <v>83.25</v>
      </c>
    </row>
    <row r="2029" spans="1:2">
      <c r="A2029" s="1">
        <v>45230</v>
      </c>
      <c r="B2029">
        <v>83.256</v>
      </c>
    </row>
    <row r="2030" spans="1:2">
      <c r="A2030" s="1">
        <v>45231</v>
      </c>
      <c r="B2030">
        <v>83.236999999999995</v>
      </c>
    </row>
    <row r="2031" spans="1:2">
      <c r="A2031" s="1">
        <v>45232</v>
      </c>
      <c r="B2031">
        <v>83.233999999999995</v>
      </c>
    </row>
    <row r="2032" spans="1:2">
      <c r="A2032" s="1">
        <v>45233</v>
      </c>
      <c r="B2032">
        <v>83.14</v>
      </c>
    </row>
    <row r="2033" spans="1:2">
      <c r="A2033" s="1">
        <v>45236</v>
      </c>
      <c r="B2033">
        <v>83.218000000000004</v>
      </c>
    </row>
    <row r="2034" spans="1:2">
      <c r="A2034" s="1">
        <v>45237</v>
      </c>
      <c r="B2034">
        <v>83.23</v>
      </c>
    </row>
    <row r="2035" spans="1:2">
      <c r="A2035" s="1">
        <v>45238</v>
      </c>
      <c r="B2035">
        <v>83.212999999999994</v>
      </c>
    </row>
    <row r="2036" spans="1:2">
      <c r="A2036" s="1">
        <v>45239</v>
      </c>
      <c r="B2036">
        <v>83.314999999999998</v>
      </c>
    </row>
    <row r="2037" spans="1:2">
      <c r="A2037" s="1">
        <v>45240</v>
      </c>
      <c r="B2037">
        <v>83.308999999999997</v>
      </c>
    </row>
    <row r="2038" spans="1:2">
      <c r="A2038" s="1">
        <v>45243</v>
      </c>
      <c r="B2038">
        <v>83.18</v>
      </c>
    </row>
    <row r="2039" spans="1:2">
      <c r="A2039" s="1">
        <v>45244</v>
      </c>
      <c r="B2039">
        <v>82.972999999999999</v>
      </c>
    </row>
    <row r="2040" spans="1:2">
      <c r="A2040" s="1">
        <v>45245</v>
      </c>
      <c r="B2040">
        <v>83.188000000000002</v>
      </c>
    </row>
    <row r="2041" spans="1:2">
      <c r="A2041" s="1">
        <v>45246</v>
      </c>
      <c r="B2041">
        <v>83.152000000000001</v>
      </c>
    </row>
    <row r="2042" spans="1:2">
      <c r="A2042" s="1">
        <v>45247</v>
      </c>
      <c r="B2042">
        <v>83.244</v>
      </c>
    </row>
    <row r="2043" spans="1:2">
      <c r="A2043" s="1">
        <v>45250</v>
      </c>
      <c r="B2043">
        <v>83.316999999999993</v>
      </c>
    </row>
    <row r="2044" spans="1:2">
      <c r="A2044" s="1">
        <v>45251</v>
      </c>
      <c r="B2044">
        <v>83.308000000000007</v>
      </c>
    </row>
    <row r="2045" spans="1:2">
      <c r="A2045" s="1">
        <v>45252</v>
      </c>
      <c r="B2045">
        <v>83.287000000000006</v>
      </c>
    </row>
    <row r="2046" spans="1:2">
      <c r="A2046" s="1">
        <v>45253</v>
      </c>
      <c r="B2046">
        <v>83.305000000000007</v>
      </c>
    </row>
    <row r="2047" spans="1:2">
      <c r="A2047" s="1">
        <v>45254</v>
      </c>
      <c r="B2047">
        <v>83.34</v>
      </c>
    </row>
    <row r="2048" spans="1:2">
      <c r="A2048" s="1">
        <v>45257</v>
      </c>
      <c r="B2048">
        <v>83.33</v>
      </c>
    </row>
    <row r="2049" spans="1:2">
      <c r="A2049" s="1">
        <v>45258</v>
      </c>
      <c r="B2049">
        <v>83.34</v>
      </c>
    </row>
    <row r="2050" spans="1:2">
      <c r="A2050" s="1">
        <v>45259</v>
      </c>
      <c r="B2050">
        <v>83.352000000000004</v>
      </c>
    </row>
    <row r="2051" spans="1:2">
      <c r="A2051" s="1">
        <v>45260</v>
      </c>
      <c r="B2051">
        <v>83.356999999999999</v>
      </c>
    </row>
    <row r="2052" spans="1:2">
      <c r="A2052" s="1">
        <v>45261</v>
      </c>
      <c r="B2052">
        <v>83.26</v>
      </c>
    </row>
    <row r="2053" spans="1:2">
      <c r="A2053" s="1">
        <v>45264</v>
      </c>
      <c r="B2053">
        <v>83.426000000000002</v>
      </c>
    </row>
    <row r="2054" spans="1:2">
      <c r="A2054" s="1">
        <v>45265</v>
      </c>
      <c r="B2054">
        <v>83.32</v>
      </c>
    </row>
    <row r="2055" spans="1:2">
      <c r="A2055" s="1">
        <v>45266</v>
      </c>
      <c r="B2055">
        <v>83.331999999999994</v>
      </c>
    </row>
    <row r="2056" spans="1:2">
      <c r="A2056" s="1">
        <v>45267</v>
      </c>
      <c r="B2056">
        <v>83.343000000000004</v>
      </c>
    </row>
    <row r="2057" spans="1:2">
      <c r="A2057" s="1">
        <v>45268</v>
      </c>
      <c r="B2057">
        <v>83.424999999999997</v>
      </c>
    </row>
    <row r="2058" spans="1:2">
      <c r="A2058" s="1">
        <v>45271</v>
      </c>
      <c r="B2058">
        <v>83.35</v>
      </c>
    </row>
    <row r="2059" spans="1:2">
      <c r="A2059" s="1">
        <v>45272</v>
      </c>
      <c r="B2059">
        <v>83.396000000000001</v>
      </c>
    </row>
    <row r="2060" spans="1:2">
      <c r="A2060" s="1">
        <v>45273</v>
      </c>
      <c r="B2060">
        <v>83.35</v>
      </c>
    </row>
    <row r="2061" spans="1:2">
      <c r="A2061" s="1">
        <v>45274</v>
      </c>
      <c r="B2061">
        <v>83.307000000000002</v>
      </c>
    </row>
    <row r="2062" spans="1:2">
      <c r="A2062" s="1">
        <v>45275</v>
      </c>
      <c r="B2062">
        <v>83.02</v>
      </c>
    </row>
    <row r="2063" spans="1:2">
      <c r="A2063" s="1">
        <v>45278</v>
      </c>
      <c r="B2063">
        <v>83.144000000000005</v>
      </c>
    </row>
    <row r="2064" spans="1:2">
      <c r="A2064" s="1">
        <v>45279</v>
      </c>
      <c r="B2064">
        <v>83.105999999999995</v>
      </c>
    </row>
    <row r="2065" spans="1:2">
      <c r="A2065" s="1">
        <v>45280</v>
      </c>
      <c r="B2065">
        <v>83.138999999999996</v>
      </c>
    </row>
    <row r="2066" spans="1:2">
      <c r="A2066" s="1">
        <v>45281</v>
      </c>
      <c r="B2066">
        <v>83.213999999999999</v>
      </c>
    </row>
    <row r="2067" spans="1:2">
      <c r="A2067" s="1">
        <v>45282</v>
      </c>
      <c r="B2067">
        <v>83.165999999999997</v>
      </c>
    </row>
    <row r="2068" spans="1:2">
      <c r="A2068" s="1">
        <v>45285</v>
      </c>
      <c r="B2068">
        <v>83.164000000000001</v>
      </c>
    </row>
    <row r="2069" spans="1:2">
      <c r="A2069" s="1">
        <v>45286</v>
      </c>
      <c r="B2069">
        <v>83.158000000000001</v>
      </c>
    </row>
    <row r="2070" spans="1:2">
      <c r="A2070" s="1">
        <v>45287</v>
      </c>
      <c r="B2070">
        <v>83.263000000000005</v>
      </c>
    </row>
    <row r="2071" spans="1:2">
      <c r="A2071" s="1">
        <v>45288</v>
      </c>
      <c r="B2071">
        <v>83.168999999999997</v>
      </c>
    </row>
    <row r="2072" spans="1:2">
      <c r="A2072" s="1">
        <v>45289</v>
      </c>
      <c r="B2072">
        <v>83.19</v>
      </c>
    </row>
    <row r="2073" spans="1:2">
      <c r="A2073" s="1">
        <v>45292</v>
      </c>
      <c r="B2073">
        <v>83.238</v>
      </c>
    </row>
    <row r="2074" spans="1:2">
      <c r="A2074" s="1">
        <v>45293</v>
      </c>
      <c r="B2074">
        <v>83.27</v>
      </c>
    </row>
    <row r="2075" spans="1:2">
      <c r="A2075" s="1">
        <v>45294</v>
      </c>
      <c r="B2075">
        <v>83.281999999999996</v>
      </c>
    </row>
    <row r="2076" spans="1:2">
      <c r="A2076" s="1">
        <v>45295</v>
      </c>
      <c r="B2076">
        <v>83.242999999999995</v>
      </c>
    </row>
    <row r="2077" spans="1:2">
      <c r="A2077" s="1">
        <v>45296</v>
      </c>
      <c r="B2077">
        <v>83.102999999999994</v>
      </c>
    </row>
    <row r="2078" spans="1:2">
      <c r="A2078" s="1">
        <v>45299</v>
      </c>
      <c r="B2078">
        <v>83.045000000000002</v>
      </c>
    </row>
    <row r="2079" spans="1:2">
      <c r="A2079" s="1">
        <v>45300</v>
      </c>
      <c r="B2079">
        <v>83.108999999999995</v>
      </c>
    </row>
    <row r="2080" spans="1:2">
      <c r="A2080" s="1">
        <v>45301</v>
      </c>
      <c r="B2080">
        <v>83.022999999999996</v>
      </c>
    </row>
    <row r="2081" spans="1:2">
      <c r="A2081" s="1">
        <v>45302</v>
      </c>
      <c r="B2081">
        <v>83.063000000000002</v>
      </c>
    </row>
    <row r="2082" spans="1:2">
      <c r="A2082" s="1">
        <v>45303</v>
      </c>
      <c r="B2082">
        <v>82.856999999999999</v>
      </c>
    </row>
    <row r="2083" spans="1:2">
      <c r="A2083" s="1">
        <v>45306</v>
      </c>
      <c r="B2083">
        <v>82.826999999999998</v>
      </c>
    </row>
    <row r="2084" spans="1:2">
      <c r="A2084" s="1">
        <v>45307</v>
      </c>
      <c r="B2084">
        <v>83.084000000000003</v>
      </c>
    </row>
    <row r="2085" spans="1:2">
      <c r="A2085" s="1">
        <v>45308</v>
      </c>
      <c r="B2085">
        <v>83.182000000000002</v>
      </c>
    </row>
    <row r="2086" spans="1:2">
      <c r="A2086" s="1">
        <v>45309</v>
      </c>
      <c r="B2086">
        <v>83.165000000000006</v>
      </c>
    </row>
    <row r="2087" spans="1:2">
      <c r="A2087" s="1">
        <v>45310</v>
      </c>
      <c r="B2087">
        <v>83.085999999999999</v>
      </c>
    </row>
    <row r="2088" spans="1:2">
      <c r="A2088" s="1">
        <v>45313</v>
      </c>
      <c r="B2088">
        <v>83.1</v>
      </c>
    </row>
    <row r="2089" spans="1:2">
      <c r="A2089" s="1">
        <v>45314</v>
      </c>
      <c r="B2089">
        <v>83.15</v>
      </c>
    </row>
    <row r="2090" spans="1:2">
      <c r="A2090" s="1">
        <v>45315</v>
      </c>
      <c r="B2090">
        <v>83.13</v>
      </c>
    </row>
    <row r="2091" spans="1:2">
      <c r="A2091" s="1">
        <v>45316</v>
      </c>
      <c r="B2091">
        <v>83.144000000000005</v>
      </c>
    </row>
    <row r="2092" spans="1:2">
      <c r="A2092" s="1">
        <v>45317</v>
      </c>
      <c r="B2092">
        <v>83.114999999999995</v>
      </c>
    </row>
    <row r="2093" spans="1:2">
      <c r="A2093" s="1">
        <v>45320</v>
      </c>
      <c r="B2093">
        <v>83.134</v>
      </c>
    </row>
    <row r="2094" spans="1:2">
      <c r="A2094" s="1">
        <v>45321</v>
      </c>
      <c r="B2094">
        <v>83.12</v>
      </c>
    </row>
    <row r="2095" spans="1:2">
      <c r="A2095" s="1">
        <v>45322</v>
      </c>
      <c r="B2095">
        <v>83.094999999999999</v>
      </c>
    </row>
    <row r="2096" spans="1:2">
      <c r="A2096" s="1">
        <v>45323</v>
      </c>
      <c r="B2096">
        <v>82.947000000000003</v>
      </c>
    </row>
    <row r="2097" spans="1:2">
      <c r="A2097" s="1">
        <v>45324</v>
      </c>
      <c r="B2097">
        <v>82.998999999999995</v>
      </c>
    </row>
    <row r="2098" spans="1:2">
      <c r="A2098" s="1">
        <v>45327</v>
      </c>
      <c r="B2098">
        <v>83.036000000000001</v>
      </c>
    </row>
    <row r="2099" spans="1:2">
      <c r="A2099" s="1">
        <v>45328</v>
      </c>
      <c r="B2099">
        <v>83.061999999999998</v>
      </c>
    </row>
    <row r="2100" spans="1:2">
      <c r="A2100" s="1">
        <v>45329</v>
      </c>
      <c r="B2100">
        <v>82.977000000000004</v>
      </c>
    </row>
    <row r="2101" spans="1:2">
      <c r="A2101" s="1">
        <v>45330</v>
      </c>
      <c r="B2101">
        <v>82.977999999999994</v>
      </c>
    </row>
    <row r="2102" spans="1:2">
      <c r="A2102" s="1">
        <v>45331</v>
      </c>
      <c r="B2102">
        <v>83</v>
      </c>
    </row>
    <row r="2103" spans="1:2">
      <c r="A2103" s="1">
        <v>45334</v>
      </c>
      <c r="B2103">
        <v>82.97</v>
      </c>
    </row>
    <row r="2104" spans="1:2">
      <c r="A2104" s="1">
        <v>45335</v>
      </c>
      <c r="B2104">
        <v>83.097999999999999</v>
      </c>
    </row>
    <row r="2105" spans="1:2">
      <c r="A2105" s="1">
        <v>45336</v>
      </c>
      <c r="B2105">
        <v>83.034000000000006</v>
      </c>
    </row>
    <row r="2106" spans="1:2">
      <c r="A2106" s="1">
        <v>45337</v>
      </c>
      <c r="B2106">
        <v>82.988</v>
      </c>
    </row>
    <row r="2107" spans="1:2">
      <c r="A2107" s="1">
        <v>45338</v>
      </c>
      <c r="B2107">
        <v>83.013000000000005</v>
      </c>
    </row>
    <row r="2108" spans="1:2">
      <c r="A2108" s="1">
        <v>45341</v>
      </c>
      <c r="B2108">
        <v>83.025999999999996</v>
      </c>
    </row>
    <row r="2109" spans="1:2">
      <c r="A2109" s="1">
        <v>45342</v>
      </c>
      <c r="B2109">
        <v>82.89</v>
      </c>
    </row>
    <row r="2110" spans="1:2">
      <c r="A2110" s="1">
        <v>45343</v>
      </c>
      <c r="B2110">
        <v>82.93</v>
      </c>
    </row>
    <row r="2111" spans="1:2">
      <c r="A2111" s="1">
        <v>45344</v>
      </c>
      <c r="B2111">
        <v>82.837000000000003</v>
      </c>
    </row>
    <row r="2112" spans="1:2">
      <c r="A2112" s="1">
        <v>45345</v>
      </c>
      <c r="B2112">
        <v>82.858999999999995</v>
      </c>
    </row>
    <row r="2113" spans="1:2">
      <c r="A2113" s="1">
        <v>45348</v>
      </c>
      <c r="B2113">
        <v>82.846000000000004</v>
      </c>
    </row>
    <row r="2114" spans="1:2">
      <c r="A2114" s="1">
        <v>45349</v>
      </c>
      <c r="B2114">
        <v>82.876999999999995</v>
      </c>
    </row>
    <row r="2115" spans="1:2">
      <c r="A2115" s="1">
        <v>45350</v>
      </c>
      <c r="B2115">
        <v>82.9</v>
      </c>
    </row>
    <row r="2116" spans="1:2">
      <c r="A2116" s="1">
        <v>45351</v>
      </c>
      <c r="B2116">
        <v>82.9</v>
      </c>
    </row>
    <row r="2117" spans="1:2">
      <c r="A2117" s="1">
        <v>45352</v>
      </c>
      <c r="B2117">
        <v>82.840999999999994</v>
      </c>
    </row>
    <row r="2118" spans="1:2">
      <c r="A2118" s="1">
        <v>45355</v>
      </c>
      <c r="B2118">
        <v>82.911000000000001</v>
      </c>
    </row>
    <row r="2119" spans="1:2">
      <c r="A2119" s="1">
        <v>45356</v>
      </c>
      <c r="B2119">
        <v>82.891000000000005</v>
      </c>
    </row>
    <row r="2120" spans="1:2">
      <c r="A2120" s="1">
        <v>45357</v>
      </c>
      <c r="B2120">
        <v>82.78</v>
      </c>
    </row>
    <row r="2121" spans="1:2">
      <c r="A2121" s="1">
        <v>45358</v>
      </c>
      <c r="B2121">
        <v>82.707999999999998</v>
      </c>
    </row>
    <row r="2122" spans="1:2">
      <c r="A2122" s="1">
        <v>45359</v>
      </c>
      <c r="B2122">
        <v>82.739000000000004</v>
      </c>
    </row>
    <row r="2123" spans="1:2">
      <c r="A2123" s="1">
        <v>45362</v>
      </c>
      <c r="B2123">
        <v>82.72</v>
      </c>
    </row>
    <row r="2124" spans="1:2">
      <c r="A2124" s="1">
        <v>45363</v>
      </c>
      <c r="B2124">
        <v>82.786000000000001</v>
      </c>
    </row>
    <row r="2125" spans="1:2">
      <c r="A2125" s="1">
        <v>45364</v>
      </c>
      <c r="B2125">
        <v>82.82</v>
      </c>
    </row>
    <row r="2126" spans="1:2">
      <c r="A2126" s="1">
        <v>45365</v>
      </c>
      <c r="B2126">
        <v>82.915000000000006</v>
      </c>
    </row>
    <row r="2127" spans="1:2">
      <c r="A2127" s="1">
        <v>45366</v>
      </c>
      <c r="B2127">
        <v>82.882999999999996</v>
      </c>
    </row>
    <row r="2128" spans="1:2">
      <c r="A2128" s="1">
        <v>45369</v>
      </c>
      <c r="B2128">
        <v>82.9</v>
      </c>
    </row>
    <row r="2129" spans="1:2">
      <c r="A2129" s="1">
        <v>45370</v>
      </c>
      <c r="B2129">
        <v>83.007000000000005</v>
      </c>
    </row>
    <row r="2130" spans="1:2">
      <c r="A2130" s="1">
        <v>45371</v>
      </c>
      <c r="B2130">
        <v>83.173000000000002</v>
      </c>
    </row>
    <row r="2131" spans="1:2">
      <c r="A2131" s="1">
        <v>45372</v>
      </c>
      <c r="B2131">
        <v>83.174000000000007</v>
      </c>
    </row>
    <row r="2132" spans="1:2">
      <c r="A2132" s="1">
        <v>45373</v>
      </c>
      <c r="B2132">
        <v>83.581999999999994</v>
      </c>
    </row>
    <row r="2133" spans="1:2">
      <c r="A2133" s="1">
        <v>45376</v>
      </c>
      <c r="B2133">
        <v>83.405000000000001</v>
      </c>
    </row>
    <row r="2134" spans="1:2">
      <c r="A2134" s="1">
        <v>45377</v>
      </c>
      <c r="B2134">
        <v>83.308999999999997</v>
      </c>
    </row>
    <row r="2135" spans="1:2">
      <c r="A2135" s="1">
        <v>45378</v>
      </c>
      <c r="B2135">
        <v>83.293999999999997</v>
      </c>
    </row>
    <row r="2136" spans="1:2">
      <c r="A2136" s="1">
        <v>45379</v>
      </c>
      <c r="B2136">
        <v>83.352000000000004</v>
      </c>
    </row>
    <row r="2137" spans="1:2">
      <c r="A2137" s="1">
        <v>45380</v>
      </c>
      <c r="B2137">
        <v>83.35</v>
      </c>
    </row>
    <row r="2138" spans="1:2">
      <c r="A2138" s="1">
        <v>45383</v>
      </c>
      <c r="B2138">
        <v>83.36</v>
      </c>
    </row>
    <row r="2139" spans="1:2">
      <c r="A2139" s="1">
        <v>45384</v>
      </c>
      <c r="B2139">
        <v>83.322000000000003</v>
      </c>
    </row>
    <row r="2140" spans="1:2">
      <c r="A2140" s="1">
        <v>45385</v>
      </c>
      <c r="B2140">
        <v>83.504000000000005</v>
      </c>
    </row>
    <row r="2141" spans="1:2">
      <c r="A2141" s="1">
        <v>45386</v>
      </c>
      <c r="B2141">
        <v>83.34</v>
      </c>
    </row>
    <row r="2142" spans="1:2">
      <c r="A2142" s="1">
        <v>45387</v>
      </c>
      <c r="B2142">
        <v>83.293000000000006</v>
      </c>
    </row>
    <row r="2143" spans="1:2">
      <c r="A2143" s="1">
        <v>45390</v>
      </c>
      <c r="B2143">
        <v>83.27</v>
      </c>
    </row>
    <row r="2144" spans="1:2">
      <c r="A2144" s="1">
        <v>45391</v>
      </c>
      <c r="B2144">
        <v>83.182000000000002</v>
      </c>
    </row>
    <row r="2145" spans="1:2">
      <c r="A2145" s="1">
        <v>45392</v>
      </c>
      <c r="B2145">
        <v>83.388999999999996</v>
      </c>
    </row>
    <row r="2146" spans="1:2">
      <c r="A2146" s="1">
        <v>45393</v>
      </c>
      <c r="B2146">
        <v>83.323999999999998</v>
      </c>
    </row>
    <row r="2147" spans="1:2">
      <c r="A2147" s="1">
        <v>45394</v>
      </c>
      <c r="B2147">
        <v>83.54</v>
      </c>
    </row>
    <row r="2148" spans="1:2">
      <c r="A2148" s="1">
        <v>45397</v>
      </c>
      <c r="B2148">
        <v>83.483999999999995</v>
      </c>
    </row>
    <row r="2149" spans="1:2">
      <c r="A2149" s="1">
        <v>45398</v>
      </c>
      <c r="B2149">
        <v>83.637</v>
      </c>
    </row>
    <row r="2150" spans="1:2">
      <c r="A2150" s="1">
        <v>45399</v>
      </c>
      <c r="B2150">
        <v>83.65</v>
      </c>
    </row>
    <row r="2151" spans="1:2">
      <c r="A2151" s="1">
        <v>45400</v>
      </c>
      <c r="B2151">
        <v>83.53</v>
      </c>
    </row>
    <row r="2152" spans="1:2">
      <c r="A2152" s="1">
        <v>45401</v>
      </c>
      <c r="B2152">
        <v>83.358000000000004</v>
      </c>
    </row>
    <row r="2153" spans="1:2">
      <c r="A2153" s="1">
        <v>45404</v>
      </c>
      <c r="B2153">
        <v>83.36</v>
      </c>
    </row>
    <row r="2154" spans="1:2">
      <c r="A2154" s="1">
        <v>45405</v>
      </c>
      <c r="B2154">
        <v>83.269000000000005</v>
      </c>
    </row>
    <row r="2155" spans="1:2">
      <c r="A2155" s="1">
        <v>45406</v>
      </c>
      <c r="B2155">
        <v>83.319000000000003</v>
      </c>
    </row>
    <row r="2156" spans="1:2">
      <c r="A2156" s="1">
        <v>45407</v>
      </c>
      <c r="B2156">
        <v>83.31</v>
      </c>
    </row>
    <row r="2157" spans="1:2">
      <c r="A2157" s="1">
        <v>45408</v>
      </c>
      <c r="B2157">
        <v>83.4</v>
      </c>
    </row>
    <row r="2158" spans="1:2">
      <c r="A2158" s="1">
        <v>45411</v>
      </c>
      <c r="B2158">
        <v>83.41</v>
      </c>
    </row>
    <row r="2159" spans="1:2">
      <c r="A2159" s="1">
        <v>45412</v>
      </c>
      <c r="B2159">
        <v>83.45</v>
      </c>
    </row>
    <row r="2160" spans="1:2">
      <c r="A2160" s="1">
        <v>45413</v>
      </c>
      <c r="B2160">
        <v>83.454999999999998</v>
      </c>
    </row>
    <row r="2161" spans="1:2">
      <c r="A2161" s="1">
        <v>45414</v>
      </c>
      <c r="B2161">
        <v>83.435000000000002</v>
      </c>
    </row>
    <row r="2162" spans="1:2">
      <c r="A2162" s="1">
        <v>45415</v>
      </c>
      <c r="B2162">
        <v>83.376000000000005</v>
      </c>
    </row>
    <row r="2163" spans="1:2">
      <c r="A2163" s="1">
        <v>45418</v>
      </c>
      <c r="B2163">
        <v>83.48</v>
      </c>
    </row>
    <row r="2164" spans="1:2">
      <c r="A2164" s="1">
        <v>45419</v>
      </c>
      <c r="B2164">
        <v>83.457999999999998</v>
      </c>
    </row>
    <row r="2165" spans="1:2">
      <c r="A2165" s="1">
        <v>45420</v>
      </c>
      <c r="B2165">
        <v>83.462000000000003</v>
      </c>
    </row>
    <row r="2166" spans="1:2">
      <c r="A2166" s="1">
        <v>45421</v>
      </c>
      <c r="B2166">
        <v>83.441000000000003</v>
      </c>
    </row>
    <row r="2167" spans="1:2">
      <c r="A2167" s="1">
        <v>45422</v>
      </c>
      <c r="B2167">
        <v>83.540999999999997</v>
      </c>
    </row>
    <row r="2168" spans="1:2">
      <c r="A2168" s="1">
        <v>45425</v>
      </c>
      <c r="B2168">
        <v>83.46</v>
      </c>
    </row>
    <row r="2169" spans="1:2">
      <c r="A2169" s="1">
        <v>45426</v>
      </c>
      <c r="B2169">
        <v>83.481999999999999</v>
      </c>
    </row>
    <row r="2170" spans="1:2">
      <c r="A2170" s="1">
        <v>45427</v>
      </c>
      <c r="B2170">
        <v>83.411000000000001</v>
      </c>
    </row>
    <row r="2171" spans="1:2">
      <c r="A2171" s="1">
        <v>45428</v>
      </c>
      <c r="B2171">
        <v>83.45</v>
      </c>
    </row>
    <row r="2172" spans="1:2">
      <c r="A2172" s="1">
        <v>45429</v>
      </c>
      <c r="B2172">
        <v>83.28</v>
      </c>
    </row>
    <row r="2173" spans="1:2">
      <c r="A2173" s="1">
        <v>45432</v>
      </c>
      <c r="B2173">
        <v>83.28</v>
      </c>
    </row>
    <row r="2174" spans="1:2">
      <c r="A2174" s="1">
        <v>45433</v>
      </c>
      <c r="B2174">
        <v>83.25</v>
      </c>
    </row>
    <row r="2175" spans="1:2">
      <c r="A2175" s="1">
        <v>45434</v>
      </c>
      <c r="B2175">
        <v>83.22</v>
      </c>
    </row>
    <row r="2176" spans="1:2">
      <c r="A2176" s="1">
        <v>45435</v>
      </c>
      <c r="B2176">
        <v>83.24</v>
      </c>
    </row>
    <row r="2177" spans="1:2">
      <c r="A2177" s="1">
        <v>45436</v>
      </c>
      <c r="B2177">
        <v>83.06</v>
      </c>
    </row>
    <row r="2178" spans="1:2">
      <c r="A2178" s="1">
        <v>45439</v>
      </c>
      <c r="B2178">
        <v>83.102000000000004</v>
      </c>
    </row>
    <row r="2179" spans="1:2">
      <c r="A2179" s="1">
        <v>45440</v>
      </c>
      <c r="B2179">
        <v>83.16</v>
      </c>
    </row>
    <row r="2180" spans="1:2">
      <c r="A2180" s="1">
        <v>45441</v>
      </c>
      <c r="B2180">
        <v>83.34</v>
      </c>
    </row>
    <row r="2181" spans="1:2">
      <c r="A2181" s="1">
        <v>45442</v>
      </c>
      <c r="B2181">
        <v>83.28</v>
      </c>
    </row>
    <row r="2182" spans="1:2">
      <c r="A2182" s="1">
        <v>45443</v>
      </c>
      <c r="B2182">
        <v>83.424000000000007</v>
      </c>
    </row>
    <row r="2183" spans="1:2">
      <c r="A2183" s="1">
        <v>45446</v>
      </c>
      <c r="B2183">
        <v>83.082999999999998</v>
      </c>
    </row>
    <row r="2184" spans="1:2">
      <c r="A2184" s="1">
        <v>45447</v>
      </c>
      <c r="B2184">
        <v>83.524000000000001</v>
      </c>
    </row>
    <row r="2185" spans="1:2">
      <c r="A2185" s="1">
        <v>45448</v>
      </c>
      <c r="B2185">
        <v>83.37</v>
      </c>
    </row>
    <row r="2186" spans="1:2">
      <c r="A2186" s="1">
        <v>45449</v>
      </c>
      <c r="B2186">
        <v>83.465999999999994</v>
      </c>
    </row>
    <row r="2187" spans="1:2">
      <c r="A2187" s="1">
        <v>45450</v>
      </c>
      <c r="B2187">
        <v>83.521000000000001</v>
      </c>
    </row>
    <row r="2188" spans="1:2">
      <c r="A2188" s="1">
        <v>45453</v>
      </c>
      <c r="B2188">
        <v>83.5</v>
      </c>
    </row>
    <row r="2189" spans="1:2">
      <c r="A2189" s="1">
        <v>45454</v>
      </c>
      <c r="B2189">
        <v>83.6</v>
      </c>
    </row>
    <row r="2190" spans="1:2">
      <c r="A2190" s="1">
        <v>45455</v>
      </c>
      <c r="B2190">
        <v>83.43</v>
      </c>
    </row>
    <row r="2191" spans="1:2">
      <c r="A2191" s="1">
        <v>45456</v>
      </c>
      <c r="B2191">
        <v>83.54</v>
      </c>
    </row>
    <row r="2192" spans="1:2">
      <c r="A2192" s="1">
        <v>45457</v>
      </c>
      <c r="B2192">
        <v>83.546999999999997</v>
      </c>
    </row>
    <row r="2193" spans="1:2">
      <c r="A2193" s="1">
        <v>45460</v>
      </c>
      <c r="B2193">
        <v>83.5</v>
      </c>
    </row>
    <row r="2194" spans="1:2">
      <c r="A2194" s="1">
        <v>45461</v>
      </c>
      <c r="B2194">
        <v>83.33</v>
      </c>
    </row>
    <row r="2195" spans="1:2">
      <c r="A2195" s="1">
        <v>45462</v>
      </c>
      <c r="B2195">
        <v>83.46</v>
      </c>
    </row>
    <row r="2196" spans="1:2">
      <c r="A2196" s="1">
        <v>45463</v>
      </c>
      <c r="B2196">
        <v>83.62</v>
      </c>
    </row>
    <row r="2197" spans="1:2">
      <c r="A2197" s="1">
        <v>45464</v>
      </c>
      <c r="B2197">
        <v>83.558000000000007</v>
      </c>
    </row>
    <row r="2198" spans="1:2">
      <c r="A2198" s="1">
        <v>45467</v>
      </c>
      <c r="B2198">
        <v>83.45</v>
      </c>
    </row>
    <row r="2199" spans="1:2">
      <c r="A2199" s="1">
        <v>45468</v>
      </c>
      <c r="B2199">
        <v>83.403000000000006</v>
      </c>
    </row>
    <row r="2200" spans="1:2">
      <c r="A2200" s="1">
        <v>45469</v>
      </c>
      <c r="B2200">
        <v>83.56</v>
      </c>
    </row>
    <row r="2201" spans="1:2">
      <c r="A2201" s="1">
        <v>45470</v>
      </c>
      <c r="B2201">
        <v>83.438000000000002</v>
      </c>
    </row>
    <row r="2202" spans="1:2">
      <c r="A2202" s="1">
        <v>45471</v>
      </c>
      <c r="B2202">
        <v>83.355000000000004</v>
      </c>
    </row>
    <row r="2203" spans="1:2">
      <c r="A2203" s="1">
        <v>45474</v>
      </c>
      <c r="B2203">
        <v>83.438000000000002</v>
      </c>
    </row>
    <row r="2204" spans="1:2">
      <c r="A2204" s="1">
        <v>45475</v>
      </c>
      <c r="B2204">
        <v>83.5</v>
      </c>
    </row>
    <row r="2205" spans="1:2">
      <c r="A2205" s="1">
        <v>45476</v>
      </c>
      <c r="B2205">
        <v>83.52</v>
      </c>
    </row>
    <row r="2206" spans="1:2">
      <c r="A2206" s="1">
        <v>45477</v>
      </c>
      <c r="B2206">
        <v>83.474999999999994</v>
      </c>
    </row>
    <row r="2207" spans="1:2">
      <c r="A2207" s="1">
        <v>45478</v>
      </c>
      <c r="B2207">
        <v>83.5</v>
      </c>
    </row>
    <row r="2208" spans="1:2">
      <c r="A2208" s="1">
        <v>45481</v>
      </c>
      <c r="B2208">
        <v>83.5</v>
      </c>
    </row>
    <row r="2209" spans="1:2">
      <c r="A2209" s="1">
        <v>45482</v>
      </c>
      <c r="B2209">
        <v>83.465000000000003</v>
      </c>
    </row>
    <row r="2210" spans="1:2">
      <c r="A2210" s="1">
        <v>45483</v>
      </c>
      <c r="B2210">
        <v>83.51</v>
      </c>
    </row>
    <row r="2211" spans="1:2">
      <c r="A2211" s="1">
        <v>45484</v>
      </c>
      <c r="B2211">
        <v>83.507000000000005</v>
      </c>
    </row>
    <row r="2212" spans="1:2">
      <c r="A2212" s="1">
        <v>45485</v>
      </c>
      <c r="B2212">
        <v>83.513000000000005</v>
      </c>
    </row>
    <row r="2213" spans="1:2">
      <c r="A2213" s="1">
        <v>45488</v>
      </c>
      <c r="B2213">
        <v>83.551000000000002</v>
      </c>
    </row>
    <row r="2214" spans="1:2">
      <c r="A2214" s="1">
        <v>45489</v>
      </c>
      <c r="B2214">
        <v>83.524000000000001</v>
      </c>
    </row>
    <row r="2215" spans="1:2">
      <c r="A2215" s="1">
        <v>45490</v>
      </c>
      <c r="B2215">
        <v>83.58</v>
      </c>
    </row>
    <row r="2216" spans="1:2">
      <c r="A2216" s="1">
        <v>45491</v>
      </c>
      <c r="B2216">
        <v>83.58</v>
      </c>
    </row>
    <row r="2217" spans="1:2">
      <c r="A2217" s="1">
        <v>45492</v>
      </c>
      <c r="B2217">
        <v>83.724000000000004</v>
      </c>
    </row>
    <row r="2218" spans="1:2">
      <c r="A2218" s="1">
        <v>45495</v>
      </c>
      <c r="B2218">
        <v>83.650999999999996</v>
      </c>
    </row>
    <row r="2219" spans="1:2">
      <c r="A2219" s="1">
        <v>45496</v>
      </c>
      <c r="B2219">
        <v>83.676000000000002</v>
      </c>
    </row>
    <row r="2220" spans="1:2">
      <c r="A2220" s="1">
        <v>45497</v>
      </c>
      <c r="B2220">
        <v>83.71</v>
      </c>
    </row>
    <row r="2221" spans="1:2">
      <c r="A2221" s="1">
        <v>45498</v>
      </c>
      <c r="B2221">
        <v>83.72</v>
      </c>
    </row>
    <row r="2222" spans="1:2">
      <c r="A2222" s="1">
        <v>45499</v>
      </c>
      <c r="B2222">
        <v>83.703000000000003</v>
      </c>
    </row>
    <row r="2223" spans="1:2">
      <c r="A2223" s="1">
        <v>45502</v>
      </c>
      <c r="B2223">
        <v>83.748000000000005</v>
      </c>
    </row>
    <row r="2224" spans="1:2">
      <c r="A2224" s="1">
        <v>45503</v>
      </c>
      <c r="B2224">
        <v>83.72</v>
      </c>
    </row>
    <row r="2225" spans="1:2">
      <c r="A2225" s="1">
        <v>45504</v>
      </c>
      <c r="B2225">
        <v>83.698999999999998</v>
      </c>
    </row>
    <row r="2226" spans="1:2">
      <c r="A2226" s="1">
        <v>45505</v>
      </c>
      <c r="B2226">
        <v>83.71</v>
      </c>
    </row>
    <row r="2227" spans="1:2">
      <c r="A2227" s="1">
        <v>45506</v>
      </c>
      <c r="B2227">
        <v>83.793999999999997</v>
      </c>
    </row>
    <row r="2228" spans="1:2">
      <c r="A2228" s="1">
        <v>45509</v>
      </c>
      <c r="B2228">
        <v>84.018000000000001</v>
      </c>
    </row>
    <row r="2229" spans="1:2">
      <c r="A2229" s="1">
        <v>45510</v>
      </c>
      <c r="B2229">
        <v>83.93</v>
      </c>
    </row>
    <row r="2230" spans="1:2">
      <c r="A2230" s="1">
        <v>45511</v>
      </c>
      <c r="B2230">
        <v>83.885000000000005</v>
      </c>
    </row>
    <row r="2231" spans="1:2">
      <c r="A2231" s="1">
        <v>45512</v>
      </c>
      <c r="B2231">
        <v>83.99</v>
      </c>
    </row>
    <row r="2232" spans="1:2">
      <c r="A2232" s="1">
        <v>45513</v>
      </c>
      <c r="B2232">
        <v>83.944999999999993</v>
      </c>
    </row>
    <row r="2233" spans="1:2">
      <c r="A2233" s="1">
        <v>45516</v>
      </c>
      <c r="B2233">
        <v>83.93</v>
      </c>
    </row>
    <row r="2234" spans="1:2">
      <c r="A2234" s="1">
        <v>45517</v>
      </c>
      <c r="B2234">
        <v>83.91</v>
      </c>
    </row>
    <row r="2235" spans="1:2">
      <c r="A2235" s="1">
        <v>45518</v>
      </c>
      <c r="B2235">
        <v>83.96</v>
      </c>
    </row>
    <row r="2236" spans="1:2">
      <c r="A2236" s="1">
        <v>45519</v>
      </c>
      <c r="B2236">
        <v>83.94</v>
      </c>
    </row>
    <row r="2237" spans="1:2">
      <c r="A2237" s="1">
        <v>45520</v>
      </c>
      <c r="B2237">
        <v>83.88</v>
      </c>
    </row>
    <row r="2238" spans="1:2">
      <c r="A2238" s="1">
        <v>45523</v>
      </c>
      <c r="B2238">
        <v>83.85</v>
      </c>
    </row>
    <row r="2239" spans="1:2">
      <c r="A2239" s="1">
        <v>45524</v>
      </c>
      <c r="B2239">
        <v>83.75</v>
      </c>
    </row>
    <row r="2240" spans="1:2">
      <c r="A2240" s="1">
        <v>45525</v>
      </c>
      <c r="B2240">
        <v>83.87</v>
      </c>
    </row>
    <row r="2241" spans="1:2">
      <c r="A2241" s="1">
        <v>45526</v>
      </c>
      <c r="B2241">
        <v>83.93</v>
      </c>
    </row>
    <row r="2242" spans="1:2">
      <c r="A2242" s="1">
        <v>45527</v>
      </c>
      <c r="B2242">
        <v>83.808999999999997</v>
      </c>
    </row>
    <row r="2243" spans="1:2">
      <c r="A2243" s="1">
        <v>45530</v>
      </c>
      <c r="B2243">
        <v>83.84</v>
      </c>
    </row>
    <row r="2244" spans="1:2">
      <c r="A2244" s="1">
        <v>45531</v>
      </c>
      <c r="B2244">
        <v>83.91</v>
      </c>
    </row>
    <row r="2245" spans="1:2">
      <c r="A2245" s="1">
        <v>45532</v>
      </c>
      <c r="B2245">
        <v>83.9</v>
      </c>
    </row>
    <row r="2246" spans="1:2">
      <c r="A2246" s="1">
        <v>45533</v>
      </c>
      <c r="B2246">
        <v>83.88</v>
      </c>
    </row>
    <row r="2247" spans="1:2">
      <c r="A2247" s="1">
        <v>45534</v>
      </c>
      <c r="B2247">
        <v>83.867000000000004</v>
      </c>
    </row>
    <row r="2248" spans="1:2">
      <c r="A2248" s="1">
        <v>45537</v>
      </c>
      <c r="B2248">
        <v>83.88</v>
      </c>
    </row>
    <row r="2249" spans="1:2">
      <c r="A2249" s="1">
        <v>45538</v>
      </c>
      <c r="B2249">
        <v>83.95</v>
      </c>
    </row>
    <row r="2250" spans="1:2">
      <c r="A2250" s="1">
        <v>45539</v>
      </c>
      <c r="B2250">
        <v>83.96</v>
      </c>
    </row>
    <row r="2251" spans="1:2">
      <c r="A2251" s="1">
        <v>45540</v>
      </c>
      <c r="B2251">
        <v>83.960999999999999</v>
      </c>
    </row>
    <row r="2252" spans="1:2">
      <c r="A2252" s="1">
        <v>45541</v>
      </c>
      <c r="B2252">
        <v>83.984999999999999</v>
      </c>
    </row>
    <row r="2253" spans="1:2">
      <c r="A2253" s="1">
        <v>45544</v>
      </c>
      <c r="B2253">
        <v>83.927999999999997</v>
      </c>
    </row>
    <row r="2254" spans="1:2">
      <c r="A2254" s="1">
        <v>45545</v>
      </c>
      <c r="B2254">
        <v>83.948999999999998</v>
      </c>
    </row>
    <row r="2255" spans="1:2">
      <c r="A2255" s="1">
        <v>45546</v>
      </c>
      <c r="B2255">
        <v>83.96</v>
      </c>
    </row>
    <row r="2256" spans="1:2">
      <c r="A2256" s="1">
        <v>45547</v>
      </c>
      <c r="B2256">
        <v>83.92</v>
      </c>
    </row>
    <row r="2257" spans="1:2">
      <c r="A2257" s="1">
        <v>45548</v>
      </c>
      <c r="B2257">
        <v>83.88</v>
      </c>
    </row>
    <row r="2258" spans="1:2">
      <c r="A2258" s="1">
        <v>45551</v>
      </c>
      <c r="B2258">
        <v>83.84</v>
      </c>
    </row>
    <row r="2259" spans="1:2">
      <c r="A2259" s="1">
        <v>45552</v>
      </c>
      <c r="B2259">
        <v>83.747</v>
      </c>
    </row>
    <row r="2260" spans="1:2">
      <c r="A2260" s="1">
        <v>45553</v>
      </c>
      <c r="B2260">
        <v>83.65</v>
      </c>
    </row>
    <row r="2261" spans="1:2">
      <c r="A2261" s="1">
        <v>45554</v>
      </c>
      <c r="B2261">
        <v>83.62</v>
      </c>
    </row>
    <row r="2262" spans="1:2">
      <c r="A2262" s="1">
        <v>45555</v>
      </c>
      <c r="B2262">
        <v>83.484999999999999</v>
      </c>
    </row>
    <row r="2263" spans="1:2">
      <c r="A2263" s="1">
        <v>45558</v>
      </c>
      <c r="B2263">
        <v>83.53</v>
      </c>
    </row>
    <row r="2264" spans="1:2">
      <c r="A2264" s="1">
        <v>45559</v>
      </c>
      <c r="B2264">
        <v>83.6</v>
      </c>
    </row>
    <row r="2265" spans="1:2">
      <c r="A2265" s="1">
        <v>45560</v>
      </c>
      <c r="B2265">
        <v>83.6</v>
      </c>
    </row>
    <row r="2266" spans="1:2">
      <c r="A2266" s="1">
        <v>45561</v>
      </c>
      <c r="B2266">
        <v>83.600999999999999</v>
      </c>
    </row>
    <row r="2267" spans="1:2">
      <c r="A2267" s="1">
        <v>45562</v>
      </c>
      <c r="B2267">
        <v>83.71</v>
      </c>
    </row>
    <row r="2268" spans="1:2">
      <c r="A2268" s="1">
        <v>45565</v>
      </c>
      <c r="B2268">
        <v>83.754999999999995</v>
      </c>
    </row>
    <row r="2269" spans="1:2">
      <c r="A2269" s="1">
        <v>45566</v>
      </c>
      <c r="B2269">
        <v>83.9</v>
      </c>
    </row>
    <row r="2270" spans="1:2">
      <c r="A2270" s="1">
        <v>45567</v>
      </c>
      <c r="B2270">
        <v>83.92</v>
      </c>
    </row>
    <row r="2271" spans="1:2">
      <c r="A2271" s="1">
        <v>45568</v>
      </c>
      <c r="B2271">
        <v>83.99</v>
      </c>
    </row>
    <row r="2272" spans="1:2">
      <c r="A2272" s="1">
        <v>45569</v>
      </c>
      <c r="B2272">
        <v>84.022999999999996</v>
      </c>
    </row>
    <row r="2273" spans="1:2">
      <c r="A2273" s="1">
        <v>45572</v>
      </c>
      <c r="B2273">
        <v>83.98</v>
      </c>
    </row>
    <row r="2274" spans="1:2">
      <c r="A2274" s="1">
        <v>45573</v>
      </c>
      <c r="B2274">
        <v>83.944999999999993</v>
      </c>
    </row>
    <row r="2275" spans="1:2">
      <c r="A2275" s="1">
        <v>45574</v>
      </c>
      <c r="B2275">
        <v>83.95</v>
      </c>
    </row>
    <row r="2276" spans="1:2">
      <c r="A2276" s="1">
        <v>45575</v>
      </c>
      <c r="B2276">
        <v>83.94</v>
      </c>
    </row>
    <row r="2277" spans="1:2">
      <c r="A2277" s="1">
        <v>45576</v>
      </c>
      <c r="B2277">
        <v>84.100999999999999</v>
      </c>
    </row>
    <row r="2278" spans="1:2">
      <c r="A2278" s="1">
        <v>45579</v>
      </c>
      <c r="B2278">
        <v>84.045000000000002</v>
      </c>
    </row>
    <row r="2279" spans="1:2">
      <c r="A2279" s="1">
        <v>45580</v>
      </c>
      <c r="B2279">
        <v>84.04</v>
      </c>
    </row>
    <row r="2280" spans="1:2">
      <c r="A2280" s="1">
        <v>45581</v>
      </c>
      <c r="B2280">
        <v>84.03</v>
      </c>
    </row>
    <row r="2281" spans="1:2">
      <c r="A2281" s="1">
        <v>45582</v>
      </c>
      <c r="B2281">
        <v>84.034999999999997</v>
      </c>
    </row>
    <row r="2282" spans="1:2">
      <c r="A2282" s="1">
        <v>45583</v>
      </c>
      <c r="B2282">
        <v>84.064999999999998</v>
      </c>
    </row>
    <row r="2283" spans="1:2">
      <c r="A2283" s="1">
        <v>45586</v>
      </c>
      <c r="B2283">
        <v>84.07</v>
      </c>
    </row>
    <row r="2284" spans="1:2">
      <c r="A2284" s="1">
        <v>45587</v>
      </c>
      <c r="B2284">
        <v>84.07</v>
      </c>
    </row>
    <row r="2285" spans="1:2">
      <c r="A2285" s="1">
        <v>45588</v>
      </c>
      <c r="B2285">
        <v>84.055999999999997</v>
      </c>
    </row>
    <row r="2286" spans="1:2">
      <c r="A2286" s="1">
        <v>45589</v>
      </c>
      <c r="B2286">
        <v>84.05</v>
      </c>
    </row>
    <row r="2287" spans="1:2">
      <c r="A2287" s="1">
        <v>45590</v>
      </c>
      <c r="B2287">
        <v>84.094999999999999</v>
      </c>
    </row>
    <row r="2288" spans="1:2">
      <c r="A2288" s="1">
        <v>45593</v>
      </c>
      <c r="B2288">
        <v>84.06</v>
      </c>
    </row>
    <row r="2289" spans="1:2">
      <c r="A2289" s="1">
        <v>45594</v>
      </c>
      <c r="B2289">
        <v>84.05</v>
      </c>
    </row>
    <row r="2290" spans="1:2">
      <c r="A2290" s="1">
        <v>45595</v>
      </c>
      <c r="B2290">
        <v>84.08</v>
      </c>
    </row>
    <row r="2291" spans="1:2">
      <c r="A2291" s="1">
        <v>45596</v>
      </c>
      <c r="B2291">
        <v>84.061000000000007</v>
      </c>
    </row>
    <row r="2292" spans="1:2">
      <c r="A2292" s="1">
        <v>45597</v>
      </c>
      <c r="B2292">
        <v>84.08</v>
      </c>
    </row>
    <row r="2293" spans="1:2">
      <c r="A2293" s="1">
        <v>45600</v>
      </c>
      <c r="B2293">
        <v>84.13</v>
      </c>
    </row>
    <row r="2294" spans="1:2">
      <c r="A2294" s="1">
        <v>45601</v>
      </c>
      <c r="B2294">
        <v>84.108999999999995</v>
      </c>
    </row>
    <row r="2295" spans="1:2">
      <c r="A2295" s="1">
        <v>45602</v>
      </c>
      <c r="B2295">
        <v>84.31</v>
      </c>
    </row>
    <row r="2296" spans="1:2">
      <c r="A2296" s="1">
        <v>45603</v>
      </c>
      <c r="B2296">
        <v>84.293000000000006</v>
      </c>
    </row>
    <row r="2297" spans="1:2">
      <c r="A2297" s="1">
        <v>45604</v>
      </c>
      <c r="B2297">
        <v>84.394999999999996</v>
      </c>
    </row>
    <row r="2298" spans="1:2">
      <c r="A2298" s="1">
        <v>45607</v>
      </c>
      <c r="B2298">
        <v>84.379000000000005</v>
      </c>
    </row>
    <row r="2299" spans="1:2">
      <c r="A2299" s="1">
        <v>45608</v>
      </c>
      <c r="B2299">
        <v>84.38</v>
      </c>
    </row>
    <row r="2300" spans="1:2">
      <c r="A2300" s="1">
        <v>45609</v>
      </c>
      <c r="B2300">
        <v>84.415999999999997</v>
      </c>
    </row>
    <row r="2301" spans="1:2">
      <c r="A2301" s="1">
        <v>45610</v>
      </c>
      <c r="B2301">
        <v>84.460999999999999</v>
      </c>
    </row>
    <row r="2302" spans="1:2">
      <c r="A2302" s="1">
        <v>45611</v>
      </c>
      <c r="B2302">
        <v>84.424000000000007</v>
      </c>
    </row>
    <row r="2303" spans="1:2">
      <c r="A2303" s="1">
        <v>45614</v>
      </c>
      <c r="B2303">
        <v>84.397999999999996</v>
      </c>
    </row>
    <row r="2304" spans="1:2">
      <c r="A2304" s="1">
        <v>45615</v>
      </c>
      <c r="B2304">
        <v>84.39</v>
      </c>
    </row>
    <row r="2305" spans="1:2">
      <c r="A2305" s="1">
        <v>45616</v>
      </c>
      <c r="B2305">
        <v>84.36</v>
      </c>
    </row>
    <row r="2306" spans="1:2">
      <c r="A2306" s="1">
        <v>45617</v>
      </c>
      <c r="B2306">
        <v>84.495000000000005</v>
      </c>
    </row>
    <row r="2307" spans="1:2">
      <c r="A2307" s="1">
        <v>45618</v>
      </c>
      <c r="B2307">
        <v>84.426000000000002</v>
      </c>
    </row>
    <row r="2308" spans="1:2">
      <c r="A2308" s="1">
        <v>45621</v>
      </c>
      <c r="B2308">
        <v>84.26</v>
      </c>
    </row>
    <row r="2309" spans="1:2">
      <c r="A2309" s="1">
        <v>45622</v>
      </c>
      <c r="B2309">
        <v>84.319000000000003</v>
      </c>
    </row>
    <row r="2310" spans="1:2">
      <c r="A2310" s="1">
        <v>45623</v>
      </c>
      <c r="B2310">
        <v>84.41</v>
      </c>
    </row>
    <row r="2311" spans="1:2">
      <c r="A2311" s="1">
        <v>45624</v>
      </c>
      <c r="B2311">
        <v>84.444999999999993</v>
      </c>
    </row>
    <row r="2312" spans="1:2">
      <c r="A2312" s="1">
        <v>45625</v>
      </c>
      <c r="B2312">
        <v>84.558999999999997</v>
      </c>
    </row>
    <row r="2313" spans="1:2">
      <c r="A2313" s="1">
        <v>45628</v>
      </c>
      <c r="B2313">
        <v>84.74</v>
      </c>
    </row>
    <row r="2314" spans="1:2">
      <c r="A2314" s="1">
        <v>45629</v>
      </c>
      <c r="B2314">
        <v>84.676000000000002</v>
      </c>
    </row>
    <row r="2315" spans="1:2">
      <c r="A2315" s="1">
        <v>45630</v>
      </c>
      <c r="B2315">
        <v>84.692999999999998</v>
      </c>
    </row>
    <row r="2316" spans="1:2">
      <c r="A2316" s="1">
        <v>45631</v>
      </c>
      <c r="B2316">
        <v>84.683999999999997</v>
      </c>
    </row>
    <row r="2317" spans="1:2">
      <c r="A2317" s="1">
        <v>45632</v>
      </c>
      <c r="B2317">
        <v>84.668000000000006</v>
      </c>
    </row>
    <row r="2318" spans="1:2">
      <c r="A2318" s="1">
        <v>45635</v>
      </c>
      <c r="B2318">
        <v>84.828999999999994</v>
      </c>
    </row>
    <row r="2319" spans="1:2">
      <c r="A2319" s="1">
        <v>45636</v>
      </c>
      <c r="B2319">
        <v>84.88</v>
      </c>
    </row>
    <row r="2320" spans="1:2">
      <c r="A2320" s="1">
        <v>45637</v>
      </c>
      <c r="B2320">
        <v>84.795000000000002</v>
      </c>
    </row>
    <row r="2321" spans="1:2">
      <c r="A2321" s="1">
        <v>45638</v>
      </c>
      <c r="B2321">
        <v>84.825000000000003</v>
      </c>
    </row>
    <row r="2322" spans="1:2">
      <c r="A2322" s="1">
        <v>45639</v>
      </c>
      <c r="B2322">
        <v>84.781999999999996</v>
      </c>
    </row>
    <row r="2323" spans="1:2">
      <c r="A2323" s="1">
        <v>45642</v>
      </c>
      <c r="B2323">
        <v>84.89</v>
      </c>
    </row>
    <row r="2324" spans="1:2">
      <c r="A2324" s="1">
        <v>45643</v>
      </c>
      <c r="B2324">
        <v>84.902000000000001</v>
      </c>
    </row>
    <row r="2325" spans="1:2">
      <c r="A2325" s="1">
        <v>45644</v>
      </c>
      <c r="B2325">
        <v>84.867000000000004</v>
      </c>
    </row>
    <row r="2326" spans="1:2">
      <c r="A2326" s="1">
        <v>45645</v>
      </c>
      <c r="B2326">
        <v>85.087999999999994</v>
      </c>
    </row>
    <row r="2327" spans="1:2">
      <c r="A2327" s="1">
        <v>45646</v>
      </c>
      <c r="B2327">
        <v>84.947000000000003</v>
      </c>
    </row>
    <row r="2328" spans="1:2">
      <c r="A2328" s="1">
        <v>45649</v>
      </c>
      <c r="B2328">
        <v>85.094999999999999</v>
      </c>
    </row>
    <row r="2329" spans="1:2">
      <c r="A2329" s="1">
        <v>45650</v>
      </c>
      <c r="B2329">
        <v>85.176000000000002</v>
      </c>
    </row>
    <row r="2330" spans="1:2">
      <c r="A2330" s="1">
        <v>45651</v>
      </c>
      <c r="B2330">
        <v>85.197999999999993</v>
      </c>
    </row>
    <row r="2331" spans="1:2">
      <c r="A2331" s="1">
        <v>45652</v>
      </c>
      <c r="B2331">
        <v>85.254000000000005</v>
      </c>
    </row>
    <row r="2332" spans="1:2">
      <c r="A2332" s="1">
        <v>45653</v>
      </c>
      <c r="B2332">
        <v>85.388000000000005</v>
      </c>
    </row>
    <row r="2333" spans="1:2">
      <c r="A2333" s="1">
        <v>45656</v>
      </c>
      <c r="B2333">
        <v>85.474000000000004</v>
      </c>
    </row>
    <row r="2334" spans="1:2">
      <c r="A2334" s="1">
        <v>45657</v>
      </c>
      <c r="B2334">
        <v>85.554000000000002</v>
      </c>
    </row>
    <row r="2335" spans="1:2">
      <c r="A2335" s="1">
        <v>45658</v>
      </c>
      <c r="B2335">
        <v>85.644999999999996</v>
      </c>
    </row>
    <row r="2336" spans="1:2">
      <c r="A2336" s="1">
        <v>45659</v>
      </c>
      <c r="B2336">
        <v>85.76</v>
      </c>
    </row>
    <row r="2337" spans="1:2">
      <c r="A2337" s="1">
        <v>45660</v>
      </c>
      <c r="B2337">
        <v>85.760999999999996</v>
      </c>
    </row>
    <row r="2338" spans="1:2">
      <c r="A2338" s="1">
        <v>45663</v>
      </c>
      <c r="B2338">
        <v>85.7</v>
      </c>
    </row>
    <row r="2339" spans="1:2">
      <c r="A2339" s="1">
        <v>45664</v>
      </c>
      <c r="B2339">
        <v>85.802999999999997</v>
      </c>
    </row>
    <row r="2340" spans="1:2">
      <c r="A2340" s="1">
        <v>45665</v>
      </c>
      <c r="B2340">
        <v>85.917000000000002</v>
      </c>
    </row>
    <row r="2341" spans="1:2">
      <c r="A2341" s="1">
        <v>45666</v>
      </c>
      <c r="B2341">
        <v>85.89</v>
      </c>
    </row>
    <row r="2342" spans="1:2">
      <c r="A2342" s="1">
        <v>45667</v>
      </c>
      <c r="B2342">
        <v>86.165000000000006</v>
      </c>
    </row>
    <row r="2343" spans="1:2">
      <c r="A2343" s="1">
        <v>45670</v>
      </c>
      <c r="B2343">
        <v>86.646000000000001</v>
      </c>
    </row>
    <row r="2344" spans="1:2">
      <c r="A2344" s="1">
        <v>45671</v>
      </c>
      <c r="B2344">
        <v>86.525000000000006</v>
      </c>
    </row>
    <row r="2345" spans="1:2">
      <c r="A2345" s="1">
        <v>45672</v>
      </c>
      <c r="B2345">
        <v>86.38</v>
      </c>
    </row>
    <row r="2346" spans="1:2">
      <c r="A2346" s="1">
        <v>45673</v>
      </c>
      <c r="B2346">
        <v>86.57</v>
      </c>
    </row>
    <row r="2347" spans="1:2">
      <c r="A2347" s="1">
        <v>45674</v>
      </c>
      <c r="B2347">
        <v>86.570999999999998</v>
      </c>
    </row>
    <row r="2348" spans="1:2">
      <c r="A2348" s="1">
        <v>45677</v>
      </c>
      <c r="B2348">
        <v>86.209000000000003</v>
      </c>
    </row>
    <row r="2349" spans="1:2">
      <c r="A2349" s="1">
        <v>45678</v>
      </c>
      <c r="B2349">
        <v>86.451999999999998</v>
      </c>
    </row>
    <row r="2350" spans="1:2">
      <c r="A2350" s="1">
        <v>45679</v>
      </c>
      <c r="B2350">
        <v>86.45</v>
      </c>
    </row>
    <row r="2351" spans="1:2">
      <c r="A2351" s="1">
        <v>45680</v>
      </c>
      <c r="B2351">
        <v>86.43</v>
      </c>
    </row>
    <row r="2352" spans="1:2">
      <c r="A2352" s="1">
        <v>45681</v>
      </c>
      <c r="B2352">
        <v>86.2</v>
      </c>
    </row>
    <row r="2353" spans="1:2">
      <c r="A2353" s="1">
        <v>45684</v>
      </c>
      <c r="B2353">
        <v>86.35</v>
      </c>
    </row>
    <row r="2354" spans="1:2">
      <c r="A2354" s="1">
        <v>45685</v>
      </c>
      <c r="B2354">
        <v>86.584000000000003</v>
      </c>
    </row>
    <row r="2355" spans="1:2">
      <c r="A2355" s="1">
        <v>45686</v>
      </c>
      <c r="B2355">
        <v>86.63</v>
      </c>
    </row>
    <row r="2356" spans="1:2">
      <c r="A2356" s="1">
        <v>45687</v>
      </c>
      <c r="B2356">
        <v>86.545000000000002</v>
      </c>
    </row>
    <row r="2357" spans="1:2">
      <c r="A2357" s="1">
        <v>45688</v>
      </c>
      <c r="B2357">
        <v>86.536000000000001</v>
      </c>
    </row>
    <row r="2358" spans="1:2">
      <c r="A2358" s="1">
        <v>45691</v>
      </c>
      <c r="B2358">
        <v>86.96</v>
      </c>
    </row>
    <row r="2359" spans="1:2">
      <c r="A2359" s="1">
        <v>45692</v>
      </c>
      <c r="B2359">
        <v>87.07</v>
      </c>
    </row>
    <row r="2360" spans="1:2">
      <c r="A2360" s="1">
        <v>45693</v>
      </c>
      <c r="B2360">
        <v>87.335999999999999</v>
      </c>
    </row>
    <row r="2361" spans="1:2">
      <c r="A2361" s="1">
        <v>45694</v>
      </c>
      <c r="B2361">
        <v>87.58</v>
      </c>
    </row>
    <row r="2362" spans="1:2">
      <c r="A2362" s="1">
        <v>45695</v>
      </c>
      <c r="B2362">
        <v>87.626999999999995</v>
      </c>
    </row>
    <row r="2363" spans="1:2">
      <c r="A2363" s="1">
        <v>45698</v>
      </c>
      <c r="B2363">
        <v>87.468999999999994</v>
      </c>
    </row>
    <row r="2364" spans="1:2">
      <c r="A2364" s="1">
        <v>45699</v>
      </c>
      <c r="B2364">
        <v>86.789000000000001</v>
      </c>
    </row>
    <row r="2365" spans="1:2">
      <c r="A2365" s="1">
        <v>45700</v>
      </c>
      <c r="B2365">
        <v>86.9</v>
      </c>
    </row>
    <row r="2366" spans="1:2">
      <c r="A2366" s="1">
        <v>45701</v>
      </c>
      <c r="B2366">
        <v>86.69</v>
      </c>
    </row>
    <row r="2367" spans="1:2">
      <c r="A2367" s="1">
        <v>45702</v>
      </c>
      <c r="B2367">
        <v>86.62</v>
      </c>
    </row>
    <row r="2368" spans="1:2">
      <c r="A2368" s="1">
        <v>45705</v>
      </c>
      <c r="B2368">
        <v>86.808999999999997</v>
      </c>
    </row>
    <row r="2369" spans="1:2">
      <c r="A2369" s="1">
        <v>45706</v>
      </c>
      <c r="B2369">
        <v>86.867000000000004</v>
      </c>
    </row>
    <row r="2370" spans="1:2">
      <c r="A2370" s="1">
        <v>45707</v>
      </c>
      <c r="B2370">
        <v>86.89</v>
      </c>
    </row>
    <row r="2371" spans="1:2">
      <c r="A2371" s="1">
        <v>45708</v>
      </c>
      <c r="B2371">
        <v>86.561000000000007</v>
      </c>
    </row>
    <row r="2372" spans="1:2">
      <c r="A2372" s="1">
        <v>45709</v>
      </c>
      <c r="B2372">
        <v>86.572000000000003</v>
      </c>
    </row>
    <row r="2373" spans="1:2">
      <c r="A2373" s="1">
        <v>45712</v>
      </c>
      <c r="B2373">
        <v>86.66</v>
      </c>
    </row>
    <row r="2374" spans="1:2">
      <c r="A2374" s="1">
        <v>45713</v>
      </c>
      <c r="B2374">
        <v>87.13</v>
      </c>
    </row>
    <row r="2375" spans="1:2">
      <c r="A2375" s="1">
        <v>45714</v>
      </c>
      <c r="B2375">
        <v>87.113</v>
      </c>
    </row>
    <row r="2376" spans="1:2">
      <c r="A2376" s="1">
        <v>45715</v>
      </c>
      <c r="B2376">
        <v>87.33</v>
      </c>
    </row>
    <row r="2377" spans="1:2">
      <c r="A2377" s="1">
        <v>45716</v>
      </c>
      <c r="B2377">
        <v>87.465999999999994</v>
      </c>
    </row>
    <row r="2378" spans="1:2">
      <c r="A2378" s="1">
        <v>45719</v>
      </c>
      <c r="B2378">
        <v>87.26</v>
      </c>
    </row>
    <row r="2379" spans="1:2">
      <c r="A2379" s="1">
        <v>45720</v>
      </c>
      <c r="B2379">
        <v>87.254999999999995</v>
      </c>
    </row>
    <row r="2380" spans="1:2">
      <c r="A2380" s="1">
        <v>45721</v>
      </c>
      <c r="B2380">
        <v>86.88</v>
      </c>
    </row>
    <row r="2381" spans="1:2">
      <c r="A2381" s="1">
        <v>45722</v>
      </c>
      <c r="B2381">
        <v>87.010999999999996</v>
      </c>
    </row>
    <row r="2382" spans="1:2">
      <c r="A2382" s="1">
        <v>45723</v>
      </c>
      <c r="B2382">
        <v>87.1</v>
      </c>
    </row>
    <row r="2383" spans="1:2">
      <c r="A2383" s="1">
        <v>45726</v>
      </c>
      <c r="B2383">
        <v>87.29</v>
      </c>
    </row>
    <row r="2384" spans="1:2">
      <c r="A2384" s="1">
        <v>45727</v>
      </c>
      <c r="B2384">
        <v>87.176000000000002</v>
      </c>
    </row>
    <row r="2385" spans="1:2">
      <c r="A2385" s="1">
        <v>45728</v>
      </c>
      <c r="B2385">
        <v>87.15</v>
      </c>
    </row>
    <row r="2386" spans="1:2">
      <c r="A2386" s="1">
        <v>45729</v>
      </c>
      <c r="B2386">
        <v>86.897000000000006</v>
      </c>
    </row>
    <row r="2387" spans="1:2">
      <c r="A2387" s="1">
        <v>45730</v>
      </c>
      <c r="B2387">
        <v>86.941000000000003</v>
      </c>
    </row>
    <row r="2388" spans="1:2">
      <c r="A2388" s="1">
        <v>45733</v>
      </c>
      <c r="B2388">
        <v>86.69</v>
      </c>
    </row>
    <row r="2389" spans="1:2">
      <c r="A2389" s="1">
        <v>45734</v>
      </c>
      <c r="B2389">
        <v>86.51</v>
      </c>
    </row>
    <row r="2390" spans="1:2">
      <c r="A2390" s="1">
        <v>45735</v>
      </c>
      <c r="B2390">
        <v>86.31</v>
      </c>
    </row>
    <row r="2391" spans="1:2">
      <c r="A2391" s="1">
        <v>45736</v>
      </c>
      <c r="B2391">
        <v>86.32</v>
      </c>
    </row>
    <row r="2392" spans="1:2">
      <c r="A2392" s="1">
        <v>45737</v>
      </c>
      <c r="B2392">
        <v>85.99</v>
      </c>
    </row>
    <row r="2393" spans="1:2">
      <c r="A2393" s="1">
        <v>45740</v>
      </c>
      <c r="B2393">
        <v>85.56</v>
      </c>
    </row>
    <row r="2394" spans="1:2">
      <c r="A2394" s="1">
        <v>45741</v>
      </c>
      <c r="B2394">
        <v>85.582999999999998</v>
      </c>
    </row>
    <row r="2395" spans="1:2">
      <c r="A2395" s="1">
        <v>45742</v>
      </c>
      <c r="B2395">
        <v>85.625</v>
      </c>
    </row>
    <row r="2396" spans="1:2">
      <c r="A2396" s="1">
        <v>45743</v>
      </c>
      <c r="B2396">
        <v>85.64</v>
      </c>
    </row>
    <row r="2397" spans="1:2">
      <c r="A2397" s="1">
        <v>45744</v>
      </c>
      <c r="B2397">
        <v>85.534000000000006</v>
      </c>
    </row>
    <row r="2398" spans="1:2">
      <c r="A2398" s="1">
        <v>45747</v>
      </c>
      <c r="B2398">
        <v>85.45</v>
      </c>
    </row>
    <row r="2399" spans="1:2">
      <c r="A2399" s="1">
        <v>45748</v>
      </c>
      <c r="B2399">
        <v>85.57</v>
      </c>
    </row>
    <row r="2400" spans="1:2">
      <c r="A2400" s="1">
        <v>45749</v>
      </c>
      <c r="B2400">
        <v>85.45</v>
      </c>
    </row>
    <row r="2401" spans="1:2">
      <c r="A2401" s="1">
        <v>45750</v>
      </c>
      <c r="B2401">
        <v>85.247</v>
      </c>
    </row>
    <row r="2402" spans="1:2">
      <c r="A2402" s="1">
        <v>45751</v>
      </c>
      <c r="B2402">
        <v>85.501999999999995</v>
      </c>
    </row>
    <row r="2403" spans="1:2">
      <c r="A2403" s="1">
        <v>45754</v>
      </c>
      <c r="B2403">
        <v>85.853999999999999</v>
      </c>
    </row>
    <row r="2404" spans="1:2">
      <c r="A2404" s="1">
        <v>45755</v>
      </c>
      <c r="B2404">
        <v>86.24</v>
      </c>
    </row>
    <row r="2405" spans="1:2">
      <c r="A2405" s="1">
        <v>45756</v>
      </c>
      <c r="B2405">
        <v>86.65</v>
      </c>
    </row>
    <row r="2406" spans="1:2">
      <c r="A2406" s="1">
        <v>45757</v>
      </c>
      <c r="B2406">
        <v>86.19</v>
      </c>
    </row>
    <row r="2407" spans="1:2">
      <c r="A2407" s="1">
        <v>45758</v>
      </c>
      <c r="B2407">
        <v>86.19</v>
      </c>
    </row>
    <row r="2408" spans="1:2">
      <c r="A2408" s="1">
        <v>45761</v>
      </c>
      <c r="B2408">
        <v>86.021000000000001</v>
      </c>
    </row>
    <row r="2409" spans="1:2">
      <c r="A2409" s="1">
        <v>45762</v>
      </c>
      <c r="B2409">
        <v>85.680999999999997</v>
      </c>
    </row>
    <row r="2410" spans="1:2">
      <c r="A2410" s="1">
        <v>45763</v>
      </c>
      <c r="B2410">
        <v>85.587000000000003</v>
      </c>
    </row>
    <row r="2411" spans="1:2">
      <c r="A2411" s="1">
        <v>45764</v>
      </c>
      <c r="B2411">
        <v>85.38</v>
      </c>
    </row>
    <row r="2412" spans="1:2">
      <c r="A2412" s="1">
        <v>45765</v>
      </c>
      <c r="B2412">
        <v>85.429000000000002</v>
      </c>
    </row>
    <row r="2413" spans="1:2">
      <c r="A2413" s="1">
        <v>45768</v>
      </c>
      <c r="B2413">
        <v>85.17</v>
      </c>
    </row>
    <row r="2414" spans="1:2">
      <c r="A2414" s="1">
        <v>45769</v>
      </c>
      <c r="B2414">
        <v>85.18</v>
      </c>
    </row>
    <row r="2415" spans="1:2">
      <c r="A2415" s="1">
        <v>45770</v>
      </c>
      <c r="B2415">
        <v>85.35</v>
      </c>
    </row>
    <row r="2416" spans="1:2">
      <c r="A2416" s="1">
        <v>45771</v>
      </c>
      <c r="B2416">
        <v>85.325999999999993</v>
      </c>
    </row>
    <row r="2417" spans="1:2">
      <c r="A2417" s="1">
        <v>45772</v>
      </c>
      <c r="B2417">
        <v>85.385000000000005</v>
      </c>
    </row>
    <row r="2418" spans="1:2">
      <c r="A2418" s="1">
        <v>45775</v>
      </c>
      <c r="B2418">
        <v>85.162999999999997</v>
      </c>
    </row>
    <row r="2419" spans="1:2">
      <c r="A2419" s="1">
        <v>45776</v>
      </c>
      <c r="B2419">
        <v>85.155000000000001</v>
      </c>
    </row>
    <row r="2420" spans="1:2">
      <c r="A2420" s="1">
        <v>45777</v>
      </c>
      <c r="B2420">
        <v>84.599000000000004</v>
      </c>
    </row>
    <row r="2421" spans="1:2">
      <c r="A2421" s="1">
        <v>45778</v>
      </c>
      <c r="B2421">
        <v>84.59</v>
      </c>
    </row>
    <row r="2422" spans="1:2">
      <c r="A2422" s="1">
        <v>45779</v>
      </c>
      <c r="B2422">
        <v>84.527000000000001</v>
      </c>
    </row>
    <row r="2423" spans="1:2">
      <c r="A2423" s="1">
        <v>45782</v>
      </c>
      <c r="B2423">
        <v>84.295000000000002</v>
      </c>
    </row>
    <row r="2424" spans="1:2">
      <c r="A2424" s="1">
        <v>45783</v>
      </c>
      <c r="B2424">
        <v>84.305000000000007</v>
      </c>
    </row>
    <row r="2425" spans="1:2">
      <c r="A2425" s="1">
        <v>45784</v>
      </c>
      <c r="B2425">
        <v>84.721000000000004</v>
      </c>
    </row>
    <row r="2426" spans="1:2">
      <c r="A2426" s="1">
        <v>45785</v>
      </c>
      <c r="B2426">
        <v>85.536000000000001</v>
      </c>
    </row>
    <row r="2427" spans="1:2">
      <c r="A2427" s="1">
        <v>45786</v>
      </c>
      <c r="B2427">
        <v>85.409000000000006</v>
      </c>
    </row>
    <row r="2428" spans="1:2">
      <c r="A2428" s="1">
        <v>45789</v>
      </c>
      <c r="B2428">
        <v>84.885000000000005</v>
      </c>
    </row>
    <row r="2429" spans="1:2">
      <c r="A2429" s="1">
        <v>45790</v>
      </c>
      <c r="B2429">
        <v>85.275000000000006</v>
      </c>
    </row>
    <row r="2430" spans="1:2">
      <c r="A2430" s="1">
        <v>45791</v>
      </c>
      <c r="B2430">
        <v>85.394999999999996</v>
      </c>
    </row>
    <row r="2431" spans="1:2">
      <c r="A2431" s="1">
        <v>45792</v>
      </c>
      <c r="B2431">
        <v>85.546000000000006</v>
      </c>
    </row>
    <row r="2432" spans="1:2">
      <c r="A2432" s="1">
        <v>45793</v>
      </c>
      <c r="B2432">
        <v>85.5</v>
      </c>
    </row>
    <row r="2433" spans="1:2">
      <c r="A2433" s="1">
        <v>45796</v>
      </c>
      <c r="B2433">
        <v>85.39</v>
      </c>
    </row>
    <row r="2434" spans="1:2">
      <c r="A2434" s="1">
        <v>45797</v>
      </c>
      <c r="B2434">
        <v>85.54</v>
      </c>
    </row>
    <row r="2435" spans="1:2">
      <c r="A2435" s="1">
        <v>45798</v>
      </c>
      <c r="B2435">
        <v>85.6</v>
      </c>
    </row>
    <row r="2436" spans="1:2">
      <c r="A2436" s="1">
        <v>45799</v>
      </c>
      <c r="B2436">
        <v>85.995000000000005</v>
      </c>
    </row>
    <row r="2437" spans="1:2">
      <c r="A2437" s="1">
        <v>45800</v>
      </c>
      <c r="B2437">
        <v>85.2</v>
      </c>
    </row>
    <row r="2438" spans="1:2">
      <c r="A2438" s="1">
        <v>45803</v>
      </c>
      <c r="B2438">
        <v>85.087999999999994</v>
      </c>
    </row>
    <row r="2439" spans="1:2">
      <c r="A2439" s="1">
        <v>45804</v>
      </c>
      <c r="B2439">
        <v>85.33</v>
      </c>
    </row>
    <row r="2440" spans="1:2">
      <c r="A2440" s="1">
        <v>45805</v>
      </c>
      <c r="B2440">
        <v>85.414000000000001</v>
      </c>
    </row>
    <row r="2441" spans="1:2">
      <c r="A2441" s="1">
        <v>45806</v>
      </c>
      <c r="B2441">
        <v>85.418999999999997</v>
      </c>
    </row>
    <row r="2442" spans="1:2">
      <c r="A2442" s="1">
        <v>45807</v>
      </c>
      <c r="B2442">
        <v>85.525000000000006</v>
      </c>
    </row>
    <row r="2443" spans="1:2">
      <c r="A2443" s="1">
        <v>45810</v>
      </c>
      <c r="B2443">
        <v>85.353999999999999</v>
      </c>
    </row>
    <row r="2444" spans="1:2">
      <c r="A2444" s="1">
        <v>45811</v>
      </c>
      <c r="B2444">
        <v>85.709000000000003</v>
      </c>
    </row>
    <row r="2445" spans="1:2">
      <c r="A2445" s="1">
        <v>45812</v>
      </c>
      <c r="B2445">
        <v>85.875</v>
      </c>
    </row>
    <row r="2446" spans="1:2">
      <c r="A2446" s="1">
        <v>45813</v>
      </c>
      <c r="B2446">
        <v>85.834999999999994</v>
      </c>
    </row>
    <row r="2447" spans="1:2">
      <c r="A2447" s="1">
        <v>45814</v>
      </c>
      <c r="B2447">
        <v>85.786000000000001</v>
      </c>
    </row>
    <row r="2448" spans="1:2">
      <c r="A2448" s="1">
        <v>45817</v>
      </c>
      <c r="B2448">
        <v>85.67</v>
      </c>
    </row>
    <row r="2449" spans="1:2">
      <c r="A2449" s="1">
        <v>45818</v>
      </c>
      <c r="B2449">
        <v>85.596000000000004</v>
      </c>
    </row>
    <row r="2450" spans="1:2">
      <c r="A2450" s="1">
        <v>45819</v>
      </c>
      <c r="B2450">
        <v>85.468000000000004</v>
      </c>
    </row>
    <row r="2451" spans="1:2">
      <c r="A2451" s="1">
        <v>45820</v>
      </c>
      <c r="B2451">
        <v>85.581000000000003</v>
      </c>
    </row>
    <row r="2452" spans="1:2">
      <c r="A2452" s="1">
        <v>45821</v>
      </c>
      <c r="B2452">
        <v>86.108000000000004</v>
      </c>
    </row>
    <row r="2453" spans="1:2">
      <c r="A2453" s="1">
        <v>45824</v>
      </c>
      <c r="B2453">
        <v>85.846000000000004</v>
      </c>
    </row>
    <row r="2454" spans="1:2">
      <c r="A2454" s="1">
        <v>45825</v>
      </c>
      <c r="B2454">
        <v>86.317999999999998</v>
      </c>
    </row>
    <row r="2455" spans="1:2">
      <c r="A2455" s="1">
        <v>45826</v>
      </c>
      <c r="B2455">
        <v>86.43</v>
      </c>
    </row>
    <row r="2456" spans="1:2">
      <c r="A2456" s="1">
        <v>45827</v>
      </c>
      <c r="B2456">
        <v>86.84</v>
      </c>
    </row>
    <row r="2457" spans="1:2">
      <c r="A2457" s="1">
        <v>45828</v>
      </c>
      <c r="B2457">
        <v>86.58</v>
      </c>
    </row>
    <row r="2458" spans="1:2">
      <c r="A2458" s="1">
        <v>45831</v>
      </c>
      <c r="B2458">
        <v>86.58</v>
      </c>
    </row>
    <row r="2459" spans="1:2">
      <c r="A2459" s="1">
        <v>45832</v>
      </c>
      <c r="B2459">
        <v>85.944000000000003</v>
      </c>
    </row>
    <row r="2460" spans="1:2">
      <c r="A2460" s="1">
        <v>45833</v>
      </c>
      <c r="B2460">
        <v>86.04</v>
      </c>
    </row>
    <row r="2461" spans="1:2">
      <c r="A2461" s="1">
        <v>45834</v>
      </c>
      <c r="B2461">
        <v>85.64</v>
      </c>
    </row>
    <row r="2462" spans="1:2">
      <c r="A2462" s="1">
        <v>45835</v>
      </c>
      <c r="B2462">
        <v>85.454999999999998</v>
      </c>
    </row>
    <row r="2463" spans="1:2">
      <c r="A2463" s="1">
        <v>45838</v>
      </c>
      <c r="B2463">
        <v>85.7</v>
      </c>
    </row>
    <row r="2464" spans="1:2">
      <c r="A2464" s="1">
        <v>45839</v>
      </c>
      <c r="B2464">
        <v>85.63</v>
      </c>
    </row>
    <row r="2465" spans="1:2">
      <c r="A2465" s="1">
        <v>45840</v>
      </c>
      <c r="B2465">
        <v>85.625</v>
      </c>
    </row>
    <row r="2466" spans="1:2">
      <c r="A2466" s="1">
        <v>45841</v>
      </c>
      <c r="B2466">
        <v>85.433000000000007</v>
      </c>
    </row>
    <row r="2467" spans="1:2">
      <c r="A2467" s="1">
        <v>45842</v>
      </c>
      <c r="B2467">
        <v>85.497</v>
      </c>
    </row>
    <row r="2468" spans="1:2">
      <c r="A2468" s="1">
        <v>45845</v>
      </c>
      <c r="B2468">
        <v>85.76</v>
      </c>
    </row>
    <row r="2469" spans="1:2">
      <c r="A2469" s="1">
        <v>45846</v>
      </c>
      <c r="B2469">
        <v>85.76</v>
      </c>
    </row>
    <row r="2470" spans="1:2">
      <c r="A2470" s="1">
        <v>45847</v>
      </c>
      <c r="B2470">
        <v>85.68</v>
      </c>
    </row>
    <row r="2471" spans="1:2">
      <c r="A2471" s="1">
        <v>45848</v>
      </c>
      <c r="B2471">
        <v>85.748999999999995</v>
      </c>
    </row>
    <row r="2472" spans="1:2">
      <c r="A2472" s="1">
        <v>45849</v>
      </c>
      <c r="B2472">
        <v>85.825000000000003</v>
      </c>
    </row>
    <row r="2473" spans="1:2">
      <c r="A2473" s="1">
        <v>45852</v>
      </c>
      <c r="B2473">
        <v>86.016999999999996</v>
      </c>
    </row>
    <row r="2474" spans="1:2">
      <c r="A2474" s="1">
        <v>45853</v>
      </c>
      <c r="B2474">
        <v>85.991</v>
      </c>
    </row>
    <row r="2475" spans="1:2">
      <c r="A2475" s="1">
        <v>45854</v>
      </c>
      <c r="B2475">
        <v>85.885000000000005</v>
      </c>
    </row>
    <row r="2476" spans="1:2">
      <c r="A2476" s="1">
        <v>45855</v>
      </c>
      <c r="B2476">
        <v>86.034999999999997</v>
      </c>
    </row>
    <row r="2477" spans="1:2">
      <c r="A2477" s="1">
        <v>45856</v>
      </c>
      <c r="B2477">
        <v>86.15</v>
      </c>
    </row>
    <row r="2478" spans="1:2">
      <c r="A2478" s="1">
        <v>45859</v>
      </c>
      <c r="B2478">
        <v>86.194999999999993</v>
      </c>
    </row>
    <row r="2479" spans="1:2">
      <c r="A2479" s="1">
        <v>45860</v>
      </c>
      <c r="B2479">
        <v>86.322000000000003</v>
      </c>
    </row>
    <row r="2480" spans="1:2">
      <c r="A2480" s="1">
        <v>45861</v>
      </c>
      <c r="B2480">
        <v>86.38</v>
      </c>
    </row>
    <row r="2481" spans="1:2">
      <c r="A2481" s="1">
        <v>45862</v>
      </c>
      <c r="B2481">
        <v>86.38</v>
      </c>
    </row>
    <row r="2482" spans="1:2">
      <c r="A2482" s="1">
        <v>45863</v>
      </c>
      <c r="B2482">
        <v>86.503</v>
      </c>
    </row>
    <row r="2483" spans="1:2">
      <c r="A2483" s="1">
        <v>45866</v>
      </c>
      <c r="B2483">
        <v>86.697000000000003</v>
      </c>
    </row>
    <row r="2484" spans="1:2">
      <c r="A2484" s="1">
        <v>45867</v>
      </c>
      <c r="B2484">
        <v>87.108000000000004</v>
      </c>
    </row>
    <row r="2485" spans="1:2">
      <c r="A2485" s="1">
        <v>45868</v>
      </c>
      <c r="B2485">
        <v>87.691000000000003</v>
      </c>
    </row>
    <row r="2486" spans="1:2">
      <c r="A2486" s="1">
        <v>45869</v>
      </c>
      <c r="B2486">
        <v>87.524000000000001</v>
      </c>
    </row>
    <row r="2487" spans="1:2">
      <c r="A2487" s="1">
        <v>45870</v>
      </c>
      <c r="B2487">
        <v>87.245000000000005</v>
      </c>
    </row>
    <row r="2488" spans="1:2">
      <c r="A2488" s="1">
        <v>45873</v>
      </c>
      <c r="B2488">
        <v>87.68</v>
      </c>
    </row>
    <row r="2489" spans="1:2">
      <c r="A2489" s="1">
        <v>45874</v>
      </c>
      <c r="B2489">
        <v>87.83</v>
      </c>
    </row>
    <row r="2490" spans="1:2">
      <c r="A2490" s="1">
        <v>45875</v>
      </c>
      <c r="B2490">
        <v>87.724999999999994</v>
      </c>
    </row>
    <row r="2491" spans="1:2">
      <c r="A2491" s="1">
        <v>45876</v>
      </c>
      <c r="B2491">
        <v>87.445999999999998</v>
      </c>
    </row>
    <row r="2492" spans="1:2">
      <c r="A2492" s="1">
        <v>45877</v>
      </c>
      <c r="B2492">
        <v>87.489000000000004</v>
      </c>
    </row>
    <row r="2493" spans="1:2">
      <c r="A2493" s="1">
        <v>45880</v>
      </c>
      <c r="B2493">
        <v>87.66</v>
      </c>
    </row>
    <row r="2494" spans="1:2">
      <c r="A2494" s="1">
        <v>45881</v>
      </c>
      <c r="B2494">
        <v>87.605999999999995</v>
      </c>
    </row>
    <row r="2495" spans="1:2">
      <c r="A2495" s="1">
        <v>45882</v>
      </c>
      <c r="B2495">
        <v>87.45</v>
      </c>
    </row>
    <row r="2496" spans="1:2">
      <c r="A2496" s="1">
        <v>45883</v>
      </c>
      <c r="B2496">
        <v>87.691000000000003</v>
      </c>
    </row>
    <row r="2497" spans="1:2">
      <c r="A2497" s="1">
        <v>45884</v>
      </c>
      <c r="B2497">
        <v>87.513000000000005</v>
      </c>
    </row>
    <row r="2498" spans="1:2">
      <c r="A2498" s="1">
        <v>45887</v>
      </c>
      <c r="B2498">
        <v>87.311000000000007</v>
      </c>
    </row>
    <row r="2499" spans="1:2">
      <c r="A2499" s="1">
        <v>45888</v>
      </c>
      <c r="B2499">
        <v>87.07</v>
      </c>
    </row>
    <row r="2500" spans="1:2">
      <c r="A2500" s="1">
        <v>45889</v>
      </c>
      <c r="B2500">
        <v>87.018000000000001</v>
      </c>
    </row>
    <row r="2501" spans="1:2">
      <c r="A2501" s="1">
        <v>45890</v>
      </c>
      <c r="B2501">
        <v>87.293999999999997</v>
      </c>
    </row>
    <row r="2502" spans="1:2">
      <c r="A2502" s="1">
        <v>45891</v>
      </c>
      <c r="B2502">
        <v>87.331000000000003</v>
      </c>
    </row>
    <row r="2503" spans="1:2">
      <c r="A2503" s="1">
        <v>45894</v>
      </c>
      <c r="B2503">
        <v>87.608000000000004</v>
      </c>
    </row>
    <row r="2504" spans="1:2">
      <c r="A2504" s="1">
        <v>45895</v>
      </c>
      <c r="B2504">
        <v>87.635000000000005</v>
      </c>
    </row>
    <row r="2505" spans="1:2">
      <c r="A2505" s="1">
        <v>45896</v>
      </c>
      <c r="B2505">
        <v>87.661000000000001</v>
      </c>
    </row>
    <row r="2506" spans="1:2">
      <c r="A2506" s="1">
        <v>45897</v>
      </c>
      <c r="B2506">
        <v>87.590999999999994</v>
      </c>
    </row>
    <row r="2507" spans="1:2">
      <c r="A2507" s="1">
        <v>45898</v>
      </c>
      <c r="B2507">
        <v>88.174000000000007</v>
      </c>
    </row>
    <row r="2508" spans="1:2">
      <c r="A2508" s="1">
        <v>45901</v>
      </c>
      <c r="B2508">
        <v>88.001000000000005</v>
      </c>
    </row>
    <row r="2509" spans="1:2">
      <c r="A2509" s="1">
        <v>45902</v>
      </c>
      <c r="B2509">
        <v>87.998000000000005</v>
      </c>
    </row>
    <row r="2510" spans="1:2">
      <c r="A2510" s="1">
        <v>45903</v>
      </c>
      <c r="B2510">
        <v>88.072999999999993</v>
      </c>
    </row>
    <row r="2511" spans="1:2">
      <c r="A2511" s="1">
        <v>45904</v>
      </c>
      <c r="B2511">
        <v>88.192999999999998</v>
      </c>
    </row>
    <row r="2512" spans="1:2">
      <c r="A2512" s="1">
        <v>45905</v>
      </c>
      <c r="B2512">
        <v>88.186999999999998</v>
      </c>
    </row>
    <row r="2513" spans="1:2">
      <c r="A2513" s="1">
        <v>45908</v>
      </c>
      <c r="B2513">
        <v>87.980999999999995</v>
      </c>
    </row>
    <row r="2514" spans="1:2">
      <c r="A2514" s="1">
        <v>45909</v>
      </c>
      <c r="B2514">
        <v>88.248000000000005</v>
      </c>
    </row>
    <row r="2515" spans="1:2">
      <c r="A2515" s="1">
        <v>45910</v>
      </c>
      <c r="B2515">
        <v>88.054000000000002</v>
      </c>
    </row>
    <row r="2516" spans="1:2">
      <c r="A2516" s="1">
        <v>45911</v>
      </c>
      <c r="B2516">
        <v>88.266999999999996</v>
      </c>
    </row>
    <row r="2517" spans="1:2">
      <c r="A2517" s="1">
        <v>45912</v>
      </c>
      <c r="B2517">
        <v>88.277000000000001</v>
      </c>
    </row>
    <row r="2518" spans="1:2">
      <c r="A2518" s="1">
        <v>45915</v>
      </c>
      <c r="B2518">
        <v>88.122</v>
      </c>
    </row>
    <row r="2519" spans="1:2">
      <c r="A2519" s="1">
        <v>45916</v>
      </c>
      <c r="B2519">
        <v>87.882999999999996</v>
      </c>
    </row>
    <row r="2520" spans="1:2">
      <c r="A2520" s="1">
        <v>45917</v>
      </c>
      <c r="B2520">
        <v>87.745000000000005</v>
      </c>
    </row>
    <row r="2521" spans="1:2">
      <c r="A2521" s="1">
        <v>45918</v>
      </c>
      <c r="B2521">
        <v>88.206000000000003</v>
      </c>
    </row>
    <row r="2522" spans="1:2">
      <c r="A2522" s="1">
        <v>45919</v>
      </c>
      <c r="B2522">
        <v>88.1</v>
      </c>
    </row>
    <row r="2523" spans="1:2">
      <c r="A2523" s="1">
        <v>45922</v>
      </c>
      <c r="B2523">
        <v>88.302999999999997</v>
      </c>
    </row>
    <row r="2524" spans="1:2">
      <c r="A2524" s="1">
        <v>45923</v>
      </c>
      <c r="B2524">
        <v>88.808000000000007</v>
      </c>
    </row>
    <row r="2525" spans="1:2">
      <c r="A2525" s="1">
        <v>45924</v>
      </c>
      <c r="B2525">
        <v>88.777000000000001</v>
      </c>
    </row>
    <row r="2526" spans="1:2">
      <c r="A2526" s="1">
        <v>45925</v>
      </c>
      <c r="B2526">
        <v>88.768000000000001</v>
      </c>
    </row>
    <row r="2527" spans="1:2">
      <c r="A2527" s="1">
        <v>45926</v>
      </c>
      <c r="B2527">
        <v>88.677000000000007</v>
      </c>
    </row>
    <row r="2528" spans="1:2">
      <c r="A2528" s="1">
        <v>45929</v>
      </c>
      <c r="B2528">
        <v>88.703999999999994</v>
      </c>
    </row>
    <row r="2529" spans="1:2">
      <c r="A2529" s="1">
        <v>45930</v>
      </c>
      <c r="B2529">
        <v>88.840999999999994</v>
      </c>
    </row>
    <row r="2530" spans="1:2">
      <c r="A2530" s="1">
        <v>45931</v>
      </c>
      <c r="B2530">
        <v>88.683000000000007</v>
      </c>
    </row>
    <row r="2531" spans="1:2">
      <c r="A2531" s="1">
        <v>45932</v>
      </c>
      <c r="B2531">
        <v>88.72</v>
      </c>
    </row>
    <row r="2532" spans="1:2">
      <c r="A2532" s="1">
        <v>45933</v>
      </c>
      <c r="B2532">
        <v>88.734999999999999</v>
      </c>
    </row>
    <row r="2533" spans="1:2">
      <c r="A2533" s="1">
        <v>45936</v>
      </c>
      <c r="B2533">
        <v>88.721000000000004</v>
      </c>
    </row>
    <row r="2534" spans="1:2">
      <c r="A2534" s="1">
        <v>45937</v>
      </c>
      <c r="B2534">
        <v>88.739000000000004</v>
      </c>
    </row>
    <row r="2535" spans="1:2">
      <c r="A2535" s="1">
        <v>45938</v>
      </c>
      <c r="B2535">
        <v>88.76</v>
      </c>
    </row>
    <row r="2536" spans="1:2">
      <c r="A2536" s="1">
        <v>45939</v>
      </c>
      <c r="B2536">
        <v>88.866</v>
      </c>
    </row>
    <row r="2537" spans="1:2">
      <c r="A2537" s="1">
        <v>45940</v>
      </c>
      <c r="B2537">
        <v>88.757000000000005</v>
      </c>
    </row>
    <row r="2538" spans="1:2">
      <c r="A2538" s="1">
        <v>45943</v>
      </c>
      <c r="B2538">
        <v>88.665000000000006</v>
      </c>
    </row>
    <row r="2539" spans="1:2">
      <c r="A2539" s="1">
        <v>45944</v>
      </c>
      <c r="B2539">
        <v>88.781999999999996</v>
      </c>
    </row>
    <row r="2540" spans="1:2">
      <c r="A2540" s="1">
        <v>45945</v>
      </c>
      <c r="B2540">
        <v>87.81</v>
      </c>
    </row>
    <row r="2541" spans="1:2">
      <c r="A2541" s="1">
        <v>45946</v>
      </c>
      <c r="B2541">
        <v>87.991</v>
      </c>
    </row>
    <row r="2542" spans="1:2">
      <c r="A2542" s="1">
        <v>45947</v>
      </c>
      <c r="B2542">
        <v>88.003</v>
      </c>
    </row>
    <row r="2543" spans="1:2">
      <c r="A2543" s="1">
        <v>45950</v>
      </c>
      <c r="B2543">
        <v>87.875</v>
      </c>
    </row>
    <row r="2544" spans="1:2">
      <c r="A2544" s="1">
        <v>45951</v>
      </c>
      <c r="B2544">
        <v>88.021000000000001</v>
      </c>
    </row>
    <row r="2545" spans="1:2">
      <c r="A2545" s="1">
        <v>45952</v>
      </c>
      <c r="B2545">
        <v>87.74</v>
      </c>
    </row>
    <row r="2546" spans="1:2">
      <c r="A2546" s="1">
        <v>45953</v>
      </c>
      <c r="B2546">
        <v>87.778999999999996</v>
      </c>
    </row>
    <row r="2547" spans="1:2">
      <c r="A2547" s="1">
        <v>45954</v>
      </c>
      <c r="B2547">
        <v>87.835999999999999</v>
      </c>
    </row>
    <row r="2548" spans="1:2">
      <c r="A2548" s="1">
        <v>45957</v>
      </c>
      <c r="B2548">
        <v>88.224999999999994</v>
      </c>
    </row>
    <row r="2549" spans="1:2">
      <c r="A2549" s="1">
        <v>45958</v>
      </c>
      <c r="B2549">
        <v>88.233999999999995</v>
      </c>
    </row>
    <row r="2550" spans="1:2">
      <c r="A2550" s="1">
        <v>45959</v>
      </c>
      <c r="B2550">
        <v>88.408000000000001</v>
      </c>
    </row>
    <row r="2551" spans="1:2">
      <c r="A2551" s="1">
        <v>45960</v>
      </c>
      <c r="B2551">
        <v>88.632000000000005</v>
      </c>
    </row>
    <row r="2552" spans="1:2">
      <c r="A2552" s="1">
        <v>45961</v>
      </c>
      <c r="B2552">
        <v>88.769000000000005</v>
      </c>
    </row>
    <row r="2553" spans="1:2">
      <c r="A2553" s="1">
        <v>45964</v>
      </c>
      <c r="B2553">
        <v>88.724000000000004</v>
      </c>
    </row>
    <row r="2554" spans="1:2">
      <c r="A2554" s="1">
        <v>45965</v>
      </c>
      <c r="B2554">
        <v>88.731999999999999</v>
      </c>
    </row>
    <row r="2555" spans="1:2">
      <c r="A2555" s="1">
        <v>45966</v>
      </c>
      <c r="B2555">
        <v>88.557000000000002</v>
      </c>
    </row>
    <row r="2556" spans="1:2">
      <c r="A2556" s="1">
        <v>45967</v>
      </c>
      <c r="B2556">
        <v>88.673000000000002</v>
      </c>
    </row>
    <row r="2557" spans="1:2">
      <c r="A2557" s="1">
        <v>45968</v>
      </c>
      <c r="B2557">
        <v>88.665000000000006</v>
      </c>
    </row>
    <row r="2558" spans="1:2">
      <c r="A2558" s="1">
        <v>45971</v>
      </c>
      <c r="B2558">
        <v>88.706999999999994</v>
      </c>
    </row>
    <row r="2559" spans="1:2">
      <c r="A2559" s="1">
        <v>45972</v>
      </c>
      <c r="B2559">
        <v>88.466999999999999</v>
      </c>
    </row>
    <row r="2560" spans="1:2">
      <c r="A2560" s="1">
        <v>45973</v>
      </c>
      <c r="B2560">
        <v>88.59</v>
      </c>
    </row>
    <row r="2561" spans="1:2">
      <c r="A2561" s="1">
        <v>45974</v>
      </c>
      <c r="B2561">
        <v>88.816999999999993</v>
      </c>
    </row>
    <row r="2562" spans="1:2">
      <c r="A2562" s="1">
        <v>45975</v>
      </c>
      <c r="B2562">
        <v>88.688999999999993</v>
      </c>
    </row>
    <row r="2563" spans="1:2">
      <c r="A2563" s="1">
        <v>45978</v>
      </c>
      <c r="B2563">
        <v>88.635999999999996</v>
      </c>
    </row>
    <row r="2564" spans="1:2">
      <c r="A2564" s="1">
        <v>45979</v>
      </c>
      <c r="B2564">
        <v>88.552000000000007</v>
      </c>
    </row>
    <row r="2565" spans="1:2">
      <c r="A2565" s="1">
        <v>45980</v>
      </c>
      <c r="B2565">
        <v>88.492000000000004</v>
      </c>
    </row>
    <row r="2566" spans="1:2">
      <c r="A2566" s="1">
        <v>45981</v>
      </c>
      <c r="B2566">
        <v>88.715000000000003</v>
      </c>
    </row>
    <row r="2567" spans="1:2">
      <c r="A2567" s="1">
        <v>45982</v>
      </c>
      <c r="B2567">
        <v>89.641000000000005</v>
      </c>
    </row>
    <row r="2568" spans="1:2">
      <c r="A2568" s="1">
        <v>45985</v>
      </c>
      <c r="B2568">
        <v>89.147999999999996</v>
      </c>
    </row>
    <row r="2569" spans="1:2">
      <c r="A2569" s="1">
        <v>45986</v>
      </c>
      <c r="B2569">
        <v>89.153000000000006</v>
      </c>
    </row>
    <row r="2570" spans="1:2">
      <c r="A2570" s="1">
        <v>45987</v>
      </c>
      <c r="B2570">
        <v>89.161000000000001</v>
      </c>
    </row>
    <row r="2571" spans="1:2">
      <c r="A2571" s="1">
        <v>45988</v>
      </c>
      <c r="B2571">
        <v>89.364999999999995</v>
      </c>
    </row>
    <row r="2572" spans="1:2">
      <c r="A2572" s="1">
        <v>45989</v>
      </c>
      <c r="B2572">
        <v>89.356999999999999</v>
      </c>
    </row>
    <row r="2573" spans="1:2">
      <c r="A2573" s="1">
        <v>45992</v>
      </c>
      <c r="B2573">
        <v>89.613</v>
      </c>
    </row>
    <row r="2574" spans="1:2">
      <c r="A2574" s="1">
        <v>45993</v>
      </c>
      <c r="B2574">
        <v>89.918000000000006</v>
      </c>
    </row>
    <row r="2575" spans="1:2">
      <c r="A2575" s="1">
        <v>45994</v>
      </c>
      <c r="B2575">
        <v>90.171000000000006</v>
      </c>
    </row>
    <row r="2576" spans="1:2">
      <c r="A2576" s="1">
        <v>45995</v>
      </c>
      <c r="B2576">
        <v>89.837000000000003</v>
      </c>
    </row>
    <row r="2577" spans="1:2">
      <c r="A2577" s="1">
        <v>45996</v>
      </c>
      <c r="B2577">
        <v>89.944999999999993</v>
      </c>
    </row>
    <row r="2578" spans="1:2">
      <c r="A2578" s="1">
        <v>45999</v>
      </c>
      <c r="B2578">
        <v>90.13</v>
      </c>
    </row>
    <row r="2579" spans="1:2">
      <c r="A2579" s="1">
        <v>46000</v>
      </c>
      <c r="B2579">
        <v>89.917000000000002</v>
      </c>
    </row>
    <row r="2580" spans="1:2">
      <c r="A2580" s="1">
        <v>46001</v>
      </c>
      <c r="B2580">
        <v>89.793000000000006</v>
      </c>
    </row>
    <row r="2581" spans="1:2">
      <c r="A2581" s="1">
        <v>46002</v>
      </c>
      <c r="B2581">
        <v>90.251000000000005</v>
      </c>
    </row>
    <row r="2582" spans="1:2">
      <c r="A2582" s="1">
        <v>46003</v>
      </c>
      <c r="B2582">
        <v>90.584000000000003</v>
      </c>
    </row>
    <row r="2583" spans="1:2">
      <c r="A2583" s="1">
        <v>46006</v>
      </c>
      <c r="B2583">
        <v>90.775000000000006</v>
      </c>
    </row>
    <row r="2584" spans="1:2">
      <c r="A2584" s="1">
        <v>46007</v>
      </c>
      <c r="B2584">
        <v>90.948999999999998</v>
      </c>
    </row>
    <row r="2585" spans="1:2">
      <c r="A2585" s="1">
        <v>46008</v>
      </c>
      <c r="B2585">
        <v>90.409000000000006</v>
      </c>
    </row>
    <row r="2586" spans="1:2">
      <c r="A2586" s="1">
        <v>46009</v>
      </c>
      <c r="B2586">
        <v>90.266999999999996</v>
      </c>
    </row>
    <row r="2587" spans="1:2">
      <c r="A2587" s="1">
        <v>46010</v>
      </c>
      <c r="B2587">
        <v>89.576999999999998</v>
      </c>
    </row>
    <row r="2588" spans="1:2">
      <c r="A2588" s="1">
        <v>46013</v>
      </c>
      <c r="B2588">
        <v>89.603999999999999</v>
      </c>
    </row>
    <row r="2589" spans="1:2">
      <c r="A2589" s="1">
        <v>46014</v>
      </c>
      <c r="B2589">
        <v>89.436000000000007</v>
      </c>
    </row>
    <row r="2590" spans="1:2">
      <c r="A2590" s="1">
        <v>46015</v>
      </c>
      <c r="B2590">
        <v>89.813999999999993</v>
      </c>
    </row>
    <row r="2591" spans="1:2">
      <c r="A2591" s="1">
        <v>46016</v>
      </c>
      <c r="B2591">
        <v>89.736000000000004</v>
      </c>
    </row>
    <row r="2592" spans="1:2">
      <c r="A2592" s="1">
        <v>46017</v>
      </c>
      <c r="B2592">
        <v>89.796000000000006</v>
      </c>
    </row>
    <row r="2593" spans="1:2">
      <c r="A2593" s="1">
        <v>46020</v>
      </c>
      <c r="B2593">
        <v>89.9</v>
      </c>
    </row>
    <row r="2594" spans="1:2">
      <c r="A2594" s="1">
        <v>46021</v>
      </c>
      <c r="B2594">
        <v>89.77</v>
      </c>
    </row>
    <row r="2595" spans="1:2">
      <c r="A2595" s="1">
        <v>46022</v>
      </c>
      <c r="B2595">
        <v>89.870999999999995</v>
      </c>
    </row>
    <row r="2596" spans="1:2">
      <c r="A2596" s="1">
        <v>46023</v>
      </c>
      <c r="B2596">
        <v>89.968000000000004</v>
      </c>
    </row>
    <row r="2597" spans="1:2">
      <c r="A2597" s="1">
        <v>46024</v>
      </c>
      <c r="B2597">
        <v>90.013999999999996</v>
      </c>
    </row>
    <row r="2598" spans="1:2">
      <c r="A2598" s="1">
        <v>46027</v>
      </c>
      <c r="B2598">
        <v>90.233000000000004</v>
      </c>
    </row>
    <row r="2599" spans="1:2">
      <c r="A2599" s="1">
        <v>46028</v>
      </c>
      <c r="B2599">
        <v>90.108000000000004</v>
      </c>
    </row>
    <row r="2600" spans="1:2">
      <c r="A2600" s="1">
        <v>46029</v>
      </c>
      <c r="B2600">
        <v>89.864000000000004</v>
      </c>
    </row>
    <row r="2601" spans="1:2">
      <c r="A2601" s="1">
        <v>46030</v>
      </c>
      <c r="B2601">
        <v>89.905000000000001</v>
      </c>
    </row>
    <row r="2602" spans="1:2">
      <c r="A2602" s="1">
        <v>46031</v>
      </c>
      <c r="B2602">
        <v>90.244</v>
      </c>
    </row>
    <row r="2603" spans="1:2">
      <c r="A2603" s="1">
        <v>46034</v>
      </c>
      <c r="B2603">
        <v>90.132000000000005</v>
      </c>
    </row>
    <row r="2604" spans="1:2">
      <c r="A2604" s="1">
        <v>46035</v>
      </c>
      <c r="B2604">
        <v>90.281999999999996</v>
      </c>
    </row>
    <row r="2605" spans="1:2">
      <c r="A2605" s="1">
        <v>46036</v>
      </c>
      <c r="B2605">
        <v>90.248000000000005</v>
      </c>
    </row>
    <row r="2606" spans="1:2">
      <c r="A2606" s="1">
        <v>46037</v>
      </c>
      <c r="B2606">
        <v>90.361999999999995</v>
      </c>
    </row>
    <row r="2607" spans="1:2">
      <c r="A2607" s="1">
        <v>46038</v>
      </c>
      <c r="B2607">
        <v>90.709000000000003</v>
      </c>
    </row>
    <row r="2608" spans="1:2">
      <c r="A2608" s="1">
        <v>46041</v>
      </c>
      <c r="B2608">
        <v>90.902000000000001</v>
      </c>
    </row>
    <row r="2609" spans="1:2">
      <c r="A2609" s="1">
        <v>46042</v>
      </c>
      <c r="B2609">
        <v>91.119</v>
      </c>
    </row>
    <row r="2610" spans="1:2">
      <c r="A2610" s="1">
        <v>46043</v>
      </c>
      <c r="B2610">
        <v>91.546000000000006</v>
      </c>
    </row>
    <row r="2611" spans="1:2">
      <c r="A2611" s="1">
        <v>46044</v>
      </c>
      <c r="B2611">
        <v>91.52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2AA5-B705-4AB5-B838-A7B2BA4336F1}">
  <dimension ref="A1:B2624"/>
  <sheetViews>
    <sheetView workbookViewId="0">
      <selection activeCell="D29" sqref="D29"/>
    </sheetView>
  </sheetViews>
  <sheetFormatPr defaultRowHeight="15"/>
  <cols>
    <col min="1" max="1" width="19.28515625" bestFit="1" customWidth="1"/>
  </cols>
  <sheetData>
    <row r="1" spans="1:2">
      <c r="A1" s="2" t="s">
        <v>8</v>
      </c>
      <c r="B1" s="3" t="s">
        <v>9</v>
      </c>
    </row>
    <row r="2" spans="1:2">
      <c r="A2" s="1">
        <v>42373</v>
      </c>
      <c r="B2" s="4">
        <v>36.28</v>
      </c>
    </row>
    <row r="3" spans="1:2">
      <c r="A3" s="1">
        <v>42374</v>
      </c>
      <c r="B3" s="4">
        <v>35.56</v>
      </c>
    </row>
    <row r="4" spans="1:2">
      <c r="A4" s="1">
        <v>42375</v>
      </c>
      <c r="B4" s="4">
        <v>33.89</v>
      </c>
    </row>
    <row r="5" spans="1:2">
      <c r="A5" s="1">
        <v>42376</v>
      </c>
      <c r="B5" s="4">
        <v>33.57</v>
      </c>
    </row>
    <row r="6" spans="1:2">
      <c r="A6" s="1">
        <v>42377</v>
      </c>
      <c r="B6" s="4">
        <v>31.67</v>
      </c>
    </row>
    <row r="7" spans="1:2">
      <c r="A7" s="1">
        <v>42380</v>
      </c>
      <c r="B7" s="4">
        <v>30.14</v>
      </c>
    </row>
    <row r="8" spans="1:2">
      <c r="A8" s="1">
        <v>42381</v>
      </c>
      <c r="B8" s="4">
        <v>29.14</v>
      </c>
    </row>
    <row r="9" spans="1:2">
      <c r="A9" s="1">
        <v>42382</v>
      </c>
      <c r="B9" s="4">
        <v>28.58</v>
      </c>
    </row>
    <row r="10" spans="1:2">
      <c r="A10" s="1">
        <v>42383</v>
      </c>
      <c r="B10" s="4">
        <v>28.84</v>
      </c>
    </row>
    <row r="11" spans="1:2">
      <c r="A11" s="1">
        <v>42384</v>
      </c>
      <c r="B11" s="4">
        <v>28.8</v>
      </c>
    </row>
    <row r="12" spans="1:2">
      <c r="A12" s="1">
        <v>42387</v>
      </c>
      <c r="B12" s="4">
        <v>27.36</v>
      </c>
    </row>
    <row r="13" spans="1:2">
      <c r="A13" s="1">
        <v>42388</v>
      </c>
      <c r="B13" s="4">
        <v>27.36</v>
      </c>
    </row>
    <row r="14" spans="1:2">
      <c r="A14" s="1">
        <v>42389</v>
      </c>
      <c r="B14" s="4">
        <v>26.01</v>
      </c>
    </row>
    <row r="15" spans="1:2">
      <c r="A15" s="1">
        <v>42390</v>
      </c>
      <c r="B15" s="4">
        <v>27.59</v>
      </c>
    </row>
    <row r="16" spans="1:2">
      <c r="A16" s="1">
        <v>42391</v>
      </c>
      <c r="B16" s="4">
        <v>30.46</v>
      </c>
    </row>
    <row r="17" spans="1:2">
      <c r="A17" s="1">
        <v>42394</v>
      </c>
      <c r="B17" s="4">
        <v>29.82</v>
      </c>
    </row>
    <row r="18" spans="1:2">
      <c r="A18" s="1">
        <v>42395</v>
      </c>
      <c r="B18" s="4">
        <v>30.94</v>
      </c>
    </row>
    <row r="19" spans="1:2">
      <c r="A19" s="1">
        <v>42396</v>
      </c>
      <c r="B19" s="4">
        <v>31.83</v>
      </c>
    </row>
    <row r="20" spans="1:2">
      <c r="A20" s="1">
        <v>42397</v>
      </c>
      <c r="B20" s="4">
        <v>33.01</v>
      </c>
    </row>
    <row r="21" spans="1:2">
      <c r="A21" s="1">
        <v>42398</v>
      </c>
      <c r="B21" s="4">
        <v>33.14</v>
      </c>
    </row>
    <row r="22" spans="1:2">
      <c r="A22" s="1">
        <v>42401</v>
      </c>
      <c r="B22" s="4">
        <v>32.450000000000003</v>
      </c>
    </row>
    <row r="23" spans="1:2">
      <c r="A23" s="1">
        <v>42402</v>
      </c>
      <c r="B23" s="4">
        <v>30.98</v>
      </c>
    </row>
    <row r="24" spans="1:2">
      <c r="A24" s="1">
        <v>42403</v>
      </c>
      <c r="B24" s="4">
        <v>32.380000000000003</v>
      </c>
    </row>
    <row r="25" spans="1:2">
      <c r="A25" s="1">
        <v>42404</v>
      </c>
      <c r="B25" s="4">
        <v>32.76</v>
      </c>
    </row>
    <row r="26" spans="1:2">
      <c r="A26" s="1">
        <v>42405</v>
      </c>
      <c r="B26" s="4">
        <v>32.35</v>
      </c>
    </row>
    <row r="27" spans="1:2">
      <c r="A27" s="1">
        <v>42408</v>
      </c>
      <c r="B27" s="4">
        <v>31.64</v>
      </c>
    </row>
    <row r="28" spans="1:2">
      <c r="A28" s="1">
        <v>42409</v>
      </c>
      <c r="B28" s="4">
        <v>30.15</v>
      </c>
    </row>
    <row r="29" spans="1:2">
      <c r="A29" s="1">
        <v>42410</v>
      </c>
      <c r="B29" s="4">
        <v>29.64</v>
      </c>
    </row>
    <row r="30" spans="1:2">
      <c r="A30" s="1">
        <v>42411</v>
      </c>
      <c r="B30" s="4">
        <v>28.82</v>
      </c>
    </row>
    <row r="31" spans="1:2">
      <c r="A31" s="1">
        <v>42412</v>
      </c>
      <c r="B31" s="4">
        <v>31.8</v>
      </c>
    </row>
    <row r="32" spans="1:2">
      <c r="A32" s="1">
        <v>42415</v>
      </c>
      <c r="B32" s="4"/>
    </row>
    <row r="33" spans="1:2">
      <c r="A33" s="1">
        <v>42416</v>
      </c>
      <c r="B33" s="4">
        <v>31.09</v>
      </c>
    </row>
    <row r="34" spans="1:2">
      <c r="A34" s="1">
        <v>42417</v>
      </c>
      <c r="B34" s="4">
        <v>33.21</v>
      </c>
    </row>
    <row r="35" spans="1:2">
      <c r="A35" s="1">
        <v>42418</v>
      </c>
      <c r="B35" s="4">
        <v>33.200000000000003</v>
      </c>
    </row>
    <row r="36" spans="1:2">
      <c r="A36" s="1">
        <v>42419</v>
      </c>
      <c r="B36" s="4">
        <v>31.66</v>
      </c>
    </row>
    <row r="37" spans="1:2">
      <c r="A37" s="1">
        <v>42422</v>
      </c>
      <c r="B37" s="4">
        <v>33.590000000000003</v>
      </c>
    </row>
    <row r="38" spans="1:2">
      <c r="A38" s="1">
        <v>42423</v>
      </c>
      <c r="B38" s="4">
        <v>31.9</v>
      </c>
    </row>
    <row r="39" spans="1:2">
      <c r="A39" s="1">
        <v>42424</v>
      </c>
      <c r="B39" s="4">
        <v>31.5</v>
      </c>
    </row>
    <row r="40" spans="1:2">
      <c r="A40" s="1">
        <v>42425</v>
      </c>
      <c r="B40" s="4">
        <v>32.83</v>
      </c>
    </row>
    <row r="41" spans="1:2">
      <c r="A41" s="1">
        <v>42426</v>
      </c>
      <c r="B41" s="4">
        <v>35.76</v>
      </c>
    </row>
    <row r="42" spans="1:2">
      <c r="A42" s="1">
        <v>42429</v>
      </c>
      <c r="B42" s="4">
        <v>35.92</v>
      </c>
    </row>
    <row r="43" spans="1:2">
      <c r="A43" s="1">
        <v>42430</v>
      </c>
      <c r="B43" s="4">
        <v>35.729999999999997</v>
      </c>
    </row>
    <row r="44" spans="1:2">
      <c r="A44" s="1">
        <v>42431</v>
      </c>
      <c r="B44" s="4">
        <v>36.380000000000003</v>
      </c>
    </row>
    <row r="45" spans="1:2">
      <c r="A45" s="1">
        <v>42432</v>
      </c>
      <c r="B45" s="4">
        <v>35.75</v>
      </c>
    </row>
    <row r="46" spans="1:2">
      <c r="A46" s="1">
        <v>42433</v>
      </c>
      <c r="B46" s="4">
        <v>37.61</v>
      </c>
    </row>
    <row r="47" spans="1:2">
      <c r="A47" s="1">
        <v>42436</v>
      </c>
      <c r="B47" s="4">
        <v>39.020000000000003</v>
      </c>
    </row>
    <row r="48" spans="1:2">
      <c r="A48" s="1">
        <v>42437</v>
      </c>
      <c r="B48" s="4">
        <v>39.159999999999997</v>
      </c>
    </row>
    <row r="49" spans="1:2">
      <c r="A49" s="1">
        <v>42438</v>
      </c>
      <c r="B49" s="4">
        <v>40.26</v>
      </c>
    </row>
    <row r="50" spans="1:2">
      <c r="A50" s="1">
        <v>42439</v>
      </c>
      <c r="B50" s="4">
        <v>38.630000000000003</v>
      </c>
    </row>
    <row r="51" spans="1:2">
      <c r="A51" s="1">
        <v>42440</v>
      </c>
      <c r="B51" s="4">
        <v>39.409999999999997</v>
      </c>
    </row>
    <row r="52" spans="1:2">
      <c r="A52" s="1">
        <v>42443</v>
      </c>
      <c r="B52" s="4">
        <v>38.06</v>
      </c>
    </row>
    <row r="53" spans="1:2">
      <c r="A53" s="1">
        <v>42444</v>
      </c>
      <c r="B53" s="4">
        <v>37.49</v>
      </c>
    </row>
    <row r="54" spans="1:2">
      <c r="A54" s="1">
        <v>42445</v>
      </c>
      <c r="B54" s="4">
        <v>38.380000000000003</v>
      </c>
    </row>
    <row r="55" spans="1:2">
      <c r="A55" s="1">
        <v>42446</v>
      </c>
      <c r="B55" s="4">
        <v>39.29</v>
      </c>
    </row>
    <row r="56" spans="1:2">
      <c r="A56" s="1">
        <v>42447</v>
      </c>
      <c r="B56" s="4">
        <v>39.26</v>
      </c>
    </row>
    <row r="57" spans="1:2">
      <c r="A57" s="1">
        <v>42450</v>
      </c>
      <c r="B57" s="4">
        <v>39.909999999999997</v>
      </c>
    </row>
    <row r="58" spans="1:2">
      <c r="A58" s="1">
        <v>42451</v>
      </c>
      <c r="B58" s="4">
        <v>40.54</v>
      </c>
    </row>
    <row r="59" spans="1:2">
      <c r="A59" s="1">
        <v>42452</v>
      </c>
      <c r="B59" s="4">
        <v>38.840000000000003</v>
      </c>
    </row>
    <row r="60" spans="1:2">
      <c r="A60" s="1">
        <v>42453</v>
      </c>
      <c r="B60" s="4">
        <v>38.33</v>
      </c>
    </row>
    <row r="61" spans="1:2">
      <c r="A61" s="1">
        <v>42454</v>
      </c>
      <c r="B61" s="4"/>
    </row>
    <row r="62" spans="1:2">
      <c r="A62" s="1">
        <v>42457</v>
      </c>
      <c r="B62" s="4">
        <v>38.33</v>
      </c>
    </row>
    <row r="63" spans="1:2">
      <c r="A63" s="1">
        <v>42458</v>
      </c>
      <c r="B63" s="4">
        <v>36.75</v>
      </c>
    </row>
    <row r="64" spans="1:2">
      <c r="A64" s="1">
        <v>42459</v>
      </c>
      <c r="B64" s="4">
        <v>36.75</v>
      </c>
    </row>
    <row r="65" spans="1:2">
      <c r="A65" s="1">
        <v>42460</v>
      </c>
      <c r="B65" s="4">
        <v>36.75</v>
      </c>
    </row>
    <row r="66" spans="1:2">
      <c r="A66" s="1">
        <v>42461</v>
      </c>
      <c r="B66" s="4">
        <v>36.42</v>
      </c>
    </row>
    <row r="67" spans="1:2">
      <c r="A67" s="1">
        <v>42464</v>
      </c>
      <c r="B67" s="4">
        <v>36.049999999999997</v>
      </c>
    </row>
    <row r="68" spans="1:2">
      <c r="A68" s="1">
        <v>42465</v>
      </c>
      <c r="B68" s="4">
        <v>35.880000000000003</v>
      </c>
    </row>
    <row r="69" spans="1:2">
      <c r="A69" s="1">
        <v>42466</v>
      </c>
      <c r="B69" s="4">
        <v>37.770000000000003</v>
      </c>
    </row>
    <row r="70" spans="1:2">
      <c r="A70" s="1">
        <v>42467</v>
      </c>
      <c r="B70" s="4">
        <v>37.15</v>
      </c>
    </row>
    <row r="71" spans="1:2">
      <c r="A71" s="1">
        <v>42468</v>
      </c>
      <c r="B71" s="4">
        <v>40.71</v>
      </c>
    </row>
    <row r="72" spans="1:2">
      <c r="A72" s="1">
        <v>42471</v>
      </c>
      <c r="B72" s="4">
        <v>41.58</v>
      </c>
    </row>
    <row r="73" spans="1:2">
      <c r="A73" s="1">
        <v>42472</v>
      </c>
      <c r="B73" s="4">
        <v>43.02</v>
      </c>
    </row>
    <row r="74" spans="1:2">
      <c r="A74" s="1">
        <v>42473</v>
      </c>
      <c r="B74" s="4">
        <v>42.81</v>
      </c>
    </row>
    <row r="75" spans="1:2">
      <c r="A75" s="1">
        <v>42474</v>
      </c>
      <c r="B75" s="4">
        <v>43.02</v>
      </c>
    </row>
    <row r="76" spans="1:2">
      <c r="A76" s="1">
        <v>42475</v>
      </c>
      <c r="B76" s="4">
        <v>41.32</v>
      </c>
    </row>
    <row r="77" spans="1:2">
      <c r="A77" s="1">
        <v>42478</v>
      </c>
      <c r="B77" s="4">
        <v>41.64</v>
      </c>
    </row>
    <row r="78" spans="1:2">
      <c r="A78" s="1">
        <v>42479</v>
      </c>
      <c r="B78" s="4">
        <v>43.02</v>
      </c>
    </row>
    <row r="79" spans="1:2">
      <c r="A79" s="1">
        <v>42480</v>
      </c>
      <c r="B79" s="4">
        <v>43.09</v>
      </c>
    </row>
    <row r="80" spans="1:2">
      <c r="A80" s="1">
        <v>42481</v>
      </c>
      <c r="B80" s="4">
        <v>43.48</v>
      </c>
    </row>
    <row r="81" spans="1:2">
      <c r="A81" s="1">
        <v>42482</v>
      </c>
      <c r="B81" s="4">
        <v>43.97</v>
      </c>
    </row>
    <row r="82" spans="1:2">
      <c r="A82" s="1">
        <v>42485</v>
      </c>
      <c r="B82" s="4">
        <v>42.97</v>
      </c>
    </row>
    <row r="83" spans="1:2">
      <c r="A83" s="1">
        <v>42486</v>
      </c>
      <c r="B83" s="4">
        <v>43.94</v>
      </c>
    </row>
    <row r="84" spans="1:2">
      <c r="A84" s="1">
        <v>42487</v>
      </c>
      <c r="B84" s="4">
        <v>44.17</v>
      </c>
    </row>
    <row r="85" spans="1:2">
      <c r="A85" s="1">
        <v>42488</v>
      </c>
      <c r="B85" s="4">
        <v>45.6</v>
      </c>
    </row>
    <row r="86" spans="1:2">
      <c r="A86" s="1">
        <v>42489</v>
      </c>
      <c r="B86" s="4">
        <v>45.64</v>
      </c>
    </row>
    <row r="87" spans="1:2">
      <c r="A87" s="1">
        <v>42492</v>
      </c>
      <c r="B87" s="4">
        <v>45.82</v>
      </c>
    </row>
    <row r="88" spans="1:2">
      <c r="A88" s="1">
        <v>42493</v>
      </c>
      <c r="B88" s="4">
        <v>43.09</v>
      </c>
    </row>
    <row r="89" spans="1:2">
      <c r="A89" s="1">
        <v>42494</v>
      </c>
      <c r="B89" s="4">
        <v>43.08</v>
      </c>
    </row>
    <row r="90" spans="1:2">
      <c r="A90" s="1">
        <v>42495</v>
      </c>
      <c r="B90" s="4">
        <v>44.39</v>
      </c>
    </row>
    <row r="91" spans="1:2">
      <c r="A91" s="1">
        <v>42496</v>
      </c>
      <c r="B91" s="4">
        <v>44.6</v>
      </c>
    </row>
    <row r="92" spans="1:2">
      <c r="A92" s="1">
        <v>42499</v>
      </c>
      <c r="B92" s="4">
        <v>42.43</v>
      </c>
    </row>
    <row r="93" spans="1:2">
      <c r="A93" s="1">
        <v>42500</v>
      </c>
      <c r="B93" s="4">
        <v>44.01</v>
      </c>
    </row>
    <row r="94" spans="1:2">
      <c r="A94" s="1">
        <v>42501</v>
      </c>
      <c r="B94" s="4">
        <v>46.08</v>
      </c>
    </row>
    <row r="95" spans="1:2">
      <c r="A95" s="1">
        <v>42502</v>
      </c>
      <c r="B95" s="4">
        <v>46.43</v>
      </c>
    </row>
    <row r="96" spans="1:2">
      <c r="A96" s="1">
        <v>42503</v>
      </c>
      <c r="B96" s="4">
        <v>47.05</v>
      </c>
    </row>
    <row r="97" spans="1:2">
      <c r="A97" s="1">
        <v>42506</v>
      </c>
      <c r="B97" s="4">
        <v>48.49</v>
      </c>
    </row>
    <row r="98" spans="1:2">
      <c r="A98" s="1">
        <v>42507</v>
      </c>
      <c r="B98" s="4">
        <v>48.71</v>
      </c>
    </row>
    <row r="99" spans="1:2">
      <c r="A99" s="1">
        <v>42508</v>
      </c>
      <c r="B99" s="4">
        <v>48.93</v>
      </c>
    </row>
    <row r="100" spans="1:2">
      <c r="A100" s="1">
        <v>42509</v>
      </c>
      <c r="B100" s="4">
        <v>47.01</v>
      </c>
    </row>
    <row r="101" spans="1:2">
      <c r="A101" s="1">
        <v>42510</v>
      </c>
      <c r="B101" s="4">
        <v>48.54</v>
      </c>
    </row>
    <row r="102" spans="1:2">
      <c r="A102" s="1">
        <v>42513</v>
      </c>
      <c r="B102" s="4">
        <v>47.77</v>
      </c>
    </row>
    <row r="103" spans="1:2">
      <c r="A103" s="1">
        <v>42514</v>
      </c>
      <c r="B103" s="4">
        <v>48.42</v>
      </c>
    </row>
    <row r="104" spans="1:2">
      <c r="A104" s="1">
        <v>42515</v>
      </c>
      <c r="B104" s="4">
        <v>48.87</v>
      </c>
    </row>
    <row r="105" spans="1:2">
      <c r="A105" s="1">
        <v>42516</v>
      </c>
      <c r="B105" s="4">
        <v>49.52</v>
      </c>
    </row>
    <row r="106" spans="1:2">
      <c r="A106" s="1">
        <v>42517</v>
      </c>
      <c r="B106" s="4">
        <v>49.09</v>
      </c>
    </row>
    <row r="107" spans="1:2">
      <c r="A107" s="1">
        <v>42520</v>
      </c>
      <c r="B107" s="4"/>
    </row>
    <row r="108" spans="1:2">
      <c r="A108" s="1">
        <v>42521</v>
      </c>
      <c r="B108" s="4">
        <v>49.26</v>
      </c>
    </row>
    <row r="109" spans="1:2">
      <c r="A109" s="1">
        <v>42522</v>
      </c>
      <c r="B109" s="4">
        <v>48.81</v>
      </c>
    </row>
    <row r="110" spans="1:2">
      <c r="A110" s="1">
        <v>42523</v>
      </c>
      <c r="B110" s="4">
        <v>49.05</v>
      </c>
    </row>
    <row r="111" spans="1:2">
      <c r="A111" s="1">
        <v>42524</v>
      </c>
      <c r="B111" s="4">
        <v>48.5</v>
      </c>
    </row>
    <row r="112" spans="1:2">
      <c r="A112" s="1">
        <v>42527</v>
      </c>
      <c r="B112" s="4">
        <v>48.94</v>
      </c>
    </row>
    <row r="113" spans="1:2">
      <c r="A113" s="1">
        <v>42528</v>
      </c>
      <c r="B113" s="4">
        <v>49.76</v>
      </c>
    </row>
    <row r="114" spans="1:2">
      <c r="A114" s="1">
        <v>42529</v>
      </c>
      <c r="B114" s="4">
        <v>50.73</v>
      </c>
    </row>
    <row r="115" spans="1:2">
      <c r="A115" s="1">
        <v>42530</v>
      </c>
      <c r="B115" s="4">
        <v>50.59</v>
      </c>
    </row>
    <row r="116" spans="1:2">
      <c r="A116" s="1">
        <v>42531</v>
      </c>
      <c r="B116" s="4">
        <v>49.7</v>
      </c>
    </row>
    <row r="117" spans="1:2">
      <c r="A117" s="1">
        <v>42534</v>
      </c>
      <c r="B117" s="4">
        <v>49.36</v>
      </c>
    </row>
    <row r="118" spans="1:2">
      <c r="A118" s="1">
        <v>42535</v>
      </c>
      <c r="B118" s="4">
        <v>47.88</v>
      </c>
    </row>
    <row r="119" spans="1:2">
      <c r="A119" s="1">
        <v>42536</v>
      </c>
      <c r="B119" s="4">
        <v>47.47</v>
      </c>
    </row>
    <row r="120" spans="1:2">
      <c r="A120" s="1">
        <v>42537</v>
      </c>
      <c r="B120" s="4">
        <v>45.66</v>
      </c>
    </row>
    <row r="121" spans="1:2">
      <c r="A121" s="1">
        <v>42538</v>
      </c>
      <c r="B121" s="4">
        <v>46.57</v>
      </c>
    </row>
    <row r="122" spans="1:2">
      <c r="A122" s="1">
        <v>42541</v>
      </c>
      <c r="B122" s="4">
        <v>48.68</v>
      </c>
    </row>
    <row r="123" spans="1:2">
      <c r="A123" s="1">
        <v>42542</v>
      </c>
      <c r="B123" s="4">
        <v>48.18</v>
      </c>
    </row>
    <row r="124" spans="1:2">
      <c r="A124" s="1">
        <v>42543</v>
      </c>
      <c r="B124" s="4">
        <v>48.43</v>
      </c>
    </row>
    <row r="125" spans="1:2">
      <c r="A125" s="1">
        <v>42544</v>
      </c>
      <c r="B125" s="4">
        <v>48.63</v>
      </c>
    </row>
    <row r="126" spans="1:2">
      <c r="A126" s="1">
        <v>42545</v>
      </c>
      <c r="B126" s="4">
        <v>46.69</v>
      </c>
    </row>
    <row r="127" spans="1:2">
      <c r="A127" s="1">
        <v>42548</v>
      </c>
      <c r="B127" s="4">
        <v>45.07</v>
      </c>
    </row>
    <row r="128" spans="1:2">
      <c r="A128" s="1">
        <v>42549</v>
      </c>
      <c r="B128" s="4">
        <v>46.29</v>
      </c>
    </row>
    <row r="129" spans="1:2">
      <c r="A129" s="1">
        <v>42550</v>
      </c>
      <c r="B129" s="4">
        <v>48.4</v>
      </c>
    </row>
    <row r="130" spans="1:2">
      <c r="A130" s="1">
        <v>42551</v>
      </c>
      <c r="B130" s="4">
        <v>48.05</v>
      </c>
    </row>
    <row r="131" spans="1:2">
      <c r="A131" s="1">
        <v>42552</v>
      </c>
      <c r="B131" s="4">
        <v>47.65</v>
      </c>
    </row>
    <row r="132" spans="1:2">
      <c r="A132" s="1">
        <v>42555</v>
      </c>
      <c r="B132" s="4">
        <v>48.02</v>
      </c>
    </row>
    <row r="133" spans="1:2">
      <c r="A133" s="1">
        <v>42556</v>
      </c>
      <c r="B133" s="4">
        <v>45.64</v>
      </c>
    </row>
    <row r="134" spans="1:2">
      <c r="A134" s="1">
        <v>42557</v>
      </c>
      <c r="B134" s="4">
        <v>45.7</v>
      </c>
    </row>
    <row r="135" spans="1:2">
      <c r="A135" s="1">
        <v>42558</v>
      </c>
      <c r="B135" s="4">
        <v>45.93</v>
      </c>
    </row>
    <row r="136" spans="1:2">
      <c r="A136" s="1">
        <v>42559</v>
      </c>
      <c r="B136" s="4">
        <v>44.53</v>
      </c>
    </row>
    <row r="137" spans="1:2">
      <c r="A137" s="1">
        <v>42562</v>
      </c>
      <c r="B137" s="4">
        <v>44.04</v>
      </c>
    </row>
    <row r="138" spans="1:2">
      <c r="A138" s="1">
        <v>42563</v>
      </c>
      <c r="B138" s="4">
        <v>46.72</v>
      </c>
    </row>
    <row r="139" spans="1:2">
      <c r="A139" s="1">
        <v>42564</v>
      </c>
      <c r="B139" s="4">
        <v>44.67</v>
      </c>
    </row>
    <row r="140" spans="1:2">
      <c r="A140" s="1">
        <v>42565</v>
      </c>
      <c r="B140" s="4">
        <v>46.01</v>
      </c>
    </row>
    <row r="141" spans="1:2">
      <c r="A141" s="1">
        <v>42566</v>
      </c>
      <c r="B141" s="4">
        <v>46.25</v>
      </c>
    </row>
    <row r="142" spans="1:2">
      <c r="A142" s="1">
        <v>42569</v>
      </c>
      <c r="B142" s="4">
        <v>45.35</v>
      </c>
    </row>
    <row r="143" spans="1:2">
      <c r="A143" s="1">
        <v>42570</v>
      </c>
      <c r="B143" s="4">
        <v>45.7</v>
      </c>
    </row>
    <row r="144" spans="1:2">
      <c r="A144" s="1">
        <v>42571</v>
      </c>
      <c r="B144" s="4">
        <v>45.82</v>
      </c>
    </row>
    <row r="145" spans="1:2">
      <c r="A145" s="1">
        <v>42572</v>
      </c>
      <c r="B145" s="4">
        <v>44.99</v>
      </c>
    </row>
    <row r="146" spans="1:2">
      <c r="A146" s="1">
        <v>42573</v>
      </c>
      <c r="B146" s="4">
        <v>44.24</v>
      </c>
    </row>
    <row r="147" spans="1:2">
      <c r="A147" s="1">
        <v>42576</v>
      </c>
      <c r="B147" s="4">
        <v>43.76</v>
      </c>
    </row>
    <row r="148" spans="1:2">
      <c r="A148" s="1">
        <v>42577</v>
      </c>
      <c r="B148" s="4">
        <v>43.56</v>
      </c>
    </row>
    <row r="149" spans="1:2">
      <c r="A149" s="1">
        <v>42578</v>
      </c>
      <c r="B149" s="4">
        <v>42.78</v>
      </c>
    </row>
    <row r="150" spans="1:2">
      <c r="A150" s="1">
        <v>42579</v>
      </c>
      <c r="B150" s="4">
        <v>41.87</v>
      </c>
    </row>
    <row r="151" spans="1:2">
      <c r="A151" s="1">
        <v>42580</v>
      </c>
      <c r="B151" s="4">
        <v>40.76</v>
      </c>
    </row>
    <row r="152" spans="1:2">
      <c r="A152" s="1">
        <v>42583</v>
      </c>
      <c r="B152" s="4">
        <v>40.17</v>
      </c>
    </row>
    <row r="153" spans="1:2">
      <c r="A153" s="1">
        <v>42584</v>
      </c>
      <c r="B153" s="4">
        <v>40</v>
      </c>
    </row>
    <row r="154" spans="1:2">
      <c r="A154" s="1">
        <v>42585</v>
      </c>
      <c r="B154" s="4">
        <v>40.450000000000003</v>
      </c>
    </row>
    <row r="155" spans="1:2">
      <c r="A155" s="1">
        <v>42586</v>
      </c>
      <c r="B155" s="4">
        <v>41.33</v>
      </c>
    </row>
    <row r="156" spans="1:2">
      <c r="A156" s="1">
        <v>42587</v>
      </c>
      <c r="B156" s="4">
        <v>42.47</v>
      </c>
    </row>
    <row r="157" spans="1:2">
      <c r="A157" s="1">
        <v>42590</v>
      </c>
      <c r="B157" s="4">
        <v>43.24</v>
      </c>
    </row>
    <row r="158" spans="1:2">
      <c r="A158" s="1">
        <v>42591</v>
      </c>
      <c r="B158" s="4">
        <v>43.37</v>
      </c>
    </row>
    <row r="159" spans="1:2">
      <c r="A159" s="1">
        <v>42592</v>
      </c>
      <c r="B159" s="4">
        <v>42.19</v>
      </c>
    </row>
    <row r="160" spans="1:2">
      <c r="A160" s="1">
        <v>42593</v>
      </c>
      <c r="B160" s="4">
        <v>44.23</v>
      </c>
    </row>
    <row r="161" spans="1:2">
      <c r="A161" s="1">
        <v>42594</v>
      </c>
      <c r="B161" s="4">
        <v>45.12</v>
      </c>
    </row>
    <row r="162" spans="1:2">
      <c r="A162" s="1">
        <v>42597</v>
      </c>
      <c r="B162" s="4">
        <v>47.31</v>
      </c>
    </row>
    <row r="163" spans="1:2">
      <c r="A163" s="1">
        <v>42598</v>
      </c>
      <c r="B163" s="4">
        <v>48.27</v>
      </c>
    </row>
    <row r="164" spans="1:2">
      <c r="A164" s="1">
        <v>42599</v>
      </c>
      <c r="B164" s="4">
        <v>48.58</v>
      </c>
    </row>
    <row r="165" spans="1:2">
      <c r="A165" s="1">
        <v>42600</v>
      </c>
      <c r="B165" s="4">
        <v>49.46</v>
      </c>
    </row>
    <row r="166" spans="1:2">
      <c r="A166" s="1">
        <v>42601</v>
      </c>
      <c r="B166" s="4">
        <v>49.39</v>
      </c>
    </row>
    <row r="167" spans="1:2">
      <c r="A167" s="1">
        <v>42604</v>
      </c>
      <c r="B167" s="4">
        <v>48.1</v>
      </c>
    </row>
    <row r="168" spans="1:2">
      <c r="A168" s="1">
        <v>42605</v>
      </c>
      <c r="B168" s="4">
        <v>48.7</v>
      </c>
    </row>
    <row r="169" spans="1:2">
      <c r="A169" s="1">
        <v>42606</v>
      </c>
      <c r="B169" s="4">
        <v>47.56</v>
      </c>
    </row>
    <row r="170" spans="1:2">
      <c r="A170" s="1">
        <v>42607</v>
      </c>
      <c r="B170" s="4">
        <v>49.25</v>
      </c>
    </row>
    <row r="171" spans="1:2">
      <c r="A171" s="1">
        <v>42608</v>
      </c>
      <c r="B171" s="4">
        <v>49.66</v>
      </c>
    </row>
    <row r="172" spans="1:2">
      <c r="A172" s="1">
        <v>42611</v>
      </c>
      <c r="B172" s="4">
        <v>49.66</v>
      </c>
    </row>
    <row r="173" spans="1:2">
      <c r="A173" s="1">
        <v>42612</v>
      </c>
      <c r="B173" s="4">
        <v>47.94</v>
      </c>
    </row>
    <row r="174" spans="1:2">
      <c r="A174" s="1">
        <v>42613</v>
      </c>
      <c r="B174" s="4">
        <v>47.94</v>
      </c>
    </row>
    <row r="175" spans="1:2">
      <c r="A175" s="1">
        <v>42614</v>
      </c>
      <c r="B175" s="4">
        <v>45.05</v>
      </c>
    </row>
    <row r="176" spans="1:2">
      <c r="A176" s="1">
        <v>42615</v>
      </c>
      <c r="B176" s="4">
        <v>45.96</v>
      </c>
    </row>
    <row r="177" spans="1:2">
      <c r="A177" s="1">
        <v>42618</v>
      </c>
      <c r="B177" s="4">
        <v>46.72</v>
      </c>
    </row>
    <row r="178" spans="1:2">
      <c r="A178" s="1">
        <v>42619</v>
      </c>
      <c r="B178" s="4">
        <v>46.21</v>
      </c>
    </row>
    <row r="179" spans="1:2">
      <c r="A179" s="1">
        <v>42620</v>
      </c>
      <c r="B179" s="4">
        <v>47</v>
      </c>
    </row>
    <row r="180" spans="1:2">
      <c r="A180" s="1">
        <v>42621</v>
      </c>
      <c r="B180" s="4">
        <v>49.23</v>
      </c>
    </row>
    <row r="181" spans="1:2">
      <c r="A181" s="1">
        <v>42622</v>
      </c>
      <c r="B181" s="4">
        <v>48.37</v>
      </c>
    </row>
    <row r="182" spans="1:2">
      <c r="A182" s="1">
        <v>42625</v>
      </c>
      <c r="B182" s="4">
        <v>47.82</v>
      </c>
    </row>
    <row r="183" spans="1:2">
      <c r="A183" s="1">
        <v>42626</v>
      </c>
      <c r="B183" s="4">
        <v>46.48</v>
      </c>
    </row>
    <row r="184" spans="1:2">
      <c r="A184" s="1">
        <v>42627</v>
      </c>
      <c r="B184" s="4">
        <v>45.65</v>
      </c>
    </row>
    <row r="185" spans="1:2">
      <c r="A185" s="1">
        <v>42628</v>
      </c>
      <c r="B185" s="4">
        <v>45.83</v>
      </c>
    </row>
    <row r="186" spans="1:2">
      <c r="A186" s="1">
        <v>42629</v>
      </c>
      <c r="B186" s="4">
        <v>45.26</v>
      </c>
    </row>
    <row r="187" spans="1:2">
      <c r="A187" s="1">
        <v>42632</v>
      </c>
      <c r="B187" s="4">
        <v>46.04</v>
      </c>
    </row>
    <row r="188" spans="1:2">
      <c r="A188" s="1">
        <v>42633</v>
      </c>
      <c r="B188" s="4">
        <v>45.24</v>
      </c>
    </row>
    <row r="189" spans="1:2">
      <c r="A189" s="1">
        <v>42634</v>
      </c>
      <c r="B189" s="4">
        <v>45.99</v>
      </c>
    </row>
    <row r="190" spans="1:2">
      <c r="A190" s="1">
        <v>42635</v>
      </c>
      <c r="B190" s="4">
        <v>47.21</v>
      </c>
    </row>
    <row r="191" spans="1:2">
      <c r="A191" s="1">
        <v>42636</v>
      </c>
      <c r="B191" s="4">
        <v>46.71</v>
      </c>
    </row>
    <row r="192" spans="1:2">
      <c r="A192" s="1">
        <v>42639</v>
      </c>
      <c r="B192" s="4">
        <v>46.61</v>
      </c>
    </row>
    <row r="193" spans="1:2">
      <c r="A193" s="1">
        <v>42640</v>
      </c>
      <c r="B193" s="4">
        <v>44.95</v>
      </c>
    </row>
    <row r="194" spans="1:2">
      <c r="A194" s="1">
        <v>42641</v>
      </c>
      <c r="B194" s="4">
        <v>45.49</v>
      </c>
    </row>
    <row r="195" spans="1:2">
      <c r="A195" s="1">
        <v>42642</v>
      </c>
      <c r="B195" s="4">
        <v>48.43</v>
      </c>
    </row>
    <row r="196" spans="1:2">
      <c r="A196" s="1">
        <v>42643</v>
      </c>
      <c r="B196" s="4">
        <v>48.24</v>
      </c>
    </row>
    <row r="197" spans="1:2">
      <c r="A197" s="1">
        <v>42646</v>
      </c>
      <c r="B197" s="4">
        <v>48.61</v>
      </c>
    </row>
    <row r="198" spans="1:2">
      <c r="A198" s="1">
        <v>42647</v>
      </c>
      <c r="B198" s="4">
        <v>48.81</v>
      </c>
    </row>
    <row r="199" spans="1:2">
      <c r="A199" s="1">
        <v>42648</v>
      </c>
      <c r="B199" s="4">
        <v>49.57</v>
      </c>
    </row>
    <row r="200" spans="1:2">
      <c r="A200" s="1">
        <v>42649</v>
      </c>
      <c r="B200" s="4">
        <v>50.14</v>
      </c>
    </row>
    <row r="201" spans="1:2">
      <c r="A201" s="1">
        <v>42650</v>
      </c>
      <c r="B201" s="4">
        <v>50.49</v>
      </c>
    </row>
    <row r="202" spans="1:2">
      <c r="A202" s="1">
        <v>42653</v>
      </c>
      <c r="B202" s="4">
        <v>51.54</v>
      </c>
    </row>
    <row r="203" spans="1:2">
      <c r="A203" s="1">
        <v>42654</v>
      </c>
      <c r="B203" s="4">
        <v>50.48</v>
      </c>
    </row>
    <row r="204" spans="1:2">
      <c r="A204" s="1">
        <v>42655</v>
      </c>
      <c r="B204" s="4">
        <v>49.53</v>
      </c>
    </row>
    <row r="205" spans="1:2">
      <c r="A205" s="1">
        <v>42656</v>
      </c>
      <c r="B205" s="4">
        <v>49.29</v>
      </c>
    </row>
    <row r="206" spans="1:2">
      <c r="A206" s="1">
        <v>42657</v>
      </c>
      <c r="B206" s="4">
        <v>48.87</v>
      </c>
    </row>
    <row r="207" spans="1:2">
      <c r="A207" s="1">
        <v>42660</v>
      </c>
      <c r="B207" s="4">
        <v>49.31</v>
      </c>
    </row>
    <row r="208" spans="1:2">
      <c r="A208" s="1">
        <v>42661</v>
      </c>
      <c r="B208" s="4">
        <v>49.81</v>
      </c>
    </row>
    <row r="209" spans="1:2">
      <c r="A209" s="1">
        <v>42662</v>
      </c>
      <c r="B209" s="4">
        <v>51.85</v>
      </c>
    </row>
    <row r="210" spans="1:2">
      <c r="A210" s="1">
        <v>42663</v>
      </c>
      <c r="B210" s="4">
        <v>50.42</v>
      </c>
    </row>
    <row r="211" spans="1:2">
      <c r="A211" s="1">
        <v>42664</v>
      </c>
      <c r="B211" s="4">
        <v>50.28</v>
      </c>
    </row>
    <row r="212" spans="1:2">
      <c r="A212" s="1">
        <v>42667</v>
      </c>
      <c r="B212" s="4">
        <v>49.8</v>
      </c>
    </row>
    <row r="213" spans="1:2">
      <c r="A213" s="1">
        <v>42668</v>
      </c>
      <c r="B213" s="4">
        <v>49.08</v>
      </c>
    </row>
    <row r="214" spans="1:2">
      <c r="A214" s="1">
        <v>42669</v>
      </c>
      <c r="B214" s="4">
        <v>48.98</v>
      </c>
    </row>
    <row r="215" spans="1:2">
      <c r="A215" s="1">
        <v>42670</v>
      </c>
      <c r="B215" s="4">
        <v>49.13</v>
      </c>
    </row>
    <row r="216" spans="1:2">
      <c r="A216" s="1">
        <v>42671</v>
      </c>
      <c r="B216" s="4">
        <v>47.78</v>
      </c>
    </row>
    <row r="217" spans="1:2">
      <c r="A217" s="1">
        <v>42674</v>
      </c>
      <c r="B217" s="4">
        <v>46.2</v>
      </c>
    </row>
    <row r="218" spans="1:2">
      <c r="A218" s="1">
        <v>42675</v>
      </c>
      <c r="B218" s="4">
        <v>45.77</v>
      </c>
    </row>
    <row r="219" spans="1:2">
      <c r="A219" s="1">
        <v>42676</v>
      </c>
      <c r="B219" s="4">
        <v>44.26</v>
      </c>
    </row>
    <row r="220" spans="1:2">
      <c r="A220" s="1">
        <v>42677</v>
      </c>
      <c r="B220" s="4">
        <v>43.84</v>
      </c>
    </row>
    <row r="221" spans="1:2">
      <c r="A221" s="1">
        <v>42678</v>
      </c>
      <c r="B221" s="4">
        <v>43.06</v>
      </c>
    </row>
    <row r="222" spans="1:2">
      <c r="A222" s="1">
        <v>42681</v>
      </c>
      <c r="B222" s="4">
        <v>42.83</v>
      </c>
    </row>
    <row r="223" spans="1:2">
      <c r="A223" s="1">
        <v>42682</v>
      </c>
      <c r="B223" s="4">
        <v>43.47</v>
      </c>
    </row>
    <row r="224" spans="1:2">
      <c r="A224" s="1">
        <v>42683</v>
      </c>
      <c r="B224" s="4">
        <v>43.88</v>
      </c>
    </row>
    <row r="225" spans="1:2">
      <c r="A225" s="1">
        <v>42684</v>
      </c>
      <c r="B225" s="4">
        <v>43.67</v>
      </c>
    </row>
    <row r="226" spans="1:2">
      <c r="A226" s="1">
        <v>42685</v>
      </c>
      <c r="B226" s="4">
        <v>41.61</v>
      </c>
    </row>
    <row r="227" spans="1:2">
      <c r="A227" s="1">
        <v>42688</v>
      </c>
      <c r="B227" s="4">
        <v>41.83</v>
      </c>
    </row>
    <row r="228" spans="1:2">
      <c r="A228" s="1">
        <v>42689</v>
      </c>
      <c r="B228" s="4">
        <v>44.15</v>
      </c>
    </row>
    <row r="229" spans="1:2">
      <c r="A229" s="1">
        <v>42690</v>
      </c>
      <c r="B229" s="4">
        <v>45.07</v>
      </c>
    </row>
    <row r="230" spans="1:2">
      <c r="A230" s="1">
        <v>42691</v>
      </c>
      <c r="B230" s="4">
        <v>44.57</v>
      </c>
    </row>
    <row r="231" spans="1:2">
      <c r="A231" s="1">
        <v>42692</v>
      </c>
      <c r="B231" s="4">
        <v>44.41</v>
      </c>
    </row>
    <row r="232" spans="1:2">
      <c r="A232" s="1">
        <v>42695</v>
      </c>
      <c r="B232" s="4">
        <v>45.96</v>
      </c>
    </row>
    <row r="233" spans="1:2">
      <c r="A233" s="1">
        <v>42696</v>
      </c>
      <c r="B233" s="4">
        <v>46.1</v>
      </c>
    </row>
    <row r="234" spans="1:2">
      <c r="A234" s="1">
        <v>42697</v>
      </c>
      <c r="B234" s="4">
        <v>46.54</v>
      </c>
    </row>
    <row r="235" spans="1:2">
      <c r="A235" s="1">
        <v>42698</v>
      </c>
      <c r="B235" s="4">
        <v>47.54</v>
      </c>
    </row>
    <row r="236" spans="1:2">
      <c r="A236" s="1">
        <v>42699</v>
      </c>
      <c r="B236" s="4">
        <v>46.32</v>
      </c>
    </row>
    <row r="237" spans="1:2">
      <c r="A237" s="1">
        <v>42702</v>
      </c>
      <c r="B237" s="4">
        <v>46.64</v>
      </c>
    </row>
    <row r="238" spans="1:2">
      <c r="A238" s="1">
        <v>42703</v>
      </c>
      <c r="B238" s="4">
        <v>44.68</v>
      </c>
    </row>
    <row r="239" spans="1:2">
      <c r="A239" s="1">
        <v>42704</v>
      </c>
      <c r="B239" s="4">
        <v>47.95</v>
      </c>
    </row>
    <row r="240" spans="1:2">
      <c r="A240" s="1">
        <v>42705</v>
      </c>
      <c r="B240" s="4">
        <v>52.28</v>
      </c>
    </row>
    <row r="241" spans="1:2">
      <c r="A241" s="1">
        <v>42706</v>
      </c>
      <c r="B241" s="4">
        <v>52.35</v>
      </c>
    </row>
    <row r="242" spans="1:2">
      <c r="A242" s="1">
        <v>42709</v>
      </c>
      <c r="B242" s="4">
        <v>53.3</v>
      </c>
    </row>
    <row r="243" spans="1:2">
      <c r="A243" s="1">
        <v>42710</v>
      </c>
      <c r="B243" s="4">
        <v>52.31</v>
      </c>
    </row>
    <row r="244" spans="1:2">
      <c r="A244" s="1">
        <v>42711</v>
      </c>
      <c r="B244" s="4">
        <v>51.9</v>
      </c>
    </row>
    <row r="245" spans="1:2">
      <c r="A245" s="1">
        <v>42712</v>
      </c>
      <c r="B245" s="4">
        <v>51.6</v>
      </c>
    </row>
    <row r="246" spans="1:2">
      <c r="A246" s="1">
        <v>42713</v>
      </c>
      <c r="B246" s="4">
        <v>52.19</v>
      </c>
    </row>
    <row r="247" spans="1:2">
      <c r="A247" s="1">
        <v>42716</v>
      </c>
      <c r="B247" s="4">
        <v>53.99</v>
      </c>
    </row>
    <row r="248" spans="1:2">
      <c r="A248" s="1">
        <v>42717</v>
      </c>
      <c r="B248" s="4">
        <v>53.28</v>
      </c>
    </row>
    <row r="249" spans="1:2">
      <c r="A249" s="1">
        <v>42718</v>
      </c>
      <c r="B249" s="4">
        <v>53.15</v>
      </c>
    </row>
    <row r="250" spans="1:2">
      <c r="A250" s="1">
        <v>42719</v>
      </c>
      <c r="B250" s="4">
        <v>51.72</v>
      </c>
    </row>
    <row r="251" spans="1:2">
      <c r="A251" s="1">
        <v>42720</v>
      </c>
      <c r="B251" s="4">
        <v>54.15</v>
      </c>
    </row>
    <row r="252" spans="1:2">
      <c r="A252" s="1">
        <v>42723</v>
      </c>
      <c r="B252" s="4">
        <v>53.53</v>
      </c>
    </row>
    <row r="253" spans="1:2">
      <c r="A253" s="1">
        <v>42724</v>
      </c>
      <c r="B253" s="4">
        <v>54.56</v>
      </c>
    </row>
    <row r="254" spans="1:2">
      <c r="A254" s="1">
        <v>42725</v>
      </c>
      <c r="B254" s="4">
        <v>53.01</v>
      </c>
    </row>
    <row r="255" spans="1:2">
      <c r="A255" s="1">
        <v>42726</v>
      </c>
      <c r="B255" s="4">
        <v>54.04</v>
      </c>
    </row>
    <row r="256" spans="1:2">
      <c r="A256" s="1">
        <v>42727</v>
      </c>
      <c r="B256" s="4">
        <v>53.93</v>
      </c>
    </row>
    <row r="257" spans="1:2">
      <c r="A257" s="1">
        <v>42730</v>
      </c>
      <c r="B257" s="4"/>
    </row>
    <row r="258" spans="1:2">
      <c r="A258" s="1">
        <v>42731</v>
      </c>
      <c r="B258" s="4"/>
    </row>
    <row r="259" spans="1:2">
      <c r="A259" s="1">
        <v>42732</v>
      </c>
      <c r="B259" s="4">
        <v>54.95</v>
      </c>
    </row>
    <row r="260" spans="1:2">
      <c r="A260" s="1">
        <v>42733</v>
      </c>
      <c r="B260" s="4">
        <v>54.97</v>
      </c>
    </row>
    <row r="261" spans="1:2">
      <c r="A261" s="1">
        <v>42734</v>
      </c>
      <c r="B261" s="4">
        <v>54.96</v>
      </c>
    </row>
    <row r="262" spans="1:2">
      <c r="A262" s="1">
        <v>42737</v>
      </c>
      <c r="B262" s="4"/>
    </row>
    <row r="263" spans="1:2">
      <c r="A263" s="1">
        <v>42738</v>
      </c>
      <c r="B263" s="4">
        <v>55.05</v>
      </c>
    </row>
    <row r="264" spans="1:2">
      <c r="A264" s="1">
        <v>42739</v>
      </c>
      <c r="B264" s="4">
        <v>54.57</v>
      </c>
    </row>
    <row r="265" spans="1:2">
      <c r="A265" s="1">
        <v>42740</v>
      </c>
      <c r="B265" s="4">
        <v>54.99</v>
      </c>
    </row>
    <row r="266" spans="1:2">
      <c r="A266" s="1">
        <v>42741</v>
      </c>
      <c r="B266" s="4">
        <v>55.9</v>
      </c>
    </row>
    <row r="267" spans="1:2">
      <c r="A267" s="1">
        <v>42744</v>
      </c>
      <c r="B267" s="4">
        <v>54.39</v>
      </c>
    </row>
    <row r="268" spans="1:2">
      <c r="A268" s="1">
        <v>42745</v>
      </c>
      <c r="B268" s="4">
        <v>53.2</v>
      </c>
    </row>
    <row r="269" spans="1:2">
      <c r="A269" s="1">
        <v>42746</v>
      </c>
      <c r="B269" s="4">
        <v>53.61</v>
      </c>
    </row>
    <row r="270" spans="1:2">
      <c r="A270" s="1">
        <v>42747</v>
      </c>
      <c r="B270" s="4">
        <v>54.51</v>
      </c>
    </row>
    <row r="271" spans="1:2">
      <c r="A271" s="1">
        <v>42748</v>
      </c>
      <c r="B271" s="4">
        <v>54.37</v>
      </c>
    </row>
    <row r="272" spans="1:2">
      <c r="A272" s="1">
        <v>42751</v>
      </c>
      <c r="B272" s="4">
        <v>54.3</v>
      </c>
    </row>
    <row r="273" spans="1:2">
      <c r="A273" s="1">
        <v>42752</v>
      </c>
      <c r="B273" s="4">
        <v>54.68</v>
      </c>
    </row>
    <row r="274" spans="1:2">
      <c r="A274" s="1">
        <v>42753</v>
      </c>
      <c r="B274" s="4">
        <v>53.77</v>
      </c>
    </row>
    <row r="275" spans="1:2">
      <c r="A275" s="1">
        <v>42754</v>
      </c>
      <c r="B275" s="4">
        <v>53.18</v>
      </c>
    </row>
    <row r="276" spans="1:2">
      <c r="A276" s="1">
        <v>42755</v>
      </c>
      <c r="B276" s="4">
        <v>55.04</v>
      </c>
    </row>
    <row r="277" spans="1:2">
      <c r="A277" s="1">
        <v>42758</v>
      </c>
      <c r="B277" s="4">
        <v>54.8</v>
      </c>
    </row>
    <row r="278" spans="1:2">
      <c r="A278" s="1">
        <v>42759</v>
      </c>
      <c r="B278" s="4">
        <v>54.7</v>
      </c>
    </row>
    <row r="279" spans="1:2">
      <c r="A279" s="1">
        <v>42760</v>
      </c>
      <c r="B279" s="4">
        <v>54.34</v>
      </c>
    </row>
    <row r="280" spans="1:2">
      <c r="A280" s="1">
        <v>42761</v>
      </c>
      <c r="B280" s="4">
        <v>55.89</v>
      </c>
    </row>
    <row r="281" spans="1:2">
      <c r="A281" s="1">
        <v>42762</v>
      </c>
      <c r="B281" s="4">
        <v>54.8</v>
      </c>
    </row>
    <row r="282" spans="1:2">
      <c r="A282" s="1">
        <v>42765</v>
      </c>
      <c r="B282" s="4">
        <v>54.77</v>
      </c>
    </row>
    <row r="283" spans="1:2">
      <c r="A283" s="1">
        <v>42766</v>
      </c>
      <c r="B283" s="4">
        <v>55.25</v>
      </c>
    </row>
    <row r="284" spans="1:2">
      <c r="A284" s="1">
        <v>42767</v>
      </c>
      <c r="B284" s="4">
        <v>55.79</v>
      </c>
    </row>
    <row r="285" spans="1:2">
      <c r="A285" s="1">
        <v>42768</v>
      </c>
      <c r="B285" s="4">
        <v>55.94</v>
      </c>
    </row>
    <row r="286" spans="1:2">
      <c r="A286" s="1">
        <v>42769</v>
      </c>
      <c r="B286" s="4">
        <v>55.92</v>
      </c>
    </row>
    <row r="287" spans="1:2">
      <c r="A287" s="1">
        <v>42772</v>
      </c>
      <c r="B287" s="4">
        <v>55.02</v>
      </c>
    </row>
    <row r="288" spans="1:2">
      <c r="A288" s="1">
        <v>42773</v>
      </c>
      <c r="B288" s="4">
        <v>53.79</v>
      </c>
    </row>
    <row r="289" spans="1:2">
      <c r="A289" s="1">
        <v>42774</v>
      </c>
      <c r="B289" s="4">
        <v>54.42</v>
      </c>
    </row>
    <row r="290" spans="1:2">
      <c r="A290" s="1">
        <v>42775</v>
      </c>
      <c r="B290" s="4">
        <v>53.98</v>
      </c>
    </row>
    <row r="291" spans="1:2">
      <c r="A291" s="1">
        <v>42776</v>
      </c>
      <c r="B291" s="4">
        <v>55.2</v>
      </c>
    </row>
    <row r="292" spans="1:2">
      <c r="A292" s="1">
        <v>42779</v>
      </c>
      <c r="B292" s="4">
        <v>54.15</v>
      </c>
    </row>
    <row r="293" spans="1:2">
      <c r="A293" s="1">
        <v>42780</v>
      </c>
      <c r="B293" s="4">
        <v>54.96</v>
      </c>
    </row>
    <row r="294" spans="1:2">
      <c r="A294" s="1">
        <v>42781</v>
      </c>
      <c r="B294" s="4">
        <v>54.57</v>
      </c>
    </row>
    <row r="295" spans="1:2">
      <c r="A295" s="1">
        <v>42782</v>
      </c>
      <c r="B295" s="4">
        <v>54.16</v>
      </c>
    </row>
    <row r="296" spans="1:2">
      <c r="A296" s="1">
        <v>42783</v>
      </c>
      <c r="B296" s="4">
        <v>54.48</v>
      </c>
    </row>
    <row r="297" spans="1:2">
      <c r="A297" s="1">
        <v>42786</v>
      </c>
      <c r="B297" s="4">
        <v>55.25</v>
      </c>
    </row>
    <row r="298" spans="1:2">
      <c r="A298" s="1">
        <v>42787</v>
      </c>
      <c r="B298" s="4">
        <v>56.34</v>
      </c>
    </row>
    <row r="299" spans="1:2">
      <c r="A299" s="1">
        <v>42788</v>
      </c>
      <c r="B299" s="4">
        <v>54.9</v>
      </c>
    </row>
    <row r="300" spans="1:2">
      <c r="A300" s="1">
        <v>42789</v>
      </c>
      <c r="B300" s="4">
        <v>55.82</v>
      </c>
    </row>
    <row r="301" spans="1:2">
      <c r="A301" s="1">
        <v>42790</v>
      </c>
      <c r="B301" s="4">
        <v>54.69</v>
      </c>
    </row>
    <row r="302" spans="1:2">
      <c r="A302" s="1">
        <v>42793</v>
      </c>
      <c r="B302" s="4">
        <v>54.65</v>
      </c>
    </row>
    <row r="303" spans="1:2">
      <c r="A303" s="1">
        <v>42794</v>
      </c>
      <c r="B303" s="4">
        <v>53.36</v>
      </c>
    </row>
    <row r="304" spans="1:2">
      <c r="A304" s="1">
        <v>42795</v>
      </c>
      <c r="B304" s="4">
        <v>55.72</v>
      </c>
    </row>
    <row r="305" spans="1:2">
      <c r="A305" s="1">
        <v>42796</v>
      </c>
      <c r="B305" s="4">
        <v>54.16</v>
      </c>
    </row>
    <row r="306" spans="1:2">
      <c r="A306" s="1">
        <v>42797</v>
      </c>
      <c r="B306" s="4">
        <v>54.12</v>
      </c>
    </row>
    <row r="307" spans="1:2">
      <c r="A307" s="1">
        <v>42800</v>
      </c>
      <c r="B307" s="4">
        <v>54.73</v>
      </c>
    </row>
    <row r="308" spans="1:2">
      <c r="A308" s="1">
        <v>42801</v>
      </c>
      <c r="B308" s="4">
        <v>54.61</v>
      </c>
    </row>
    <row r="309" spans="1:2">
      <c r="A309" s="1">
        <v>42802</v>
      </c>
      <c r="B309" s="4">
        <v>53.3</v>
      </c>
    </row>
    <row r="310" spans="1:2">
      <c r="A310" s="1">
        <v>42803</v>
      </c>
      <c r="B310" s="4">
        <v>50.65</v>
      </c>
    </row>
    <row r="311" spans="1:2">
      <c r="A311" s="1">
        <v>42804</v>
      </c>
      <c r="B311" s="4">
        <v>50.63</v>
      </c>
    </row>
    <row r="312" spans="1:2">
      <c r="A312" s="1">
        <v>42807</v>
      </c>
      <c r="B312" s="4">
        <v>50.1</v>
      </c>
    </row>
    <row r="313" spans="1:2">
      <c r="A313" s="1">
        <v>42808</v>
      </c>
      <c r="B313" s="4">
        <v>49.6</v>
      </c>
    </row>
    <row r="314" spans="1:2">
      <c r="A314" s="1">
        <v>42809</v>
      </c>
      <c r="B314" s="4">
        <v>50.63</v>
      </c>
    </row>
    <row r="315" spans="1:2">
      <c r="A315" s="1">
        <v>42810</v>
      </c>
      <c r="B315" s="4">
        <v>50.56</v>
      </c>
    </row>
    <row r="316" spans="1:2">
      <c r="A316" s="1">
        <v>42811</v>
      </c>
      <c r="B316" s="4">
        <v>50.58</v>
      </c>
    </row>
    <row r="317" spans="1:2">
      <c r="A317" s="1">
        <v>42814</v>
      </c>
      <c r="B317" s="4">
        <v>50.67</v>
      </c>
    </row>
    <row r="318" spans="1:2">
      <c r="A318" s="1">
        <v>42815</v>
      </c>
      <c r="B318" s="4">
        <v>50.14</v>
      </c>
    </row>
    <row r="319" spans="1:2">
      <c r="A319" s="1">
        <v>42816</v>
      </c>
      <c r="B319" s="4">
        <v>49.56</v>
      </c>
    </row>
    <row r="320" spans="1:2">
      <c r="A320" s="1">
        <v>42817</v>
      </c>
      <c r="B320" s="4">
        <v>50.17</v>
      </c>
    </row>
    <row r="321" spans="1:2">
      <c r="A321" s="1">
        <v>42818</v>
      </c>
      <c r="B321" s="4">
        <v>49.97</v>
      </c>
    </row>
    <row r="322" spans="1:2">
      <c r="A322" s="1">
        <v>42821</v>
      </c>
      <c r="B322" s="4">
        <v>50.12</v>
      </c>
    </row>
    <row r="323" spans="1:2">
      <c r="A323" s="1">
        <v>42822</v>
      </c>
      <c r="B323" s="4">
        <v>50.72</v>
      </c>
    </row>
    <row r="324" spans="1:2">
      <c r="A324" s="1">
        <v>42823</v>
      </c>
      <c r="B324" s="4">
        <v>51.36</v>
      </c>
    </row>
    <row r="325" spans="1:2">
      <c r="A325" s="1">
        <v>42824</v>
      </c>
      <c r="B325" s="4">
        <v>52.25</v>
      </c>
    </row>
    <row r="326" spans="1:2">
      <c r="A326" s="1">
        <v>42825</v>
      </c>
      <c r="B326" s="4">
        <v>52.2</v>
      </c>
    </row>
    <row r="327" spans="1:2">
      <c r="A327" s="1">
        <v>42828</v>
      </c>
      <c r="B327" s="4">
        <v>52.04</v>
      </c>
    </row>
    <row r="328" spans="1:2">
      <c r="A328" s="1">
        <v>42829</v>
      </c>
      <c r="B328" s="4">
        <v>53.08</v>
      </c>
    </row>
    <row r="329" spans="1:2">
      <c r="A329" s="1">
        <v>42830</v>
      </c>
      <c r="B329" s="4">
        <v>53.41</v>
      </c>
    </row>
    <row r="330" spans="1:2">
      <c r="A330" s="1">
        <v>42831</v>
      </c>
      <c r="B330" s="4">
        <v>53.62</v>
      </c>
    </row>
    <row r="331" spans="1:2">
      <c r="A331" s="1">
        <v>42832</v>
      </c>
      <c r="B331" s="4">
        <v>54.24</v>
      </c>
    </row>
    <row r="332" spans="1:2">
      <c r="A332" s="1">
        <v>42835</v>
      </c>
      <c r="B332" s="4">
        <v>54.79</v>
      </c>
    </row>
    <row r="333" spans="1:2">
      <c r="A333" s="1">
        <v>42836</v>
      </c>
      <c r="B333" s="4">
        <v>54.73</v>
      </c>
    </row>
    <row r="334" spans="1:2">
      <c r="A334" s="1">
        <v>42837</v>
      </c>
      <c r="B334" s="4">
        <v>54.75</v>
      </c>
    </row>
    <row r="335" spans="1:2">
      <c r="A335" s="1">
        <v>42838</v>
      </c>
      <c r="B335" s="4">
        <v>55.05</v>
      </c>
    </row>
    <row r="336" spans="1:2">
      <c r="A336" s="1">
        <v>42839</v>
      </c>
      <c r="B336" s="4"/>
    </row>
    <row r="337" spans="1:2">
      <c r="A337" s="1">
        <v>42842</v>
      </c>
      <c r="B337" s="4">
        <v>54.79</v>
      </c>
    </row>
    <row r="338" spans="1:2">
      <c r="A338" s="1">
        <v>42843</v>
      </c>
      <c r="B338" s="4">
        <v>52.6</v>
      </c>
    </row>
    <row r="339" spans="1:2">
      <c r="A339" s="1">
        <v>42844</v>
      </c>
      <c r="B339" s="4">
        <v>52.43</v>
      </c>
    </row>
    <row r="340" spans="1:2">
      <c r="A340" s="1">
        <v>42845</v>
      </c>
      <c r="B340" s="4">
        <v>50.66</v>
      </c>
    </row>
    <row r="341" spans="1:2">
      <c r="A341" s="1">
        <v>42846</v>
      </c>
      <c r="B341" s="4">
        <v>49.93</v>
      </c>
    </row>
    <row r="342" spans="1:2">
      <c r="A342" s="1">
        <v>42849</v>
      </c>
      <c r="B342" s="4">
        <v>49.45</v>
      </c>
    </row>
    <row r="343" spans="1:2">
      <c r="A343" s="1">
        <v>42850</v>
      </c>
      <c r="B343" s="4">
        <v>49.37</v>
      </c>
    </row>
    <row r="344" spans="1:2">
      <c r="A344" s="1">
        <v>42851</v>
      </c>
      <c r="B344" s="4">
        <v>49.99</v>
      </c>
    </row>
    <row r="345" spans="1:2">
      <c r="A345" s="1">
        <v>42852</v>
      </c>
      <c r="B345" s="4">
        <v>49.46</v>
      </c>
    </row>
    <row r="346" spans="1:2">
      <c r="A346" s="1">
        <v>42853</v>
      </c>
      <c r="B346" s="4">
        <v>49.46</v>
      </c>
    </row>
    <row r="347" spans="1:2">
      <c r="A347" s="1">
        <v>42856</v>
      </c>
      <c r="B347" s="4">
        <v>50.41</v>
      </c>
    </row>
    <row r="348" spans="1:2">
      <c r="A348" s="1">
        <v>42857</v>
      </c>
      <c r="B348" s="4">
        <v>49.31</v>
      </c>
    </row>
    <row r="349" spans="1:2">
      <c r="A349" s="1">
        <v>42858</v>
      </c>
      <c r="B349" s="4">
        <v>48.82</v>
      </c>
    </row>
    <row r="350" spans="1:2">
      <c r="A350" s="1">
        <v>42859</v>
      </c>
      <c r="B350" s="4">
        <v>47.53</v>
      </c>
    </row>
    <row r="351" spans="1:2">
      <c r="A351" s="1">
        <v>42860</v>
      </c>
      <c r="B351" s="4">
        <v>47.45</v>
      </c>
    </row>
    <row r="352" spans="1:2">
      <c r="A352" s="1">
        <v>42863</v>
      </c>
      <c r="B352" s="4">
        <v>46.61</v>
      </c>
    </row>
    <row r="353" spans="1:2">
      <c r="A353" s="1">
        <v>42864</v>
      </c>
      <c r="B353" s="4">
        <v>47.06</v>
      </c>
    </row>
    <row r="354" spans="1:2">
      <c r="A354" s="1">
        <v>42865</v>
      </c>
      <c r="B354" s="4">
        <v>48.09</v>
      </c>
    </row>
    <row r="355" spans="1:2">
      <c r="A355" s="1">
        <v>42866</v>
      </c>
      <c r="B355" s="4">
        <v>49.18</v>
      </c>
    </row>
    <row r="356" spans="1:2">
      <c r="A356" s="1">
        <v>42867</v>
      </c>
      <c r="B356" s="4">
        <v>49.08</v>
      </c>
    </row>
    <row r="357" spans="1:2">
      <c r="A357" s="1">
        <v>42870</v>
      </c>
      <c r="B357" s="4">
        <v>51.29</v>
      </c>
    </row>
    <row r="358" spans="1:2">
      <c r="A358" s="1">
        <v>42871</v>
      </c>
      <c r="B358" s="4">
        <v>51.21</v>
      </c>
    </row>
    <row r="359" spans="1:2">
      <c r="A359" s="1">
        <v>42872</v>
      </c>
      <c r="B359" s="4">
        <v>51.76</v>
      </c>
    </row>
    <row r="360" spans="1:2">
      <c r="A360" s="1">
        <v>42873</v>
      </c>
      <c r="B360" s="4">
        <v>51.71</v>
      </c>
    </row>
    <row r="361" spans="1:2">
      <c r="A361" s="1">
        <v>42874</v>
      </c>
      <c r="B361" s="4">
        <v>52.78</v>
      </c>
    </row>
    <row r="362" spans="1:2">
      <c r="A362" s="1">
        <v>42877</v>
      </c>
      <c r="B362" s="4">
        <v>53.35</v>
      </c>
    </row>
    <row r="363" spans="1:2">
      <c r="A363" s="1">
        <v>42878</v>
      </c>
      <c r="B363" s="4">
        <v>53.19</v>
      </c>
    </row>
    <row r="364" spans="1:2">
      <c r="A364" s="1">
        <v>42879</v>
      </c>
      <c r="B364" s="4">
        <v>53.29</v>
      </c>
    </row>
    <row r="365" spans="1:2">
      <c r="A365" s="1">
        <v>42880</v>
      </c>
      <c r="B365" s="4">
        <v>52.25</v>
      </c>
    </row>
    <row r="366" spans="1:2">
      <c r="A366" s="1">
        <v>42881</v>
      </c>
      <c r="B366" s="4">
        <v>50.84</v>
      </c>
    </row>
    <row r="367" spans="1:2">
      <c r="A367" s="1">
        <v>42884</v>
      </c>
      <c r="B367" s="4">
        <v>52.25</v>
      </c>
    </row>
    <row r="368" spans="1:2">
      <c r="A368" s="1">
        <v>42885</v>
      </c>
      <c r="B368" s="4">
        <v>50.65</v>
      </c>
    </row>
    <row r="369" spans="1:2">
      <c r="A369" s="1">
        <v>42886</v>
      </c>
      <c r="B369" s="4">
        <v>49.4</v>
      </c>
    </row>
    <row r="370" spans="1:2">
      <c r="A370" s="1">
        <v>42887</v>
      </c>
      <c r="B370" s="4">
        <v>50.41</v>
      </c>
    </row>
    <row r="371" spans="1:2">
      <c r="A371" s="1">
        <v>42888</v>
      </c>
      <c r="B371" s="4">
        <v>48.46</v>
      </c>
    </row>
    <row r="372" spans="1:2">
      <c r="A372" s="1">
        <v>42891</v>
      </c>
      <c r="B372" s="4">
        <v>48.25</v>
      </c>
    </row>
    <row r="373" spans="1:2">
      <c r="A373" s="1">
        <v>42892</v>
      </c>
      <c r="B373" s="4">
        <v>48.11</v>
      </c>
    </row>
    <row r="374" spans="1:2">
      <c r="A374" s="1">
        <v>42893</v>
      </c>
      <c r="B374" s="4">
        <v>47.08</v>
      </c>
    </row>
    <row r="375" spans="1:2">
      <c r="A375" s="1">
        <v>42894</v>
      </c>
      <c r="B375" s="4">
        <v>46.3</v>
      </c>
    </row>
    <row r="376" spans="1:2">
      <c r="A376" s="1">
        <v>42895</v>
      </c>
      <c r="B376" s="4">
        <v>46.64</v>
      </c>
    </row>
    <row r="377" spans="1:2">
      <c r="A377" s="1">
        <v>42898</v>
      </c>
      <c r="B377" s="4">
        <v>47.18</v>
      </c>
    </row>
    <row r="378" spans="1:2">
      <c r="A378" s="1">
        <v>42899</v>
      </c>
      <c r="B378" s="4">
        <v>46.95</v>
      </c>
    </row>
    <row r="379" spans="1:2">
      <c r="A379" s="1">
        <v>42900</v>
      </c>
      <c r="B379" s="4">
        <v>45.47</v>
      </c>
    </row>
    <row r="380" spans="1:2">
      <c r="A380" s="1">
        <v>42901</v>
      </c>
      <c r="B380" s="4">
        <v>45.61</v>
      </c>
    </row>
    <row r="381" spans="1:2">
      <c r="A381" s="1">
        <v>42902</v>
      </c>
      <c r="B381" s="4">
        <v>45.7</v>
      </c>
    </row>
    <row r="382" spans="1:2">
      <c r="A382" s="1">
        <v>42905</v>
      </c>
      <c r="B382" s="4">
        <v>45.93</v>
      </c>
    </row>
    <row r="383" spans="1:2">
      <c r="A383" s="1">
        <v>42906</v>
      </c>
      <c r="B383" s="4">
        <v>43.98</v>
      </c>
    </row>
    <row r="384" spans="1:2">
      <c r="A384" s="1">
        <v>42907</v>
      </c>
      <c r="B384" s="4">
        <v>44.62</v>
      </c>
    </row>
    <row r="385" spans="1:2">
      <c r="A385" s="1">
        <v>42908</v>
      </c>
      <c r="B385" s="4">
        <v>44.46</v>
      </c>
    </row>
    <row r="386" spans="1:2">
      <c r="A386" s="1">
        <v>42909</v>
      </c>
      <c r="B386" s="4">
        <v>44.14</v>
      </c>
    </row>
    <row r="387" spans="1:2">
      <c r="A387" s="1">
        <v>42912</v>
      </c>
      <c r="B387" s="4">
        <v>44.09</v>
      </c>
    </row>
    <row r="388" spans="1:2">
      <c r="A388" s="1">
        <v>42913</v>
      </c>
      <c r="B388" s="4">
        <v>46.17</v>
      </c>
    </row>
    <row r="389" spans="1:2">
      <c r="A389" s="1">
        <v>42914</v>
      </c>
      <c r="B389" s="4">
        <v>46.45</v>
      </c>
    </row>
    <row r="390" spans="1:2">
      <c r="A390" s="1">
        <v>42915</v>
      </c>
      <c r="B390" s="4">
        <v>47.02</v>
      </c>
    </row>
    <row r="391" spans="1:2">
      <c r="A391" s="1">
        <v>42916</v>
      </c>
      <c r="B391" s="4">
        <v>47.08</v>
      </c>
    </row>
    <row r="392" spans="1:2">
      <c r="A392" s="1">
        <v>42919</v>
      </c>
      <c r="B392" s="4">
        <v>49.13</v>
      </c>
    </row>
    <row r="393" spans="1:2">
      <c r="A393" s="1">
        <v>42920</v>
      </c>
      <c r="B393" s="4">
        <v>49.15</v>
      </c>
    </row>
    <row r="394" spans="1:2">
      <c r="A394" s="1">
        <v>42921</v>
      </c>
      <c r="B394" s="4">
        <v>47.58</v>
      </c>
    </row>
    <row r="395" spans="1:2">
      <c r="A395" s="1">
        <v>42922</v>
      </c>
      <c r="B395" s="4">
        <v>48.53</v>
      </c>
    </row>
    <row r="396" spans="1:2">
      <c r="A396" s="1">
        <v>42923</v>
      </c>
      <c r="B396" s="4">
        <v>46.47</v>
      </c>
    </row>
    <row r="397" spans="1:2">
      <c r="A397" s="1">
        <v>42926</v>
      </c>
      <c r="B397" s="4">
        <v>46.57</v>
      </c>
    </row>
    <row r="398" spans="1:2">
      <c r="A398" s="1">
        <v>42927</v>
      </c>
      <c r="B398" s="4">
        <v>46.68</v>
      </c>
    </row>
    <row r="399" spans="1:2">
      <c r="A399" s="1">
        <v>42928</v>
      </c>
      <c r="B399" s="4">
        <v>46.73</v>
      </c>
    </row>
    <row r="400" spans="1:2">
      <c r="A400" s="1">
        <v>42929</v>
      </c>
      <c r="B400" s="4">
        <v>47.65</v>
      </c>
    </row>
    <row r="401" spans="1:2">
      <c r="A401" s="1">
        <v>42930</v>
      </c>
      <c r="B401" s="4">
        <v>47.89</v>
      </c>
    </row>
    <row r="402" spans="1:2">
      <c r="A402" s="1">
        <v>42933</v>
      </c>
      <c r="B402" s="4">
        <v>47.66</v>
      </c>
    </row>
    <row r="403" spans="1:2">
      <c r="A403" s="1">
        <v>42934</v>
      </c>
      <c r="B403" s="4">
        <v>47.92</v>
      </c>
    </row>
    <row r="404" spans="1:2">
      <c r="A404" s="1">
        <v>42935</v>
      </c>
      <c r="B404" s="4">
        <v>48.34</v>
      </c>
    </row>
    <row r="405" spans="1:2">
      <c r="A405" s="1">
        <v>42936</v>
      </c>
      <c r="B405" s="4">
        <v>48.54</v>
      </c>
    </row>
    <row r="406" spans="1:2">
      <c r="A406" s="1">
        <v>42937</v>
      </c>
      <c r="B406" s="4">
        <v>47.47</v>
      </c>
    </row>
    <row r="407" spans="1:2">
      <c r="A407" s="1">
        <v>42940</v>
      </c>
      <c r="B407" s="4">
        <v>47.81</v>
      </c>
    </row>
    <row r="408" spans="1:2">
      <c r="A408" s="1">
        <v>42941</v>
      </c>
      <c r="B408" s="4">
        <v>49.19</v>
      </c>
    </row>
    <row r="409" spans="1:2">
      <c r="A409" s="1">
        <v>42942</v>
      </c>
      <c r="B409" s="4">
        <v>50.08</v>
      </c>
    </row>
    <row r="410" spans="1:2">
      <c r="A410" s="1">
        <v>42943</v>
      </c>
      <c r="B410" s="4">
        <v>50.67</v>
      </c>
    </row>
    <row r="411" spans="1:2">
      <c r="A411" s="1">
        <v>42944</v>
      </c>
      <c r="B411" s="4">
        <v>52</v>
      </c>
    </row>
    <row r="412" spans="1:2">
      <c r="A412" s="1">
        <v>42947</v>
      </c>
      <c r="B412" s="4">
        <v>51.99</v>
      </c>
    </row>
    <row r="413" spans="1:2">
      <c r="A413" s="1">
        <v>42948</v>
      </c>
      <c r="B413" s="4">
        <v>50.77</v>
      </c>
    </row>
    <row r="414" spans="1:2">
      <c r="A414" s="1">
        <v>42949</v>
      </c>
      <c r="B414" s="4">
        <v>52.09</v>
      </c>
    </row>
    <row r="415" spans="1:2">
      <c r="A415" s="1">
        <v>42950</v>
      </c>
      <c r="B415" s="4">
        <v>52.88</v>
      </c>
    </row>
    <row r="416" spans="1:2">
      <c r="A416" s="1">
        <v>42951</v>
      </c>
      <c r="B416" s="4">
        <v>52.48</v>
      </c>
    </row>
    <row r="417" spans="1:2">
      <c r="A417" s="1">
        <v>42954</v>
      </c>
      <c r="B417" s="4">
        <v>51.42</v>
      </c>
    </row>
    <row r="418" spans="1:2">
      <c r="A418" s="1">
        <v>42955</v>
      </c>
      <c r="B418" s="4">
        <v>52.18</v>
      </c>
    </row>
    <row r="419" spans="1:2">
      <c r="A419" s="1">
        <v>42956</v>
      </c>
      <c r="B419" s="4">
        <v>52.16</v>
      </c>
    </row>
    <row r="420" spans="1:2">
      <c r="A420" s="1">
        <v>42957</v>
      </c>
      <c r="B420" s="4">
        <v>52.59</v>
      </c>
    </row>
    <row r="421" spans="1:2">
      <c r="A421" s="1">
        <v>42958</v>
      </c>
      <c r="B421" s="4">
        <v>51.47</v>
      </c>
    </row>
    <row r="422" spans="1:2">
      <c r="A422" s="1">
        <v>42961</v>
      </c>
      <c r="B422" s="4">
        <v>51.29</v>
      </c>
    </row>
    <row r="423" spans="1:2">
      <c r="A423" s="1">
        <v>42962</v>
      </c>
      <c r="B423" s="4">
        <v>49.9</v>
      </c>
    </row>
    <row r="424" spans="1:2">
      <c r="A424" s="1">
        <v>42963</v>
      </c>
      <c r="B424" s="4">
        <v>50.39</v>
      </c>
    </row>
    <row r="425" spans="1:2">
      <c r="A425" s="1">
        <v>42964</v>
      </c>
      <c r="B425" s="4">
        <v>50.37</v>
      </c>
    </row>
    <row r="426" spans="1:2">
      <c r="A426" s="1">
        <v>42965</v>
      </c>
      <c r="B426" s="4">
        <v>50.96</v>
      </c>
    </row>
    <row r="427" spans="1:2">
      <c r="A427" s="1">
        <v>42968</v>
      </c>
      <c r="B427" s="4">
        <v>51.94</v>
      </c>
    </row>
    <row r="428" spans="1:2">
      <c r="A428" s="1">
        <v>42969</v>
      </c>
      <c r="B428" s="4">
        <v>52.29</v>
      </c>
    </row>
    <row r="429" spans="1:2">
      <c r="A429" s="1">
        <v>42970</v>
      </c>
      <c r="B429" s="4">
        <v>52.31</v>
      </c>
    </row>
    <row r="430" spans="1:2">
      <c r="A430" s="1">
        <v>42971</v>
      </c>
      <c r="B430" s="4">
        <v>51.73</v>
      </c>
    </row>
    <row r="431" spans="1:2">
      <c r="A431" s="1">
        <v>42972</v>
      </c>
      <c r="B431" s="4">
        <v>51.87</v>
      </c>
    </row>
    <row r="432" spans="1:2">
      <c r="A432" s="1">
        <v>42975</v>
      </c>
      <c r="B432" s="4">
        <v>51.87</v>
      </c>
    </row>
    <row r="433" spans="1:2">
      <c r="A433" s="1">
        <v>42976</v>
      </c>
      <c r="B433" s="4">
        <v>51.64</v>
      </c>
    </row>
    <row r="434" spans="1:2">
      <c r="A434" s="1">
        <v>42977</v>
      </c>
      <c r="B434" s="4">
        <v>51.91</v>
      </c>
    </row>
    <row r="435" spans="1:2">
      <c r="A435" s="1">
        <v>42978</v>
      </c>
      <c r="B435" s="4">
        <v>52.69</v>
      </c>
    </row>
    <row r="436" spans="1:2">
      <c r="A436" s="1">
        <v>42979</v>
      </c>
      <c r="B436" s="4">
        <v>53.15</v>
      </c>
    </row>
    <row r="437" spans="1:2">
      <c r="A437" s="1">
        <v>42982</v>
      </c>
      <c r="B437" s="4">
        <v>52.6</v>
      </c>
    </row>
    <row r="438" spans="1:2">
      <c r="A438" s="1">
        <v>42983</v>
      </c>
      <c r="B438" s="4">
        <v>53.63</v>
      </c>
    </row>
    <row r="439" spans="1:2">
      <c r="A439" s="1">
        <v>42984</v>
      </c>
      <c r="B439" s="4">
        <v>54.48</v>
      </c>
    </row>
    <row r="440" spans="1:2">
      <c r="A440" s="1">
        <v>42985</v>
      </c>
      <c r="B440" s="4">
        <v>54.16</v>
      </c>
    </row>
    <row r="441" spans="1:2">
      <c r="A441" s="1">
        <v>42986</v>
      </c>
      <c r="B441" s="4">
        <v>54.55</v>
      </c>
    </row>
    <row r="442" spans="1:2">
      <c r="A442" s="1">
        <v>42989</v>
      </c>
      <c r="B442" s="4">
        <v>54.2</v>
      </c>
    </row>
    <row r="443" spans="1:2">
      <c r="A443" s="1">
        <v>42990</v>
      </c>
      <c r="B443" s="4">
        <v>55.06</v>
      </c>
    </row>
    <row r="444" spans="1:2">
      <c r="A444" s="1">
        <v>42991</v>
      </c>
      <c r="B444" s="4">
        <v>55.52</v>
      </c>
    </row>
    <row r="445" spans="1:2">
      <c r="A445" s="1">
        <v>42992</v>
      </c>
      <c r="B445" s="4">
        <v>56.76</v>
      </c>
    </row>
    <row r="446" spans="1:2">
      <c r="A446" s="1">
        <v>42993</v>
      </c>
      <c r="B446" s="4">
        <v>56.18</v>
      </c>
    </row>
    <row r="447" spans="1:2">
      <c r="A447" s="1">
        <v>42996</v>
      </c>
      <c r="B447" s="4">
        <v>55.5</v>
      </c>
    </row>
    <row r="448" spans="1:2">
      <c r="A448" s="1">
        <v>42997</v>
      </c>
      <c r="B448" s="4">
        <v>56.58</v>
      </c>
    </row>
    <row r="449" spans="1:2">
      <c r="A449" s="1">
        <v>42998</v>
      </c>
      <c r="B449" s="4">
        <v>57.2</v>
      </c>
    </row>
    <row r="450" spans="1:2">
      <c r="A450" s="1">
        <v>42999</v>
      </c>
      <c r="B450" s="4">
        <v>57.73</v>
      </c>
    </row>
    <row r="451" spans="1:2">
      <c r="A451" s="1">
        <v>43000</v>
      </c>
      <c r="B451" s="4">
        <v>58.16</v>
      </c>
    </row>
    <row r="452" spans="1:2">
      <c r="A452" s="1">
        <v>43003</v>
      </c>
      <c r="B452" s="4">
        <v>59.42</v>
      </c>
    </row>
    <row r="453" spans="1:2">
      <c r="A453" s="1">
        <v>43004</v>
      </c>
      <c r="B453" s="4">
        <v>59.77</v>
      </c>
    </row>
    <row r="454" spans="1:2">
      <c r="A454" s="1">
        <v>43005</v>
      </c>
      <c r="B454" s="4">
        <v>58.74</v>
      </c>
    </row>
    <row r="455" spans="1:2">
      <c r="A455" s="1">
        <v>43006</v>
      </c>
      <c r="B455" s="4">
        <v>58.8</v>
      </c>
    </row>
    <row r="456" spans="1:2">
      <c r="A456" s="1">
        <v>43007</v>
      </c>
      <c r="B456" s="4">
        <v>57.02</v>
      </c>
    </row>
    <row r="457" spans="1:2">
      <c r="A457" s="1">
        <v>43010</v>
      </c>
      <c r="B457" s="4">
        <v>55.67</v>
      </c>
    </row>
    <row r="458" spans="1:2">
      <c r="A458" s="1">
        <v>43011</v>
      </c>
      <c r="B458" s="4">
        <v>56.12</v>
      </c>
    </row>
    <row r="459" spans="1:2">
      <c r="A459" s="1">
        <v>43012</v>
      </c>
      <c r="B459" s="4">
        <v>56</v>
      </c>
    </row>
    <row r="460" spans="1:2">
      <c r="A460" s="1">
        <v>43013</v>
      </c>
      <c r="B460" s="4">
        <v>57.09</v>
      </c>
    </row>
    <row r="461" spans="1:2">
      <c r="A461" s="1">
        <v>43014</v>
      </c>
      <c r="B461" s="4">
        <v>55.5</v>
      </c>
    </row>
    <row r="462" spans="1:2">
      <c r="A462" s="1">
        <v>43017</v>
      </c>
      <c r="B462" s="4">
        <v>55.29</v>
      </c>
    </row>
    <row r="463" spans="1:2">
      <c r="A463" s="1">
        <v>43018</v>
      </c>
      <c r="B463" s="4">
        <v>56.62</v>
      </c>
    </row>
    <row r="464" spans="1:2">
      <c r="A464" s="1">
        <v>43019</v>
      </c>
      <c r="B464" s="4">
        <v>56.13</v>
      </c>
    </row>
    <row r="465" spans="1:2">
      <c r="A465" s="1">
        <v>43020</v>
      </c>
      <c r="B465" s="4">
        <v>56.13</v>
      </c>
    </row>
    <row r="466" spans="1:2">
      <c r="A466" s="1">
        <v>43021</v>
      </c>
      <c r="B466" s="4">
        <v>56.86</v>
      </c>
    </row>
    <row r="467" spans="1:2">
      <c r="A467" s="1">
        <v>43024</v>
      </c>
      <c r="B467" s="4">
        <v>57.49</v>
      </c>
    </row>
    <row r="468" spans="1:2">
      <c r="A468" s="1">
        <v>43025</v>
      </c>
      <c r="B468" s="4">
        <v>57.63</v>
      </c>
    </row>
    <row r="469" spans="1:2">
      <c r="A469" s="1">
        <v>43026</v>
      </c>
      <c r="B469" s="4">
        <v>58.05</v>
      </c>
    </row>
    <row r="470" spans="1:2">
      <c r="A470" s="1">
        <v>43027</v>
      </c>
      <c r="B470" s="4">
        <v>57.82</v>
      </c>
    </row>
    <row r="471" spans="1:2">
      <c r="A471" s="1">
        <v>43028</v>
      </c>
      <c r="B471" s="4">
        <v>57.89</v>
      </c>
    </row>
    <row r="472" spans="1:2">
      <c r="A472" s="1">
        <v>43031</v>
      </c>
      <c r="B472" s="4">
        <v>57.69</v>
      </c>
    </row>
    <row r="473" spans="1:2">
      <c r="A473" s="1">
        <v>43032</v>
      </c>
      <c r="B473" s="4">
        <v>57.84</v>
      </c>
    </row>
    <row r="474" spans="1:2">
      <c r="A474" s="1">
        <v>43033</v>
      </c>
      <c r="B474" s="4">
        <v>58.45</v>
      </c>
    </row>
    <row r="475" spans="1:2">
      <c r="A475" s="1">
        <v>43034</v>
      </c>
      <c r="B475" s="4">
        <v>58.75</v>
      </c>
    </row>
    <row r="476" spans="1:2">
      <c r="A476" s="1">
        <v>43035</v>
      </c>
      <c r="B476" s="4">
        <v>60.15</v>
      </c>
    </row>
    <row r="477" spans="1:2">
      <c r="A477" s="1">
        <v>43038</v>
      </c>
      <c r="B477" s="4">
        <v>60.65</v>
      </c>
    </row>
    <row r="478" spans="1:2">
      <c r="A478" s="1">
        <v>43039</v>
      </c>
      <c r="B478" s="4">
        <v>61.35</v>
      </c>
    </row>
    <row r="479" spans="1:2">
      <c r="A479" s="1">
        <v>43040</v>
      </c>
      <c r="B479" s="4">
        <v>60.98</v>
      </c>
    </row>
    <row r="480" spans="1:2">
      <c r="A480" s="1">
        <v>43041</v>
      </c>
      <c r="B480" s="4">
        <v>60.79</v>
      </c>
    </row>
    <row r="481" spans="1:2">
      <c r="A481" s="1">
        <v>43042</v>
      </c>
      <c r="B481" s="4">
        <v>61.42</v>
      </c>
    </row>
    <row r="482" spans="1:2">
      <c r="A482" s="1">
        <v>43045</v>
      </c>
      <c r="B482" s="4">
        <v>64.27</v>
      </c>
    </row>
    <row r="483" spans="1:2">
      <c r="A483" s="1">
        <v>43046</v>
      </c>
      <c r="B483" s="4">
        <v>64.36</v>
      </c>
    </row>
    <row r="484" spans="1:2">
      <c r="A484" s="1">
        <v>43047</v>
      </c>
      <c r="B484" s="4">
        <v>63.96</v>
      </c>
    </row>
    <row r="485" spans="1:2">
      <c r="A485" s="1">
        <v>43048</v>
      </c>
      <c r="B485" s="4">
        <v>64.489999999999995</v>
      </c>
    </row>
    <row r="486" spans="1:2">
      <c r="A486" s="1">
        <v>43049</v>
      </c>
      <c r="B486" s="4">
        <v>64.349999999999994</v>
      </c>
    </row>
    <row r="487" spans="1:2">
      <c r="A487" s="1">
        <v>43052</v>
      </c>
      <c r="B487" s="4">
        <v>62.94</v>
      </c>
    </row>
    <row r="488" spans="1:2">
      <c r="A488" s="1">
        <v>43053</v>
      </c>
      <c r="B488" s="4">
        <v>60.91</v>
      </c>
    </row>
    <row r="489" spans="1:2">
      <c r="A489" s="1">
        <v>43054</v>
      </c>
      <c r="B489" s="4">
        <v>61.25</v>
      </c>
    </row>
    <row r="490" spans="1:2">
      <c r="A490" s="1">
        <v>43055</v>
      </c>
      <c r="B490" s="4">
        <v>61.18</v>
      </c>
    </row>
    <row r="491" spans="1:2">
      <c r="A491" s="1">
        <v>43056</v>
      </c>
      <c r="B491" s="4">
        <v>61.34</v>
      </c>
    </row>
    <row r="492" spans="1:2">
      <c r="A492" s="1">
        <v>43059</v>
      </c>
      <c r="B492" s="4">
        <v>61.34</v>
      </c>
    </row>
    <row r="493" spans="1:2">
      <c r="A493" s="1">
        <v>43060</v>
      </c>
      <c r="B493" s="4">
        <v>62.28</v>
      </c>
    </row>
    <row r="494" spans="1:2">
      <c r="A494" s="1">
        <v>43061</v>
      </c>
      <c r="B494" s="4">
        <v>62.92</v>
      </c>
    </row>
    <row r="495" spans="1:2">
      <c r="A495" s="1">
        <v>43062</v>
      </c>
      <c r="B495" s="4">
        <v>63.27</v>
      </c>
    </row>
    <row r="496" spans="1:2">
      <c r="A496" s="1">
        <v>43063</v>
      </c>
      <c r="B496" s="4">
        <v>63.58</v>
      </c>
    </row>
    <row r="497" spans="1:2">
      <c r="A497" s="1">
        <v>43066</v>
      </c>
      <c r="B497" s="4">
        <v>63.25</v>
      </c>
    </row>
    <row r="498" spans="1:2">
      <c r="A498" s="1">
        <v>43067</v>
      </c>
      <c r="B498" s="4">
        <v>63.56</v>
      </c>
    </row>
    <row r="499" spans="1:2">
      <c r="A499" s="1">
        <v>43068</v>
      </c>
      <c r="B499" s="4">
        <v>63.74</v>
      </c>
    </row>
    <row r="500" spans="1:2">
      <c r="A500" s="1">
        <v>43069</v>
      </c>
      <c r="B500" s="4">
        <v>63.53</v>
      </c>
    </row>
    <row r="501" spans="1:2">
      <c r="A501" s="1">
        <v>43070</v>
      </c>
      <c r="B501" s="4">
        <v>64.569999999999993</v>
      </c>
    </row>
    <row r="502" spans="1:2">
      <c r="A502" s="1">
        <v>43073</v>
      </c>
      <c r="B502" s="4">
        <v>63.45</v>
      </c>
    </row>
    <row r="503" spans="1:2">
      <c r="A503" s="1">
        <v>43074</v>
      </c>
      <c r="B503" s="4">
        <v>63.45</v>
      </c>
    </row>
    <row r="504" spans="1:2">
      <c r="A504" s="1">
        <v>43075</v>
      </c>
      <c r="B504" s="4">
        <v>62.25</v>
      </c>
    </row>
    <row r="505" spans="1:2">
      <c r="A505" s="1">
        <v>43076</v>
      </c>
      <c r="B505" s="4">
        <v>62.37</v>
      </c>
    </row>
    <row r="506" spans="1:2">
      <c r="A506" s="1">
        <v>43077</v>
      </c>
      <c r="B506" s="4">
        <v>63.86</v>
      </c>
    </row>
    <row r="507" spans="1:2">
      <c r="A507" s="1">
        <v>43080</v>
      </c>
      <c r="B507" s="4">
        <v>65.62</v>
      </c>
    </row>
    <row r="508" spans="1:2">
      <c r="A508" s="1">
        <v>43081</v>
      </c>
      <c r="B508" s="4">
        <v>64.959999999999994</v>
      </c>
    </row>
    <row r="509" spans="1:2">
      <c r="A509" s="1">
        <v>43082</v>
      </c>
      <c r="B509" s="4">
        <v>63.66</v>
      </c>
    </row>
    <row r="510" spans="1:2">
      <c r="A510" s="1">
        <v>43083</v>
      </c>
      <c r="B510" s="4">
        <v>63.72</v>
      </c>
    </row>
    <row r="511" spans="1:2">
      <c r="A511" s="1">
        <v>43084</v>
      </c>
      <c r="B511" s="4">
        <v>63.81</v>
      </c>
    </row>
    <row r="512" spans="1:2">
      <c r="A512" s="1">
        <v>43087</v>
      </c>
      <c r="B512" s="4">
        <v>64.45</v>
      </c>
    </row>
    <row r="513" spans="1:2">
      <c r="A513" s="1">
        <v>43088</v>
      </c>
      <c r="B513" s="4">
        <v>63.69</v>
      </c>
    </row>
    <row r="514" spans="1:2">
      <c r="A514" s="1">
        <v>43089</v>
      </c>
      <c r="B514" s="4">
        <v>64.430000000000007</v>
      </c>
    </row>
    <row r="515" spans="1:2">
      <c r="A515" s="1">
        <v>43090</v>
      </c>
      <c r="B515" s="4">
        <v>64.64</v>
      </c>
    </row>
    <row r="516" spans="1:2">
      <c r="A516" s="1">
        <v>43091</v>
      </c>
      <c r="B516" s="4">
        <v>64.61</v>
      </c>
    </row>
    <row r="517" spans="1:2">
      <c r="A517" s="1">
        <v>43094</v>
      </c>
      <c r="B517" s="4"/>
    </row>
    <row r="518" spans="1:2">
      <c r="A518" s="1">
        <v>43095</v>
      </c>
      <c r="B518" s="4"/>
    </row>
    <row r="519" spans="1:2">
      <c r="A519" s="1">
        <v>43096</v>
      </c>
      <c r="B519" s="4">
        <v>66.03</v>
      </c>
    </row>
    <row r="520" spans="1:2">
      <c r="A520" s="1">
        <v>43097</v>
      </c>
      <c r="B520" s="4">
        <v>66.8</v>
      </c>
    </row>
    <row r="521" spans="1:2">
      <c r="A521" s="1">
        <v>43098</v>
      </c>
      <c r="B521" s="4">
        <v>66.73</v>
      </c>
    </row>
    <row r="522" spans="1:2">
      <c r="A522" s="1">
        <v>43101</v>
      </c>
      <c r="B522" s="4"/>
    </row>
    <row r="523" spans="1:2">
      <c r="A523" s="1">
        <v>43102</v>
      </c>
      <c r="B523" s="4">
        <v>66.650000000000006</v>
      </c>
    </row>
    <row r="524" spans="1:2">
      <c r="A524" s="1">
        <v>43103</v>
      </c>
      <c r="B524" s="4">
        <v>67.849999999999994</v>
      </c>
    </row>
    <row r="525" spans="1:2">
      <c r="A525" s="1">
        <v>43104</v>
      </c>
      <c r="B525" s="4">
        <v>68.73</v>
      </c>
    </row>
    <row r="526" spans="1:2">
      <c r="A526" s="1">
        <v>43105</v>
      </c>
      <c r="B526" s="4">
        <v>68.010000000000005</v>
      </c>
    </row>
    <row r="527" spans="1:2">
      <c r="A527" s="1">
        <v>43108</v>
      </c>
      <c r="B527" s="4">
        <v>68.48</v>
      </c>
    </row>
    <row r="528" spans="1:2">
      <c r="A528" s="1">
        <v>43109</v>
      </c>
      <c r="B528" s="4">
        <v>69.08</v>
      </c>
    </row>
    <row r="529" spans="1:2">
      <c r="A529" s="1">
        <v>43110</v>
      </c>
      <c r="B529" s="4">
        <v>69.790000000000006</v>
      </c>
    </row>
    <row r="530" spans="1:2">
      <c r="A530" s="1">
        <v>43111</v>
      </c>
      <c r="B530" s="4">
        <v>70.36</v>
      </c>
    </row>
    <row r="531" spans="1:2">
      <c r="A531" s="1">
        <v>43112</v>
      </c>
      <c r="B531" s="4">
        <v>69.64</v>
      </c>
    </row>
    <row r="532" spans="1:2">
      <c r="A532" s="1">
        <v>43115</v>
      </c>
      <c r="B532" s="4">
        <v>70.31</v>
      </c>
    </row>
    <row r="533" spans="1:2">
      <c r="A533" s="1">
        <v>43116</v>
      </c>
      <c r="B533" s="4">
        <v>69.400000000000006</v>
      </c>
    </row>
    <row r="534" spans="1:2">
      <c r="A534" s="1">
        <v>43117</v>
      </c>
      <c r="B534" s="4">
        <v>69.19</v>
      </c>
    </row>
    <row r="535" spans="1:2">
      <c r="A535" s="1">
        <v>43118</v>
      </c>
      <c r="B535" s="4">
        <v>69.48</v>
      </c>
    </row>
    <row r="536" spans="1:2">
      <c r="A536" s="1">
        <v>43119</v>
      </c>
      <c r="B536" s="4">
        <v>68.56</v>
      </c>
    </row>
    <row r="537" spans="1:2">
      <c r="A537" s="1">
        <v>43122</v>
      </c>
      <c r="B537" s="4">
        <v>69.319999999999993</v>
      </c>
    </row>
    <row r="538" spans="1:2">
      <c r="A538" s="1">
        <v>43123</v>
      </c>
      <c r="B538" s="4">
        <v>69.81</v>
      </c>
    </row>
    <row r="539" spans="1:2">
      <c r="A539" s="1">
        <v>43124</v>
      </c>
      <c r="B539" s="4">
        <v>69.91</v>
      </c>
    </row>
    <row r="540" spans="1:2">
      <c r="A540" s="1">
        <v>43125</v>
      </c>
      <c r="B540" s="4">
        <v>71.08</v>
      </c>
    </row>
    <row r="541" spans="1:2">
      <c r="A541" s="1">
        <v>43126</v>
      </c>
      <c r="B541" s="4">
        <v>70.08</v>
      </c>
    </row>
    <row r="542" spans="1:2">
      <c r="A542" s="1">
        <v>43129</v>
      </c>
      <c r="B542" s="4">
        <v>68.41</v>
      </c>
    </row>
    <row r="543" spans="1:2">
      <c r="A543" s="1">
        <v>43130</v>
      </c>
      <c r="B543" s="4">
        <v>67.78</v>
      </c>
    </row>
    <row r="544" spans="1:2">
      <c r="A544" s="1">
        <v>43131</v>
      </c>
      <c r="B544" s="4">
        <v>67.78</v>
      </c>
    </row>
    <row r="545" spans="1:2">
      <c r="A545" s="1">
        <v>43132</v>
      </c>
      <c r="B545" s="4">
        <v>68.599999999999994</v>
      </c>
    </row>
    <row r="546" spans="1:2">
      <c r="A546" s="1">
        <v>43133</v>
      </c>
      <c r="B546" s="4">
        <v>67.45</v>
      </c>
    </row>
    <row r="547" spans="1:2">
      <c r="A547" s="1">
        <v>43136</v>
      </c>
      <c r="B547" s="4">
        <v>67.69</v>
      </c>
    </row>
    <row r="548" spans="1:2">
      <c r="A548" s="1">
        <v>43137</v>
      </c>
      <c r="B548" s="4">
        <v>66.75</v>
      </c>
    </row>
    <row r="549" spans="1:2">
      <c r="A549" s="1">
        <v>43138</v>
      </c>
      <c r="B549" s="4">
        <v>65.739999999999995</v>
      </c>
    </row>
    <row r="550" spans="1:2">
      <c r="A550" s="1">
        <v>43139</v>
      </c>
      <c r="B550" s="4">
        <v>64.260000000000005</v>
      </c>
    </row>
    <row r="551" spans="1:2">
      <c r="A551" s="1">
        <v>43140</v>
      </c>
      <c r="B551" s="4">
        <v>63.04</v>
      </c>
    </row>
    <row r="552" spans="1:2">
      <c r="A552" s="1">
        <v>43143</v>
      </c>
      <c r="B552" s="4">
        <v>62.2</v>
      </c>
    </row>
    <row r="553" spans="1:2">
      <c r="A553" s="1">
        <v>43144</v>
      </c>
      <c r="B553" s="4">
        <v>61.94</v>
      </c>
    </row>
    <row r="554" spans="1:2">
      <c r="A554" s="1">
        <v>43145</v>
      </c>
      <c r="B554" s="4">
        <v>62.29</v>
      </c>
    </row>
    <row r="555" spans="1:2">
      <c r="A555" s="1">
        <v>43146</v>
      </c>
      <c r="B555" s="4">
        <v>62.86</v>
      </c>
    </row>
    <row r="556" spans="1:2">
      <c r="A556" s="1">
        <v>43147</v>
      </c>
      <c r="B556" s="4">
        <v>64.3</v>
      </c>
    </row>
    <row r="557" spans="1:2">
      <c r="A557" s="1">
        <v>43150</v>
      </c>
      <c r="B557" s="4">
        <v>64.95</v>
      </c>
    </row>
    <row r="558" spans="1:2">
      <c r="A558" s="1">
        <v>43151</v>
      </c>
      <c r="B558" s="4">
        <v>64.680000000000007</v>
      </c>
    </row>
    <row r="559" spans="1:2">
      <c r="A559" s="1">
        <v>43152</v>
      </c>
      <c r="B559" s="4">
        <v>64.81</v>
      </c>
    </row>
    <row r="560" spans="1:2">
      <c r="A560" s="1">
        <v>43153</v>
      </c>
      <c r="B560" s="4">
        <v>66.12</v>
      </c>
    </row>
    <row r="561" spans="1:2">
      <c r="A561" s="1">
        <v>43154</v>
      </c>
      <c r="B561" s="4">
        <v>67.040000000000006</v>
      </c>
    </row>
    <row r="562" spans="1:2">
      <c r="A562" s="1">
        <v>43157</v>
      </c>
      <c r="B562" s="4">
        <v>67.959999999999994</v>
      </c>
    </row>
    <row r="563" spans="1:2">
      <c r="A563" s="1">
        <v>43158</v>
      </c>
      <c r="B563" s="4">
        <v>67.59</v>
      </c>
    </row>
    <row r="564" spans="1:2">
      <c r="A564" s="1">
        <v>43159</v>
      </c>
      <c r="B564" s="4">
        <v>66.08</v>
      </c>
    </row>
    <row r="565" spans="1:2">
      <c r="A565" s="1">
        <v>43160</v>
      </c>
      <c r="B565" s="4">
        <v>64.23</v>
      </c>
    </row>
    <row r="566" spans="1:2">
      <c r="A566" s="1">
        <v>43161</v>
      </c>
      <c r="B566" s="4">
        <v>64.260000000000005</v>
      </c>
    </row>
    <row r="567" spans="1:2">
      <c r="A567" s="1">
        <v>43164</v>
      </c>
      <c r="B567" s="4">
        <v>65.78</v>
      </c>
    </row>
    <row r="568" spans="1:2">
      <c r="A568" s="1">
        <v>43165</v>
      </c>
      <c r="B568" s="4">
        <v>65.67</v>
      </c>
    </row>
    <row r="569" spans="1:2">
      <c r="A569" s="1">
        <v>43166</v>
      </c>
      <c r="B569" s="4">
        <v>65.09</v>
      </c>
    </row>
    <row r="570" spans="1:2">
      <c r="A570" s="1">
        <v>43167</v>
      </c>
      <c r="B570" s="4">
        <v>63.87</v>
      </c>
    </row>
    <row r="571" spans="1:2">
      <c r="A571" s="1">
        <v>43168</v>
      </c>
      <c r="B571" s="4">
        <v>65.19</v>
      </c>
    </row>
    <row r="572" spans="1:2">
      <c r="A572" s="1">
        <v>43171</v>
      </c>
      <c r="B572" s="4">
        <v>64.53</v>
      </c>
    </row>
    <row r="573" spans="1:2">
      <c r="A573" s="1">
        <v>43172</v>
      </c>
      <c r="B573" s="4">
        <v>64.2</v>
      </c>
    </row>
    <row r="574" spans="1:2">
      <c r="A574" s="1">
        <v>43173</v>
      </c>
      <c r="B574" s="4">
        <v>63.61</v>
      </c>
    </row>
    <row r="575" spans="1:2">
      <c r="A575" s="1">
        <v>43174</v>
      </c>
      <c r="B575" s="4">
        <v>63.67</v>
      </c>
    </row>
    <row r="576" spans="1:2">
      <c r="A576" s="1">
        <v>43175</v>
      </c>
      <c r="B576" s="4">
        <v>64.680000000000007</v>
      </c>
    </row>
    <row r="577" spans="1:2">
      <c r="A577" s="1">
        <v>43178</v>
      </c>
      <c r="B577" s="4">
        <v>64.819999999999993</v>
      </c>
    </row>
    <row r="578" spans="1:2">
      <c r="A578" s="1">
        <v>43179</v>
      </c>
      <c r="B578" s="4">
        <v>66</v>
      </c>
    </row>
    <row r="579" spans="1:2">
      <c r="A579" s="1">
        <v>43180</v>
      </c>
      <c r="B579" s="4">
        <v>68.150000000000006</v>
      </c>
    </row>
    <row r="580" spans="1:2">
      <c r="A580" s="1">
        <v>43181</v>
      </c>
      <c r="B580" s="4">
        <v>68.98</v>
      </c>
    </row>
    <row r="581" spans="1:2">
      <c r="A581" s="1">
        <v>43182</v>
      </c>
      <c r="B581" s="4">
        <v>69.03</v>
      </c>
    </row>
    <row r="582" spans="1:2">
      <c r="A582" s="1">
        <v>43185</v>
      </c>
      <c r="B582" s="4">
        <v>68.81</v>
      </c>
    </row>
    <row r="583" spans="1:2">
      <c r="A583" s="1">
        <v>43186</v>
      </c>
      <c r="B583" s="4">
        <v>68.63</v>
      </c>
    </row>
    <row r="584" spans="1:2">
      <c r="A584" s="1">
        <v>43187</v>
      </c>
      <c r="B584" s="4">
        <v>68.13</v>
      </c>
    </row>
    <row r="585" spans="1:2">
      <c r="A585" s="1">
        <v>43188</v>
      </c>
      <c r="B585" s="4">
        <v>69.02</v>
      </c>
    </row>
    <row r="586" spans="1:2">
      <c r="A586" s="1">
        <v>43189</v>
      </c>
      <c r="B586" s="4"/>
    </row>
    <row r="587" spans="1:2">
      <c r="A587" s="1">
        <v>43192</v>
      </c>
      <c r="B587" s="4"/>
    </row>
    <row r="588" spans="1:2">
      <c r="A588" s="1">
        <v>43193</v>
      </c>
      <c r="B588" s="4">
        <v>69.02</v>
      </c>
    </row>
    <row r="589" spans="1:2">
      <c r="A589" s="1">
        <v>43194</v>
      </c>
      <c r="B589" s="4">
        <v>66.040000000000006</v>
      </c>
    </row>
    <row r="590" spans="1:2">
      <c r="A590" s="1">
        <v>43195</v>
      </c>
      <c r="B590" s="4">
        <v>66.540000000000006</v>
      </c>
    </row>
    <row r="591" spans="1:2">
      <c r="A591" s="1">
        <v>43196</v>
      </c>
      <c r="B591" s="4">
        <v>66.510000000000005</v>
      </c>
    </row>
    <row r="592" spans="1:2">
      <c r="A592" s="1">
        <v>43199</v>
      </c>
      <c r="B592" s="4">
        <v>68.19</v>
      </c>
    </row>
    <row r="593" spans="1:2">
      <c r="A593" s="1">
        <v>43200</v>
      </c>
      <c r="B593" s="4">
        <v>70.67</v>
      </c>
    </row>
    <row r="594" spans="1:2">
      <c r="A594" s="1">
        <v>43201</v>
      </c>
      <c r="B594" s="4">
        <v>72.739999999999995</v>
      </c>
    </row>
    <row r="595" spans="1:2">
      <c r="A595" s="1">
        <v>43202</v>
      </c>
      <c r="B595" s="4">
        <v>71.44</v>
      </c>
    </row>
    <row r="596" spans="1:2">
      <c r="A596" s="1">
        <v>43203</v>
      </c>
      <c r="B596" s="4">
        <v>73.180000000000007</v>
      </c>
    </row>
    <row r="597" spans="1:2">
      <c r="A597" s="1">
        <v>43206</v>
      </c>
      <c r="B597" s="4">
        <v>72.05</v>
      </c>
    </row>
    <row r="598" spans="1:2">
      <c r="A598" s="1">
        <v>43207</v>
      </c>
      <c r="B598" s="4">
        <v>71.709999999999994</v>
      </c>
    </row>
    <row r="599" spans="1:2">
      <c r="A599" s="1">
        <v>43208</v>
      </c>
      <c r="B599" s="4">
        <v>73.73</v>
      </c>
    </row>
    <row r="600" spans="1:2">
      <c r="A600" s="1">
        <v>43209</v>
      </c>
      <c r="B600" s="4">
        <v>74.849999999999994</v>
      </c>
    </row>
    <row r="601" spans="1:2">
      <c r="A601" s="1">
        <v>43210</v>
      </c>
      <c r="B601" s="4">
        <v>74.62</v>
      </c>
    </row>
    <row r="602" spans="1:2">
      <c r="A602" s="1">
        <v>43213</v>
      </c>
      <c r="B602" s="4">
        <v>74.540000000000006</v>
      </c>
    </row>
    <row r="603" spans="1:2">
      <c r="A603" s="1">
        <v>43214</v>
      </c>
      <c r="B603" s="4">
        <v>75.86</v>
      </c>
    </row>
    <row r="604" spans="1:2">
      <c r="A604" s="1">
        <v>43215</v>
      </c>
      <c r="B604" s="4">
        <v>73.790000000000006</v>
      </c>
    </row>
    <row r="605" spans="1:2">
      <c r="A605" s="1">
        <v>43216</v>
      </c>
      <c r="B605" s="4">
        <v>75.39</v>
      </c>
    </row>
    <row r="606" spans="1:2">
      <c r="A606" s="1">
        <v>43217</v>
      </c>
      <c r="B606" s="4">
        <v>75.33</v>
      </c>
    </row>
    <row r="607" spans="1:2">
      <c r="A607" s="1">
        <v>43220</v>
      </c>
      <c r="B607" s="4">
        <v>75.92</v>
      </c>
    </row>
    <row r="608" spans="1:2">
      <c r="A608" s="1">
        <v>43221</v>
      </c>
      <c r="B608" s="4">
        <v>74.849999999999994</v>
      </c>
    </row>
    <row r="609" spans="1:2">
      <c r="A609" s="1">
        <v>43222</v>
      </c>
      <c r="B609" s="4">
        <v>73.14</v>
      </c>
    </row>
    <row r="610" spans="1:2">
      <c r="A610" s="1">
        <v>43223</v>
      </c>
      <c r="B610" s="4">
        <v>73.45</v>
      </c>
    </row>
    <row r="611" spans="1:2">
      <c r="A611" s="1">
        <v>43224</v>
      </c>
      <c r="B611" s="4">
        <v>74.75</v>
      </c>
    </row>
    <row r="612" spans="1:2">
      <c r="A612" s="1">
        <v>43227</v>
      </c>
      <c r="B612" s="4"/>
    </row>
    <row r="613" spans="1:2">
      <c r="A613" s="1">
        <v>43228</v>
      </c>
      <c r="B613" s="4">
        <v>74.16</v>
      </c>
    </row>
    <row r="614" spans="1:2">
      <c r="A614" s="1">
        <v>43229</v>
      </c>
      <c r="B614" s="4">
        <v>77.599999999999994</v>
      </c>
    </row>
    <row r="615" spans="1:2">
      <c r="A615" s="1">
        <v>43230</v>
      </c>
      <c r="B615" s="4">
        <v>77.59</v>
      </c>
    </row>
    <row r="616" spans="1:2">
      <c r="A616" s="1">
        <v>43231</v>
      </c>
      <c r="B616" s="4">
        <v>77.37</v>
      </c>
    </row>
    <row r="617" spans="1:2">
      <c r="A617" s="1">
        <v>43234</v>
      </c>
      <c r="B617" s="4">
        <v>78.17</v>
      </c>
    </row>
    <row r="618" spans="1:2">
      <c r="A618" s="1">
        <v>43235</v>
      </c>
      <c r="B618" s="4">
        <v>78.94</v>
      </c>
    </row>
    <row r="619" spans="1:2">
      <c r="A619" s="1">
        <v>43236</v>
      </c>
      <c r="B619" s="4">
        <v>78.19</v>
      </c>
    </row>
    <row r="620" spans="1:2">
      <c r="A620" s="1">
        <v>43237</v>
      </c>
      <c r="B620" s="4">
        <v>80.09</v>
      </c>
    </row>
    <row r="621" spans="1:2">
      <c r="A621" s="1">
        <v>43238</v>
      </c>
      <c r="B621" s="4">
        <v>78.38</v>
      </c>
    </row>
    <row r="622" spans="1:2">
      <c r="A622" s="1">
        <v>43241</v>
      </c>
      <c r="B622" s="4">
        <v>78.34</v>
      </c>
    </row>
    <row r="623" spans="1:2">
      <c r="A623" s="1">
        <v>43242</v>
      </c>
      <c r="B623" s="4">
        <v>80.42</v>
      </c>
    </row>
    <row r="624" spans="1:2">
      <c r="A624" s="1">
        <v>43243</v>
      </c>
      <c r="B624" s="4">
        <v>78.69</v>
      </c>
    </row>
    <row r="625" spans="1:2">
      <c r="A625" s="1">
        <v>43244</v>
      </c>
      <c r="B625" s="4">
        <v>78.900000000000006</v>
      </c>
    </row>
    <row r="626" spans="1:2">
      <c r="A626" s="1">
        <v>43245</v>
      </c>
      <c r="B626" s="4">
        <v>76.599999999999994</v>
      </c>
    </row>
    <row r="627" spans="1:2">
      <c r="A627" s="1">
        <v>43248</v>
      </c>
      <c r="B627" s="4"/>
    </row>
    <row r="628" spans="1:2">
      <c r="A628" s="1">
        <v>43249</v>
      </c>
      <c r="B628" s="4">
        <v>74.510000000000005</v>
      </c>
    </row>
    <row r="629" spans="1:2">
      <c r="A629" s="1">
        <v>43250</v>
      </c>
      <c r="B629" s="4">
        <v>75.89</v>
      </c>
    </row>
    <row r="630" spans="1:2">
      <c r="A630" s="1">
        <v>43251</v>
      </c>
      <c r="B630" s="4">
        <v>76.45</v>
      </c>
    </row>
    <row r="631" spans="1:2">
      <c r="A631" s="1">
        <v>43252</v>
      </c>
      <c r="B631" s="4">
        <v>74.540000000000006</v>
      </c>
    </row>
    <row r="632" spans="1:2">
      <c r="A632" s="1">
        <v>43255</v>
      </c>
      <c r="B632" s="4">
        <v>73.41</v>
      </c>
    </row>
    <row r="633" spans="1:2">
      <c r="A633" s="1">
        <v>43256</v>
      </c>
      <c r="B633" s="4">
        <v>72.91</v>
      </c>
    </row>
    <row r="634" spans="1:2">
      <c r="A634" s="1">
        <v>43257</v>
      </c>
      <c r="B634" s="4">
        <v>73.23</v>
      </c>
    </row>
    <row r="635" spans="1:2">
      <c r="A635" s="1">
        <v>43258</v>
      </c>
      <c r="B635" s="4">
        <v>75.23</v>
      </c>
    </row>
    <row r="636" spans="1:2">
      <c r="A636" s="1">
        <v>43259</v>
      </c>
      <c r="B636" s="4">
        <v>75.11</v>
      </c>
    </row>
    <row r="637" spans="1:2">
      <c r="A637" s="1">
        <v>43262</v>
      </c>
      <c r="B637" s="4">
        <v>74.58</v>
      </c>
    </row>
    <row r="638" spans="1:2">
      <c r="A638" s="1">
        <v>43263</v>
      </c>
      <c r="B638" s="4">
        <v>74.86</v>
      </c>
    </row>
    <row r="639" spans="1:2">
      <c r="A639" s="1">
        <v>43264</v>
      </c>
      <c r="B639" s="4">
        <v>75.069999999999993</v>
      </c>
    </row>
    <row r="640" spans="1:2">
      <c r="A640" s="1">
        <v>43265</v>
      </c>
      <c r="B640" s="4">
        <v>74.77</v>
      </c>
    </row>
    <row r="641" spans="1:2">
      <c r="A641" s="1">
        <v>43266</v>
      </c>
      <c r="B641" s="4">
        <v>72.02</v>
      </c>
    </row>
    <row r="642" spans="1:2">
      <c r="A642" s="1">
        <v>43269</v>
      </c>
      <c r="B642" s="4">
        <v>74.87</v>
      </c>
    </row>
    <row r="643" spans="1:2">
      <c r="A643" s="1">
        <v>43270</v>
      </c>
      <c r="B643" s="4">
        <v>74.92</v>
      </c>
    </row>
    <row r="644" spans="1:2">
      <c r="A644" s="1">
        <v>43271</v>
      </c>
      <c r="B644" s="4">
        <v>74.25</v>
      </c>
    </row>
    <row r="645" spans="1:2">
      <c r="A645" s="1">
        <v>43272</v>
      </c>
      <c r="B645" s="4">
        <v>72.87</v>
      </c>
    </row>
    <row r="646" spans="1:2">
      <c r="A646" s="1">
        <v>43273</v>
      </c>
      <c r="B646" s="4">
        <v>73.67</v>
      </c>
    </row>
    <row r="647" spans="1:2">
      <c r="A647" s="1">
        <v>43276</v>
      </c>
      <c r="B647" s="4">
        <v>72.819999999999993</v>
      </c>
    </row>
    <row r="648" spans="1:2">
      <c r="A648" s="1">
        <v>43277</v>
      </c>
      <c r="B648" s="4">
        <v>73.58</v>
      </c>
    </row>
    <row r="649" spans="1:2">
      <c r="A649" s="1">
        <v>43278</v>
      </c>
      <c r="B649" s="4">
        <v>76.09</v>
      </c>
    </row>
    <row r="650" spans="1:2">
      <c r="A650" s="1">
        <v>43279</v>
      </c>
      <c r="B650" s="4">
        <v>76.260000000000005</v>
      </c>
    </row>
    <row r="651" spans="1:2">
      <c r="A651" s="1">
        <v>43280</v>
      </c>
      <c r="B651" s="4">
        <v>77.44</v>
      </c>
    </row>
    <row r="652" spans="1:2">
      <c r="A652" s="1">
        <v>43283</v>
      </c>
      <c r="B652" s="4">
        <v>76.709999999999994</v>
      </c>
    </row>
    <row r="653" spans="1:2">
      <c r="A653" s="1">
        <v>43284</v>
      </c>
      <c r="B653" s="4">
        <v>75.87</v>
      </c>
    </row>
    <row r="654" spans="1:2">
      <c r="A654" s="1">
        <v>43285</v>
      </c>
      <c r="B654" s="4">
        <v>76.989999999999995</v>
      </c>
    </row>
    <row r="655" spans="1:2">
      <c r="A655" s="1">
        <v>43286</v>
      </c>
      <c r="B655" s="4">
        <v>77.09</v>
      </c>
    </row>
    <row r="656" spans="1:2">
      <c r="A656" s="1">
        <v>43287</v>
      </c>
      <c r="B656" s="4">
        <v>74.98</v>
      </c>
    </row>
    <row r="657" spans="1:2">
      <c r="A657" s="1">
        <v>43290</v>
      </c>
      <c r="B657" s="4">
        <v>77.08</v>
      </c>
    </row>
    <row r="658" spans="1:2">
      <c r="A658" s="1">
        <v>43291</v>
      </c>
      <c r="B658" s="4">
        <v>77.8</v>
      </c>
    </row>
    <row r="659" spans="1:2">
      <c r="A659" s="1">
        <v>43292</v>
      </c>
      <c r="B659" s="4">
        <v>75.349999999999994</v>
      </c>
    </row>
    <row r="660" spans="1:2">
      <c r="A660" s="1">
        <v>43293</v>
      </c>
      <c r="B660" s="4">
        <v>72.11</v>
      </c>
    </row>
    <row r="661" spans="1:2">
      <c r="A661" s="1">
        <v>43294</v>
      </c>
      <c r="B661" s="4">
        <v>74.11</v>
      </c>
    </row>
    <row r="662" spans="1:2">
      <c r="A662" s="1">
        <v>43297</v>
      </c>
      <c r="B662" s="4">
        <v>71.03</v>
      </c>
    </row>
    <row r="663" spans="1:2">
      <c r="A663" s="1">
        <v>43298</v>
      </c>
      <c r="B663" s="4">
        <v>70.87</v>
      </c>
    </row>
    <row r="664" spans="1:2">
      <c r="A664" s="1">
        <v>43299</v>
      </c>
      <c r="B664" s="4">
        <v>70.52</v>
      </c>
    </row>
    <row r="665" spans="1:2">
      <c r="A665" s="1">
        <v>43300</v>
      </c>
      <c r="B665" s="4">
        <v>71.94</v>
      </c>
    </row>
    <row r="666" spans="1:2">
      <c r="A666" s="1">
        <v>43301</v>
      </c>
      <c r="B666" s="4">
        <v>71.989999999999995</v>
      </c>
    </row>
    <row r="667" spans="1:2">
      <c r="A667" s="1">
        <v>43304</v>
      </c>
      <c r="B667" s="4">
        <v>73.45</v>
      </c>
    </row>
    <row r="668" spans="1:2">
      <c r="A668" s="1">
        <v>43305</v>
      </c>
      <c r="B668" s="4">
        <v>73.53</v>
      </c>
    </row>
    <row r="669" spans="1:2">
      <c r="A669" s="1">
        <v>43306</v>
      </c>
      <c r="B669" s="4">
        <v>73.67</v>
      </c>
    </row>
    <row r="670" spans="1:2">
      <c r="A670" s="1">
        <v>43307</v>
      </c>
      <c r="B670" s="4">
        <v>74.510000000000005</v>
      </c>
    </row>
    <row r="671" spans="1:2">
      <c r="A671" s="1">
        <v>43308</v>
      </c>
      <c r="B671" s="4">
        <v>74.84</v>
      </c>
    </row>
    <row r="672" spans="1:2">
      <c r="A672" s="1">
        <v>43311</v>
      </c>
      <c r="B672" s="4">
        <v>74.989999999999995</v>
      </c>
    </row>
    <row r="673" spans="1:2">
      <c r="A673" s="1">
        <v>43312</v>
      </c>
      <c r="B673" s="4">
        <v>74.16</v>
      </c>
    </row>
    <row r="674" spans="1:2">
      <c r="A674" s="1">
        <v>43313</v>
      </c>
      <c r="B674" s="4">
        <v>72.28</v>
      </c>
    </row>
    <row r="675" spans="1:2">
      <c r="A675" s="1">
        <v>43314</v>
      </c>
      <c r="B675" s="4">
        <v>72.95</v>
      </c>
    </row>
    <row r="676" spans="1:2">
      <c r="A676" s="1">
        <v>43315</v>
      </c>
      <c r="B676" s="4">
        <v>72.48</v>
      </c>
    </row>
    <row r="677" spans="1:2">
      <c r="A677" s="1">
        <v>43318</v>
      </c>
      <c r="B677" s="4">
        <v>72.510000000000005</v>
      </c>
    </row>
    <row r="678" spans="1:2">
      <c r="A678" s="1">
        <v>43319</v>
      </c>
      <c r="B678" s="4">
        <v>72.31</v>
      </c>
    </row>
    <row r="679" spans="1:2">
      <c r="A679" s="1">
        <v>43320</v>
      </c>
      <c r="B679" s="4">
        <v>70.709999999999994</v>
      </c>
    </row>
    <row r="680" spans="1:2">
      <c r="A680" s="1">
        <v>43321</v>
      </c>
      <c r="B680" s="4">
        <v>70.55</v>
      </c>
    </row>
    <row r="681" spans="1:2">
      <c r="A681" s="1">
        <v>43322</v>
      </c>
      <c r="B681" s="4">
        <v>71</v>
      </c>
    </row>
    <row r="682" spans="1:2">
      <c r="A682" s="1">
        <v>43325</v>
      </c>
      <c r="B682" s="4">
        <v>70.62</v>
      </c>
    </row>
    <row r="683" spans="1:2">
      <c r="A683" s="1">
        <v>43326</v>
      </c>
      <c r="B683" s="4">
        <v>70.77</v>
      </c>
    </row>
    <row r="684" spans="1:2">
      <c r="A684" s="1">
        <v>43327</v>
      </c>
      <c r="B684" s="4">
        <v>68.38</v>
      </c>
    </row>
    <row r="685" spans="1:2">
      <c r="A685" s="1">
        <v>43328</v>
      </c>
      <c r="B685" s="4">
        <v>69.209999999999994</v>
      </c>
    </row>
    <row r="686" spans="1:2">
      <c r="A686" s="1">
        <v>43329</v>
      </c>
      <c r="B686" s="4">
        <v>70.14</v>
      </c>
    </row>
    <row r="687" spans="1:2">
      <c r="A687" s="1">
        <v>43332</v>
      </c>
      <c r="B687" s="4">
        <v>71.11</v>
      </c>
    </row>
    <row r="688" spans="1:2">
      <c r="A688" s="1">
        <v>43333</v>
      </c>
      <c r="B688" s="4">
        <v>71.650000000000006</v>
      </c>
    </row>
    <row r="689" spans="1:2">
      <c r="A689" s="1">
        <v>43334</v>
      </c>
      <c r="B689" s="4">
        <v>72.959999999999994</v>
      </c>
    </row>
    <row r="690" spans="1:2">
      <c r="A690" s="1">
        <v>43335</v>
      </c>
      <c r="B690" s="4">
        <v>73.73</v>
      </c>
    </row>
    <row r="691" spans="1:2">
      <c r="A691" s="1">
        <v>43336</v>
      </c>
      <c r="B691" s="4">
        <v>74.41</v>
      </c>
    </row>
    <row r="692" spans="1:2">
      <c r="A692" s="1">
        <v>43339</v>
      </c>
      <c r="B692" s="4">
        <v>74.41</v>
      </c>
    </row>
    <row r="693" spans="1:2">
      <c r="A693" s="1">
        <v>43340</v>
      </c>
      <c r="B693" s="4">
        <v>75.91</v>
      </c>
    </row>
    <row r="694" spans="1:2">
      <c r="A694" s="1">
        <v>43341</v>
      </c>
      <c r="B694" s="4">
        <v>76.069999999999993</v>
      </c>
    </row>
    <row r="695" spans="1:2">
      <c r="A695" s="1">
        <v>43342</v>
      </c>
      <c r="B695" s="4">
        <v>77.05</v>
      </c>
    </row>
    <row r="696" spans="1:2">
      <c r="A696" s="1">
        <v>43343</v>
      </c>
      <c r="B696" s="4">
        <v>76.94</v>
      </c>
    </row>
    <row r="697" spans="1:2">
      <c r="A697" s="1">
        <v>43346</v>
      </c>
      <c r="B697" s="4">
        <v>77.81</v>
      </c>
    </row>
    <row r="698" spans="1:2">
      <c r="A698" s="1">
        <v>43347</v>
      </c>
      <c r="B698" s="4">
        <v>77.510000000000005</v>
      </c>
    </row>
    <row r="699" spans="1:2">
      <c r="A699" s="1">
        <v>43348</v>
      </c>
      <c r="B699" s="4">
        <v>76.680000000000007</v>
      </c>
    </row>
    <row r="700" spans="1:2">
      <c r="A700" s="1">
        <v>43349</v>
      </c>
      <c r="B700" s="4">
        <v>75.67</v>
      </c>
    </row>
    <row r="701" spans="1:2">
      <c r="A701" s="1">
        <v>43350</v>
      </c>
      <c r="B701" s="4">
        <v>75.55</v>
      </c>
    </row>
    <row r="702" spans="1:2">
      <c r="A702" s="1">
        <v>43353</v>
      </c>
      <c r="B702" s="4">
        <v>76.77</v>
      </c>
    </row>
    <row r="703" spans="1:2">
      <c r="A703" s="1">
        <v>43354</v>
      </c>
      <c r="B703" s="4">
        <v>78.22</v>
      </c>
    </row>
    <row r="704" spans="1:2">
      <c r="A704" s="1">
        <v>43355</v>
      </c>
      <c r="B704" s="4">
        <v>80.02</v>
      </c>
    </row>
    <row r="705" spans="1:2">
      <c r="A705" s="1">
        <v>43356</v>
      </c>
      <c r="B705" s="4">
        <v>77.66</v>
      </c>
    </row>
    <row r="706" spans="1:2">
      <c r="A706" s="1">
        <v>43357</v>
      </c>
      <c r="B706" s="4">
        <v>77.87</v>
      </c>
    </row>
    <row r="707" spans="1:2">
      <c r="A707" s="1">
        <v>43360</v>
      </c>
      <c r="B707" s="4">
        <v>78.22</v>
      </c>
    </row>
    <row r="708" spans="1:2">
      <c r="A708" s="1">
        <v>43361</v>
      </c>
      <c r="B708" s="4">
        <v>79.25</v>
      </c>
    </row>
    <row r="709" spans="1:2">
      <c r="A709" s="1">
        <v>43362</v>
      </c>
      <c r="B709" s="4">
        <v>79.430000000000007</v>
      </c>
    </row>
    <row r="710" spans="1:2">
      <c r="A710" s="1">
        <v>43363</v>
      </c>
      <c r="B710" s="4">
        <v>79.03</v>
      </c>
    </row>
    <row r="711" spans="1:2">
      <c r="A711" s="1">
        <v>43364</v>
      </c>
      <c r="B711" s="4">
        <v>78.900000000000006</v>
      </c>
    </row>
    <row r="712" spans="1:2">
      <c r="A712" s="1">
        <v>43367</v>
      </c>
      <c r="B712" s="4">
        <v>80.89</v>
      </c>
    </row>
    <row r="713" spans="1:2">
      <c r="A713" s="1">
        <v>43368</v>
      </c>
      <c r="B713" s="4">
        <v>82.21</v>
      </c>
    </row>
    <row r="714" spans="1:2">
      <c r="A714" s="1">
        <v>43369</v>
      </c>
      <c r="B714" s="4">
        <v>81.87</v>
      </c>
    </row>
    <row r="715" spans="1:2">
      <c r="A715" s="1">
        <v>43370</v>
      </c>
      <c r="B715" s="4">
        <v>81.540000000000006</v>
      </c>
    </row>
    <row r="716" spans="1:2">
      <c r="A716" s="1">
        <v>43371</v>
      </c>
      <c r="B716" s="4">
        <v>82.72</v>
      </c>
    </row>
    <row r="717" spans="1:2">
      <c r="A717" s="1">
        <v>43374</v>
      </c>
      <c r="B717" s="4">
        <v>84.94</v>
      </c>
    </row>
    <row r="718" spans="1:2">
      <c r="A718" s="1">
        <v>43375</v>
      </c>
      <c r="B718" s="4">
        <v>85.63</v>
      </c>
    </row>
    <row r="719" spans="1:2">
      <c r="A719" s="1">
        <v>43376</v>
      </c>
      <c r="B719" s="4">
        <v>85.45</v>
      </c>
    </row>
    <row r="720" spans="1:2">
      <c r="A720" s="1">
        <v>43377</v>
      </c>
      <c r="B720" s="4">
        <v>86.07</v>
      </c>
    </row>
    <row r="721" spans="1:2">
      <c r="A721" s="1">
        <v>43378</v>
      </c>
      <c r="B721" s="4">
        <v>85.12</v>
      </c>
    </row>
    <row r="722" spans="1:2">
      <c r="A722" s="1">
        <v>43381</v>
      </c>
      <c r="B722" s="4">
        <v>84.22</v>
      </c>
    </row>
    <row r="723" spans="1:2">
      <c r="A723" s="1">
        <v>43382</v>
      </c>
      <c r="B723" s="4">
        <v>85.16</v>
      </c>
    </row>
    <row r="724" spans="1:2">
      <c r="A724" s="1">
        <v>43383</v>
      </c>
      <c r="B724" s="4">
        <v>83.82</v>
      </c>
    </row>
    <row r="725" spans="1:2">
      <c r="A725" s="1">
        <v>43384</v>
      </c>
      <c r="B725" s="4">
        <v>81.349999999999994</v>
      </c>
    </row>
    <row r="726" spans="1:2">
      <c r="A726" s="1">
        <v>43385</v>
      </c>
      <c r="B726" s="4">
        <v>80.709999999999994</v>
      </c>
    </row>
    <row r="727" spans="1:2">
      <c r="A727" s="1">
        <v>43388</v>
      </c>
      <c r="B727" s="4">
        <v>80.91</v>
      </c>
    </row>
    <row r="728" spans="1:2">
      <c r="A728" s="1">
        <v>43389</v>
      </c>
      <c r="B728" s="4">
        <v>80.53</v>
      </c>
    </row>
    <row r="729" spans="1:2">
      <c r="A729" s="1">
        <v>43390</v>
      </c>
      <c r="B729" s="4">
        <v>79.91</v>
      </c>
    </row>
    <row r="730" spans="1:2">
      <c r="A730" s="1">
        <v>43391</v>
      </c>
      <c r="B730" s="4">
        <v>80.3</v>
      </c>
    </row>
    <row r="731" spans="1:2">
      <c r="A731" s="1">
        <v>43392</v>
      </c>
      <c r="B731" s="4">
        <v>80.38</v>
      </c>
    </row>
    <row r="732" spans="1:2">
      <c r="A732" s="1">
        <v>43395</v>
      </c>
      <c r="B732" s="4">
        <v>80.45</v>
      </c>
    </row>
    <row r="733" spans="1:2">
      <c r="A733" s="1">
        <v>43396</v>
      </c>
      <c r="B733" s="4">
        <v>78.67</v>
      </c>
    </row>
    <row r="734" spans="1:2">
      <c r="A734" s="1">
        <v>43397</v>
      </c>
      <c r="B734" s="4">
        <v>77.34</v>
      </c>
    </row>
    <row r="735" spans="1:2">
      <c r="A735" s="1">
        <v>43398</v>
      </c>
      <c r="B735" s="4">
        <v>77.3</v>
      </c>
    </row>
    <row r="736" spans="1:2">
      <c r="A736" s="1">
        <v>43399</v>
      </c>
      <c r="B736" s="4">
        <v>77.400000000000006</v>
      </c>
    </row>
    <row r="737" spans="1:2">
      <c r="A737" s="1">
        <v>43402</v>
      </c>
      <c r="B737" s="4">
        <v>77.56</v>
      </c>
    </row>
    <row r="738" spans="1:2">
      <c r="A738" s="1">
        <v>43403</v>
      </c>
      <c r="B738" s="4">
        <v>75.680000000000007</v>
      </c>
    </row>
    <row r="739" spans="1:2">
      <c r="A739" s="1">
        <v>43404</v>
      </c>
      <c r="B739" s="4">
        <v>74.84</v>
      </c>
    </row>
    <row r="740" spans="1:2">
      <c r="A740" s="1">
        <v>43405</v>
      </c>
      <c r="B740" s="4">
        <v>71.25</v>
      </c>
    </row>
    <row r="741" spans="1:2">
      <c r="A741" s="1">
        <v>43406</v>
      </c>
      <c r="B741" s="4">
        <v>71.11</v>
      </c>
    </row>
    <row r="742" spans="1:2">
      <c r="A742" s="1">
        <v>43409</v>
      </c>
      <c r="B742" s="4">
        <v>72.680000000000007</v>
      </c>
    </row>
    <row r="743" spans="1:2">
      <c r="A743" s="1">
        <v>43410</v>
      </c>
      <c r="B743" s="4">
        <v>70.64</v>
      </c>
    </row>
    <row r="744" spans="1:2">
      <c r="A744" s="1">
        <v>43411</v>
      </c>
      <c r="B744" s="4">
        <v>70.099999999999994</v>
      </c>
    </row>
    <row r="745" spans="1:2">
      <c r="A745" s="1">
        <v>43412</v>
      </c>
      <c r="B745" s="4">
        <v>69.290000000000006</v>
      </c>
    </row>
    <row r="746" spans="1:2">
      <c r="A746" s="1">
        <v>43413</v>
      </c>
      <c r="B746" s="4">
        <v>69.010000000000005</v>
      </c>
    </row>
    <row r="747" spans="1:2">
      <c r="A747" s="1">
        <v>43416</v>
      </c>
      <c r="B747" s="4">
        <v>69.81</v>
      </c>
    </row>
    <row r="748" spans="1:2">
      <c r="A748" s="1">
        <v>43417</v>
      </c>
      <c r="B748" s="4">
        <v>65.45</v>
      </c>
    </row>
    <row r="749" spans="1:2">
      <c r="A749" s="1">
        <v>43418</v>
      </c>
      <c r="B749" s="4">
        <v>64.88</v>
      </c>
    </row>
    <row r="750" spans="1:2">
      <c r="A750" s="1">
        <v>43419</v>
      </c>
      <c r="B750" s="4">
        <v>65.61</v>
      </c>
    </row>
    <row r="751" spans="1:2">
      <c r="A751" s="1">
        <v>43420</v>
      </c>
      <c r="B751" s="4">
        <v>65.290000000000006</v>
      </c>
    </row>
    <row r="752" spans="1:2">
      <c r="A752" s="1">
        <v>43423</v>
      </c>
      <c r="B752" s="4">
        <v>64.14</v>
      </c>
    </row>
    <row r="753" spans="1:2">
      <c r="A753" s="1">
        <v>43424</v>
      </c>
      <c r="B753" s="4">
        <v>61.5</v>
      </c>
    </row>
    <row r="754" spans="1:2">
      <c r="A754" s="1">
        <v>43425</v>
      </c>
      <c r="B754" s="4">
        <v>61.65</v>
      </c>
    </row>
    <row r="755" spans="1:2">
      <c r="A755" s="1">
        <v>43426</v>
      </c>
      <c r="B755" s="4">
        <v>61.11</v>
      </c>
    </row>
    <row r="756" spans="1:2">
      <c r="A756" s="1">
        <v>43427</v>
      </c>
      <c r="B756" s="4">
        <v>57.69</v>
      </c>
    </row>
    <row r="757" spans="1:2">
      <c r="A757" s="1">
        <v>43430</v>
      </c>
      <c r="B757" s="4">
        <v>59.7</v>
      </c>
    </row>
    <row r="758" spans="1:2">
      <c r="A758" s="1">
        <v>43431</v>
      </c>
      <c r="B758" s="4">
        <v>59.58</v>
      </c>
    </row>
    <row r="759" spans="1:2">
      <c r="A759" s="1">
        <v>43432</v>
      </c>
      <c r="B759" s="4">
        <v>57.97</v>
      </c>
    </row>
    <row r="760" spans="1:2">
      <c r="A760" s="1">
        <v>43433</v>
      </c>
      <c r="B760" s="4">
        <v>58.29</v>
      </c>
    </row>
    <row r="761" spans="1:2">
      <c r="A761" s="1">
        <v>43434</v>
      </c>
      <c r="B761" s="4">
        <v>57.71</v>
      </c>
    </row>
    <row r="762" spans="1:2">
      <c r="A762" s="1">
        <v>43437</v>
      </c>
      <c r="B762" s="4">
        <v>60.17</v>
      </c>
    </row>
    <row r="763" spans="1:2">
      <c r="A763" s="1">
        <v>43438</v>
      </c>
      <c r="B763" s="4">
        <v>61.22</v>
      </c>
    </row>
    <row r="764" spans="1:2">
      <c r="A764" s="1">
        <v>43439</v>
      </c>
      <c r="B764" s="4">
        <v>61.4</v>
      </c>
    </row>
    <row r="765" spans="1:2">
      <c r="A765" s="1">
        <v>43440</v>
      </c>
      <c r="B765" s="4">
        <v>57.83</v>
      </c>
    </row>
    <row r="766" spans="1:2">
      <c r="A766" s="1">
        <v>43441</v>
      </c>
      <c r="B766" s="4">
        <v>61.71</v>
      </c>
    </row>
    <row r="767" spans="1:2">
      <c r="A767" s="1">
        <v>43444</v>
      </c>
      <c r="B767" s="4">
        <v>60.29</v>
      </c>
    </row>
    <row r="768" spans="1:2">
      <c r="A768" s="1">
        <v>43445</v>
      </c>
      <c r="B768" s="4">
        <v>59.73</v>
      </c>
    </row>
    <row r="769" spans="1:2">
      <c r="A769" s="1">
        <v>43446</v>
      </c>
      <c r="B769" s="4">
        <v>59.94</v>
      </c>
    </row>
    <row r="770" spans="1:2">
      <c r="A770" s="1">
        <v>43447</v>
      </c>
      <c r="B770" s="4">
        <v>59.03</v>
      </c>
    </row>
    <row r="771" spans="1:2">
      <c r="A771" s="1">
        <v>43448</v>
      </c>
      <c r="B771" s="4">
        <v>58.56</v>
      </c>
    </row>
    <row r="772" spans="1:2">
      <c r="A772" s="1">
        <v>43451</v>
      </c>
      <c r="B772" s="4">
        <v>57.59</v>
      </c>
    </row>
    <row r="773" spans="1:2">
      <c r="A773" s="1">
        <v>43452</v>
      </c>
      <c r="B773" s="4">
        <v>55.26</v>
      </c>
    </row>
    <row r="774" spans="1:2">
      <c r="A774" s="1">
        <v>43453</v>
      </c>
      <c r="B774" s="4">
        <v>55.6</v>
      </c>
    </row>
    <row r="775" spans="1:2">
      <c r="A775" s="1">
        <v>43454</v>
      </c>
      <c r="B775" s="4">
        <v>52.84</v>
      </c>
    </row>
    <row r="776" spans="1:2">
      <c r="A776" s="1">
        <v>43455</v>
      </c>
      <c r="B776" s="4">
        <v>51.93</v>
      </c>
    </row>
    <row r="777" spans="1:2">
      <c r="A777" s="1">
        <v>43458</v>
      </c>
      <c r="B777" s="4"/>
    </row>
    <row r="778" spans="1:2">
      <c r="A778" s="1">
        <v>43459</v>
      </c>
      <c r="B778" s="4"/>
    </row>
    <row r="779" spans="1:2">
      <c r="A779" s="1">
        <v>43460</v>
      </c>
      <c r="B779" s="4"/>
    </row>
    <row r="780" spans="1:2">
      <c r="A780" s="1">
        <v>43461</v>
      </c>
      <c r="B780" s="4">
        <v>51.49</v>
      </c>
    </row>
    <row r="781" spans="1:2">
      <c r="A781" s="1">
        <v>43462</v>
      </c>
      <c r="B781" s="4">
        <v>50.57</v>
      </c>
    </row>
    <row r="782" spans="1:2">
      <c r="A782" s="1">
        <v>43465</v>
      </c>
      <c r="B782" s="4"/>
    </row>
    <row r="783" spans="1:2">
      <c r="A783" s="1">
        <v>43466</v>
      </c>
      <c r="B783" s="4"/>
    </row>
    <row r="784" spans="1:2">
      <c r="A784" s="1">
        <v>43467</v>
      </c>
      <c r="B784" s="4">
        <v>54.06</v>
      </c>
    </row>
    <row r="785" spans="1:2">
      <c r="A785" s="1">
        <v>43468</v>
      </c>
      <c r="B785" s="4">
        <v>53.23</v>
      </c>
    </row>
    <row r="786" spans="1:2">
      <c r="A786" s="1">
        <v>43469</v>
      </c>
      <c r="B786" s="4">
        <v>55.64</v>
      </c>
    </row>
    <row r="787" spans="1:2">
      <c r="A787" s="1">
        <v>43472</v>
      </c>
      <c r="B787" s="4">
        <v>57.1</v>
      </c>
    </row>
    <row r="788" spans="1:2">
      <c r="A788" s="1">
        <v>43473</v>
      </c>
      <c r="B788" s="4">
        <v>56.91</v>
      </c>
    </row>
    <row r="789" spans="1:2">
      <c r="A789" s="1">
        <v>43474</v>
      </c>
      <c r="B789" s="4">
        <v>59.46</v>
      </c>
    </row>
    <row r="790" spans="1:2">
      <c r="A790" s="1">
        <v>43475</v>
      </c>
      <c r="B790" s="4">
        <v>60.47</v>
      </c>
    </row>
    <row r="791" spans="1:2">
      <c r="A791" s="1">
        <v>43476</v>
      </c>
      <c r="B791" s="4">
        <v>59.24</v>
      </c>
    </row>
    <row r="792" spans="1:2">
      <c r="A792" s="1">
        <v>43479</v>
      </c>
      <c r="B792" s="4">
        <v>58.8</v>
      </c>
    </row>
    <row r="793" spans="1:2">
      <c r="A793" s="1">
        <v>43480</v>
      </c>
      <c r="B793" s="4">
        <v>58.65</v>
      </c>
    </row>
    <row r="794" spans="1:2">
      <c r="A794" s="1">
        <v>43481</v>
      </c>
      <c r="B794" s="4">
        <v>59.81</v>
      </c>
    </row>
    <row r="795" spans="1:2">
      <c r="A795" s="1">
        <v>43482</v>
      </c>
      <c r="B795" s="4">
        <v>59.85</v>
      </c>
    </row>
    <row r="796" spans="1:2">
      <c r="A796" s="1">
        <v>43483</v>
      </c>
      <c r="B796" s="4">
        <v>62.04</v>
      </c>
    </row>
    <row r="797" spans="1:2">
      <c r="A797" s="1">
        <v>43486</v>
      </c>
      <c r="B797" s="4">
        <v>62.18</v>
      </c>
    </row>
    <row r="798" spans="1:2">
      <c r="A798" s="1">
        <v>43487</v>
      </c>
      <c r="B798" s="4">
        <v>60.9</v>
      </c>
    </row>
    <row r="799" spans="1:2">
      <c r="A799" s="1">
        <v>43488</v>
      </c>
      <c r="B799" s="4">
        <v>61.05</v>
      </c>
    </row>
    <row r="800" spans="1:2">
      <c r="A800" s="1">
        <v>43489</v>
      </c>
      <c r="B800" s="4">
        <v>61.09</v>
      </c>
    </row>
    <row r="801" spans="1:2">
      <c r="A801" s="1">
        <v>43490</v>
      </c>
      <c r="B801" s="4">
        <v>61.49</v>
      </c>
    </row>
    <row r="802" spans="1:2">
      <c r="A802" s="1">
        <v>43493</v>
      </c>
      <c r="B802" s="4">
        <v>59.71</v>
      </c>
    </row>
    <row r="803" spans="1:2">
      <c r="A803" s="1">
        <v>43494</v>
      </c>
      <c r="B803" s="4">
        <v>60.98</v>
      </c>
    </row>
    <row r="804" spans="1:2">
      <c r="A804" s="1">
        <v>43495</v>
      </c>
      <c r="B804" s="4">
        <v>61.89</v>
      </c>
    </row>
    <row r="805" spans="1:2">
      <c r="A805" s="1">
        <v>43496</v>
      </c>
      <c r="B805" s="4">
        <v>62.46</v>
      </c>
    </row>
    <row r="806" spans="1:2">
      <c r="A806" s="1">
        <v>43497</v>
      </c>
      <c r="B806" s="4">
        <v>61.86</v>
      </c>
    </row>
    <row r="807" spans="1:2">
      <c r="A807" s="1">
        <v>43500</v>
      </c>
      <c r="B807" s="4">
        <v>62.26</v>
      </c>
    </row>
    <row r="808" spans="1:2">
      <c r="A808" s="1">
        <v>43501</v>
      </c>
      <c r="B808" s="4">
        <v>61.67</v>
      </c>
    </row>
    <row r="809" spans="1:2">
      <c r="A809" s="1">
        <v>43502</v>
      </c>
      <c r="B809" s="4">
        <v>62.22</v>
      </c>
    </row>
    <row r="810" spans="1:2">
      <c r="A810" s="1">
        <v>43503</v>
      </c>
      <c r="B810" s="4">
        <v>61.01</v>
      </c>
    </row>
    <row r="811" spans="1:2">
      <c r="A811" s="1">
        <v>43504</v>
      </c>
      <c r="B811" s="4">
        <v>61.37</v>
      </c>
    </row>
    <row r="812" spans="1:2">
      <c r="A812" s="1">
        <v>43507</v>
      </c>
      <c r="B812" s="4">
        <v>61.3</v>
      </c>
    </row>
    <row r="813" spans="1:2">
      <c r="A813" s="1">
        <v>43508</v>
      </c>
      <c r="B813" s="4">
        <v>62.58</v>
      </c>
    </row>
    <row r="814" spans="1:2">
      <c r="A814" s="1">
        <v>43509</v>
      </c>
      <c r="B814" s="4">
        <v>63.27</v>
      </c>
    </row>
    <row r="815" spans="1:2">
      <c r="A815" s="1">
        <v>43510</v>
      </c>
      <c r="B815" s="4">
        <v>64</v>
      </c>
    </row>
    <row r="816" spans="1:2">
      <c r="A816" s="1">
        <v>43511</v>
      </c>
      <c r="B816" s="4">
        <v>65.650000000000006</v>
      </c>
    </row>
    <row r="817" spans="1:2">
      <c r="A817" s="1">
        <v>43514</v>
      </c>
      <c r="B817" s="4">
        <v>66.41</v>
      </c>
    </row>
    <row r="818" spans="1:2">
      <c r="A818" s="1">
        <v>43515</v>
      </c>
      <c r="B818" s="4">
        <v>65.86</v>
      </c>
    </row>
    <row r="819" spans="1:2">
      <c r="A819" s="1">
        <v>43516</v>
      </c>
      <c r="B819" s="4">
        <v>66.819999999999993</v>
      </c>
    </row>
    <row r="820" spans="1:2">
      <c r="A820" s="1">
        <v>43517</v>
      </c>
      <c r="B820" s="4">
        <v>66.91</v>
      </c>
    </row>
    <row r="821" spans="1:2">
      <c r="A821" s="1">
        <v>43518</v>
      </c>
      <c r="B821" s="4">
        <v>66.91</v>
      </c>
    </row>
    <row r="822" spans="1:2">
      <c r="A822" s="1">
        <v>43521</v>
      </c>
      <c r="B822" s="4">
        <v>64.02</v>
      </c>
    </row>
    <row r="823" spans="1:2">
      <c r="A823" s="1">
        <v>43522</v>
      </c>
      <c r="B823" s="4">
        <v>64.510000000000005</v>
      </c>
    </row>
    <row r="824" spans="1:2">
      <c r="A824" s="1">
        <v>43523</v>
      </c>
      <c r="B824" s="4">
        <v>65.55</v>
      </c>
    </row>
    <row r="825" spans="1:2">
      <c r="A825" s="1">
        <v>43524</v>
      </c>
      <c r="B825" s="4">
        <v>65.03</v>
      </c>
    </row>
    <row r="826" spans="1:2">
      <c r="A826" s="1">
        <v>43525</v>
      </c>
      <c r="B826" s="4">
        <v>63.71</v>
      </c>
    </row>
    <row r="827" spans="1:2">
      <c r="A827" s="1">
        <v>43528</v>
      </c>
      <c r="B827" s="4">
        <v>64.44</v>
      </c>
    </row>
    <row r="828" spans="1:2">
      <c r="A828" s="1">
        <v>43529</v>
      </c>
      <c r="B828" s="4">
        <v>64.239999999999995</v>
      </c>
    </row>
    <row r="829" spans="1:2">
      <c r="A829" s="1">
        <v>43530</v>
      </c>
      <c r="B829" s="4">
        <v>64.510000000000005</v>
      </c>
    </row>
    <row r="830" spans="1:2">
      <c r="A830" s="1">
        <v>43531</v>
      </c>
      <c r="B830" s="4">
        <v>64.819999999999993</v>
      </c>
    </row>
    <row r="831" spans="1:2">
      <c r="A831" s="1">
        <v>43532</v>
      </c>
      <c r="B831" s="4">
        <v>65.66</v>
      </c>
    </row>
    <row r="832" spans="1:2">
      <c r="A832" s="1">
        <v>43535</v>
      </c>
      <c r="B832" s="4">
        <v>65.06</v>
      </c>
    </row>
    <row r="833" spans="1:2">
      <c r="A833" s="1">
        <v>43536</v>
      </c>
      <c r="B833" s="4">
        <v>65.33</v>
      </c>
    </row>
    <row r="834" spans="1:2">
      <c r="A834" s="1">
        <v>43537</v>
      </c>
      <c r="B834" s="4">
        <v>65.89</v>
      </c>
    </row>
    <row r="835" spans="1:2">
      <c r="A835" s="1">
        <v>43538</v>
      </c>
      <c r="B835" s="4">
        <v>66.180000000000007</v>
      </c>
    </row>
    <row r="836" spans="1:2">
      <c r="A836" s="1">
        <v>43539</v>
      </c>
      <c r="B836" s="4">
        <v>66.11</v>
      </c>
    </row>
    <row r="837" spans="1:2">
      <c r="A837" s="1">
        <v>43542</v>
      </c>
      <c r="B837" s="4">
        <v>66.650000000000006</v>
      </c>
    </row>
    <row r="838" spans="1:2">
      <c r="A838" s="1">
        <v>43543</v>
      </c>
      <c r="B838" s="4">
        <v>67.13</v>
      </c>
    </row>
    <row r="839" spans="1:2">
      <c r="A839" s="1">
        <v>43544</v>
      </c>
      <c r="B839" s="4">
        <v>68.349999999999994</v>
      </c>
    </row>
    <row r="840" spans="1:2">
      <c r="A840" s="1">
        <v>43545</v>
      </c>
      <c r="B840" s="4">
        <v>68.3</v>
      </c>
    </row>
    <row r="841" spans="1:2">
      <c r="A841" s="1">
        <v>43546</v>
      </c>
      <c r="B841" s="4">
        <v>66.290000000000006</v>
      </c>
    </row>
    <row r="842" spans="1:2">
      <c r="A842" s="1">
        <v>43549</v>
      </c>
      <c r="B842" s="4">
        <v>67.37</v>
      </c>
    </row>
    <row r="843" spans="1:2">
      <c r="A843" s="1">
        <v>43550</v>
      </c>
      <c r="B843" s="4">
        <v>67.510000000000005</v>
      </c>
    </row>
    <row r="844" spans="1:2">
      <c r="A844" s="1">
        <v>43551</v>
      </c>
      <c r="B844" s="4">
        <v>67.349999999999994</v>
      </c>
    </row>
    <row r="845" spans="1:2">
      <c r="A845" s="1">
        <v>43552</v>
      </c>
      <c r="B845" s="4">
        <v>66.08</v>
      </c>
    </row>
    <row r="846" spans="1:2">
      <c r="A846" s="1">
        <v>43553</v>
      </c>
      <c r="B846" s="4">
        <v>67.930000000000007</v>
      </c>
    </row>
    <row r="847" spans="1:2">
      <c r="A847" s="1">
        <v>43556</v>
      </c>
      <c r="B847" s="4">
        <v>69.08</v>
      </c>
    </row>
    <row r="848" spans="1:2">
      <c r="A848" s="1">
        <v>43557</v>
      </c>
      <c r="B848" s="4">
        <v>69.680000000000007</v>
      </c>
    </row>
    <row r="849" spans="1:2">
      <c r="A849" s="1">
        <v>43558</v>
      </c>
      <c r="B849" s="4">
        <v>69.209999999999994</v>
      </c>
    </row>
    <row r="850" spans="1:2">
      <c r="A850" s="1">
        <v>43559</v>
      </c>
      <c r="B850" s="4">
        <v>69.8</v>
      </c>
    </row>
    <row r="851" spans="1:2">
      <c r="A851" s="1">
        <v>43560</v>
      </c>
      <c r="B851" s="4">
        <v>69.930000000000007</v>
      </c>
    </row>
    <row r="852" spans="1:2">
      <c r="A852" s="1">
        <v>43563</v>
      </c>
      <c r="B852" s="4">
        <v>71.12</v>
      </c>
    </row>
    <row r="853" spans="1:2">
      <c r="A853" s="1">
        <v>43564</v>
      </c>
      <c r="B853" s="4">
        <v>71.02</v>
      </c>
    </row>
    <row r="854" spans="1:2">
      <c r="A854" s="1">
        <v>43565</v>
      </c>
      <c r="B854" s="4">
        <v>71.63</v>
      </c>
    </row>
    <row r="855" spans="1:2">
      <c r="A855" s="1">
        <v>43566</v>
      </c>
      <c r="B855" s="4">
        <v>71.3</v>
      </c>
    </row>
    <row r="856" spans="1:2">
      <c r="A856" s="1">
        <v>43567</v>
      </c>
      <c r="B856" s="4">
        <v>71.569999999999993</v>
      </c>
    </row>
    <row r="857" spans="1:2">
      <c r="A857" s="1">
        <v>43570</v>
      </c>
      <c r="B857" s="4">
        <v>70.900000000000006</v>
      </c>
    </row>
    <row r="858" spans="1:2">
      <c r="A858" s="1">
        <v>43571</v>
      </c>
      <c r="B858" s="4">
        <v>70.739999999999995</v>
      </c>
    </row>
    <row r="859" spans="1:2">
      <c r="A859" s="1">
        <v>43572</v>
      </c>
      <c r="B859" s="4">
        <v>71.14</v>
      </c>
    </row>
    <row r="860" spans="1:2">
      <c r="A860" s="1">
        <v>43573</v>
      </c>
      <c r="B860" s="4">
        <v>70.709999999999994</v>
      </c>
    </row>
    <row r="861" spans="1:2">
      <c r="A861" s="1">
        <v>43574</v>
      </c>
      <c r="B861" s="4"/>
    </row>
    <row r="862" spans="1:2">
      <c r="A862" s="1">
        <v>43577</v>
      </c>
      <c r="B862" s="4">
        <v>70.709999999999994</v>
      </c>
    </row>
    <row r="863" spans="1:2">
      <c r="A863" s="1">
        <v>43578</v>
      </c>
      <c r="B863" s="4">
        <v>74.39</v>
      </c>
    </row>
    <row r="864" spans="1:2">
      <c r="A864" s="1">
        <v>43579</v>
      </c>
      <c r="B864" s="4">
        <v>73.59</v>
      </c>
    </row>
    <row r="865" spans="1:2">
      <c r="A865" s="1">
        <v>43580</v>
      </c>
      <c r="B865" s="4">
        <v>74.94</v>
      </c>
    </row>
    <row r="866" spans="1:2">
      <c r="A866" s="1">
        <v>43581</v>
      </c>
      <c r="B866" s="4">
        <v>71.03</v>
      </c>
    </row>
    <row r="867" spans="1:2">
      <c r="A867" s="1">
        <v>43584</v>
      </c>
      <c r="B867" s="4">
        <v>71.22</v>
      </c>
    </row>
    <row r="868" spans="1:2">
      <c r="A868" s="1">
        <v>43585</v>
      </c>
      <c r="B868" s="4">
        <v>72.19</v>
      </c>
    </row>
    <row r="869" spans="1:2">
      <c r="A869" s="1">
        <v>43586</v>
      </c>
      <c r="B869" s="4">
        <v>72.010000000000005</v>
      </c>
    </row>
    <row r="870" spans="1:2">
      <c r="A870" s="1">
        <v>43587</v>
      </c>
      <c r="B870" s="4">
        <v>70.56</v>
      </c>
    </row>
    <row r="871" spans="1:2">
      <c r="A871" s="1">
        <v>43588</v>
      </c>
      <c r="B871" s="4">
        <v>71.95</v>
      </c>
    </row>
    <row r="872" spans="1:2">
      <c r="A872" s="1">
        <v>43591</v>
      </c>
      <c r="B872" s="4">
        <v>71.95</v>
      </c>
    </row>
    <row r="873" spans="1:2">
      <c r="A873" s="1">
        <v>43592</v>
      </c>
      <c r="B873" s="4">
        <v>70.98</v>
      </c>
    </row>
    <row r="874" spans="1:2">
      <c r="A874" s="1">
        <v>43593</v>
      </c>
      <c r="B874" s="4">
        <v>71.09</v>
      </c>
    </row>
    <row r="875" spans="1:2">
      <c r="A875" s="1">
        <v>43594</v>
      </c>
      <c r="B875" s="4">
        <v>70.61</v>
      </c>
    </row>
    <row r="876" spans="1:2">
      <c r="A876" s="1">
        <v>43595</v>
      </c>
      <c r="B876" s="4">
        <v>71.63</v>
      </c>
    </row>
    <row r="877" spans="1:2">
      <c r="A877" s="1">
        <v>43598</v>
      </c>
      <c r="B877" s="4">
        <v>72.349999999999994</v>
      </c>
    </row>
    <row r="878" spans="1:2">
      <c r="A878" s="1">
        <v>43599</v>
      </c>
      <c r="B878" s="4">
        <v>72.53</v>
      </c>
    </row>
    <row r="879" spans="1:2">
      <c r="A879" s="1">
        <v>43600</v>
      </c>
      <c r="B879" s="4">
        <v>73.09</v>
      </c>
    </row>
    <row r="880" spans="1:2">
      <c r="A880" s="1">
        <v>43601</v>
      </c>
      <c r="B880" s="4">
        <v>74.7</v>
      </c>
    </row>
    <row r="881" spans="1:2">
      <c r="A881" s="1">
        <v>43602</v>
      </c>
      <c r="B881" s="4">
        <v>73.94</v>
      </c>
    </row>
    <row r="882" spans="1:2">
      <c r="A882" s="1">
        <v>43605</v>
      </c>
      <c r="B882" s="4">
        <v>73.209999999999994</v>
      </c>
    </row>
    <row r="883" spans="1:2">
      <c r="A883" s="1">
        <v>43606</v>
      </c>
      <c r="B883" s="4">
        <v>72.94</v>
      </c>
    </row>
    <row r="884" spans="1:2">
      <c r="A884" s="1">
        <v>43607</v>
      </c>
      <c r="B884" s="4">
        <v>71.94</v>
      </c>
    </row>
    <row r="885" spans="1:2">
      <c r="A885" s="1">
        <v>43608</v>
      </c>
      <c r="B885" s="4">
        <v>68.37</v>
      </c>
    </row>
    <row r="886" spans="1:2">
      <c r="A886" s="1">
        <v>43609</v>
      </c>
      <c r="B886" s="4">
        <v>67.98</v>
      </c>
    </row>
    <row r="887" spans="1:2">
      <c r="A887" s="1">
        <v>43612</v>
      </c>
      <c r="B887" s="4"/>
    </row>
    <row r="888" spans="1:2">
      <c r="A888" s="1">
        <v>43613</v>
      </c>
      <c r="B888" s="4">
        <v>70.19</v>
      </c>
    </row>
    <row r="889" spans="1:2">
      <c r="A889" s="1">
        <v>43614</v>
      </c>
      <c r="B889" s="4">
        <v>70.64</v>
      </c>
    </row>
    <row r="890" spans="1:2">
      <c r="A890" s="1">
        <v>43615</v>
      </c>
      <c r="B890" s="4">
        <v>69.55</v>
      </c>
    </row>
    <row r="891" spans="1:2">
      <c r="A891" s="1">
        <v>43616</v>
      </c>
      <c r="B891" s="4">
        <v>66.78</v>
      </c>
    </row>
    <row r="892" spans="1:2">
      <c r="A892" s="1">
        <v>43619</v>
      </c>
      <c r="B892" s="4">
        <v>63.16</v>
      </c>
    </row>
    <row r="893" spans="1:2">
      <c r="A893" s="1">
        <v>43620</v>
      </c>
      <c r="B893" s="4">
        <v>63.56</v>
      </c>
    </row>
    <row r="894" spans="1:2">
      <c r="A894" s="1">
        <v>43621</v>
      </c>
      <c r="B894" s="4">
        <v>62.14</v>
      </c>
    </row>
    <row r="895" spans="1:2">
      <c r="A895" s="1">
        <v>43622</v>
      </c>
      <c r="B895" s="4">
        <v>62.77</v>
      </c>
    </row>
    <row r="896" spans="1:2">
      <c r="A896" s="1">
        <v>43623</v>
      </c>
      <c r="B896" s="4">
        <v>64.099999999999994</v>
      </c>
    </row>
    <row r="897" spans="1:2">
      <c r="A897" s="1">
        <v>43626</v>
      </c>
      <c r="B897" s="4">
        <v>64.31</v>
      </c>
    </row>
    <row r="898" spans="1:2">
      <c r="A898" s="1">
        <v>43627</v>
      </c>
      <c r="B898" s="4">
        <v>63.56</v>
      </c>
    </row>
    <row r="899" spans="1:2">
      <c r="A899" s="1">
        <v>43628</v>
      </c>
      <c r="B899" s="4">
        <v>61.66</v>
      </c>
    </row>
    <row r="900" spans="1:2">
      <c r="A900" s="1">
        <v>43629</v>
      </c>
      <c r="B900" s="4">
        <v>63.28</v>
      </c>
    </row>
    <row r="901" spans="1:2">
      <c r="A901" s="1">
        <v>43630</v>
      </c>
      <c r="B901" s="4">
        <v>63.13</v>
      </c>
    </row>
    <row r="902" spans="1:2">
      <c r="A902" s="1">
        <v>43633</v>
      </c>
      <c r="B902" s="4">
        <v>62.56</v>
      </c>
    </row>
    <row r="903" spans="1:2">
      <c r="A903" s="1">
        <v>43634</v>
      </c>
      <c r="B903" s="4">
        <v>63.35</v>
      </c>
    </row>
    <row r="904" spans="1:2">
      <c r="A904" s="1">
        <v>43635</v>
      </c>
      <c r="B904" s="4">
        <v>62.85</v>
      </c>
    </row>
    <row r="905" spans="1:2">
      <c r="A905" s="1">
        <v>43636</v>
      </c>
      <c r="B905" s="4">
        <v>65.44</v>
      </c>
    </row>
    <row r="906" spans="1:2">
      <c r="A906" s="1">
        <v>43637</v>
      </c>
      <c r="B906" s="4">
        <v>65.989999999999995</v>
      </c>
    </row>
    <row r="907" spans="1:2">
      <c r="A907" s="1">
        <v>43640</v>
      </c>
      <c r="B907" s="4">
        <v>65.16</v>
      </c>
    </row>
    <row r="908" spans="1:2">
      <c r="A908" s="1">
        <v>43641</v>
      </c>
      <c r="B908" s="4">
        <v>66.239999999999995</v>
      </c>
    </row>
    <row r="909" spans="1:2">
      <c r="A909" s="1">
        <v>43642</v>
      </c>
      <c r="B909" s="4">
        <v>66.849999999999994</v>
      </c>
    </row>
    <row r="910" spans="1:2">
      <c r="A910" s="1">
        <v>43643</v>
      </c>
      <c r="B910" s="4">
        <v>66.78</v>
      </c>
    </row>
    <row r="911" spans="1:2">
      <c r="A911" s="1">
        <v>43644</v>
      </c>
      <c r="B911" s="4">
        <v>67.52</v>
      </c>
    </row>
    <row r="912" spans="1:2">
      <c r="A912" s="1">
        <v>43647</v>
      </c>
      <c r="B912" s="4">
        <v>65.099999999999994</v>
      </c>
    </row>
    <row r="913" spans="1:2">
      <c r="A913" s="1">
        <v>43648</v>
      </c>
      <c r="B913" s="4">
        <v>62.72</v>
      </c>
    </row>
    <row r="914" spans="1:2">
      <c r="A914" s="1">
        <v>43649</v>
      </c>
      <c r="B914" s="4">
        <v>63.53</v>
      </c>
    </row>
    <row r="915" spans="1:2">
      <c r="A915" s="1">
        <v>43650</v>
      </c>
      <c r="B915" s="4">
        <v>63.62</v>
      </c>
    </row>
    <row r="916" spans="1:2">
      <c r="A916" s="1">
        <v>43651</v>
      </c>
      <c r="B916" s="4">
        <v>64.23</v>
      </c>
    </row>
    <row r="917" spans="1:2">
      <c r="A917" s="1">
        <v>43654</v>
      </c>
      <c r="B917" s="4">
        <v>64.89</v>
      </c>
    </row>
    <row r="918" spans="1:2">
      <c r="A918" s="1">
        <v>43655</v>
      </c>
      <c r="B918" s="4">
        <v>64.3</v>
      </c>
    </row>
    <row r="919" spans="1:2">
      <c r="A919" s="1">
        <v>43656</v>
      </c>
      <c r="B919" s="4">
        <v>66.41</v>
      </c>
    </row>
    <row r="920" spans="1:2">
      <c r="A920" s="1">
        <v>43657</v>
      </c>
      <c r="B920" s="4">
        <v>67.64</v>
      </c>
    </row>
    <row r="921" spans="1:2">
      <c r="A921" s="1">
        <v>43658</v>
      </c>
      <c r="B921" s="4">
        <v>66.650000000000006</v>
      </c>
    </row>
    <row r="922" spans="1:2">
      <c r="A922" s="1">
        <v>43661</v>
      </c>
      <c r="B922" s="4">
        <v>66.86</v>
      </c>
    </row>
    <row r="923" spans="1:2">
      <c r="A923" s="1">
        <v>43662</v>
      </c>
      <c r="B923" s="4">
        <v>65.87</v>
      </c>
    </row>
    <row r="924" spans="1:2">
      <c r="A924" s="1">
        <v>43663</v>
      </c>
      <c r="B924" s="4">
        <v>63.67</v>
      </c>
    </row>
    <row r="925" spans="1:2">
      <c r="A925" s="1">
        <v>43664</v>
      </c>
      <c r="B925" s="4">
        <v>60.7</v>
      </c>
    </row>
    <row r="926" spans="1:2">
      <c r="A926" s="1">
        <v>43665</v>
      </c>
      <c r="B926" s="4">
        <v>61.04</v>
      </c>
    </row>
    <row r="927" spans="1:2">
      <c r="A927" s="1">
        <v>43668</v>
      </c>
      <c r="B927" s="4">
        <v>61.96</v>
      </c>
    </row>
    <row r="928" spans="1:2">
      <c r="A928" s="1">
        <v>43669</v>
      </c>
      <c r="B928" s="4">
        <v>62.28</v>
      </c>
    </row>
    <row r="929" spans="1:2">
      <c r="A929" s="1">
        <v>43670</v>
      </c>
      <c r="B929" s="4">
        <v>63.83</v>
      </c>
    </row>
    <row r="930" spans="1:2">
      <c r="A930" s="1">
        <v>43671</v>
      </c>
      <c r="B930" s="4">
        <v>63.47</v>
      </c>
    </row>
    <row r="931" spans="1:2">
      <c r="A931" s="1">
        <v>43672</v>
      </c>
      <c r="B931" s="4">
        <v>62.46</v>
      </c>
    </row>
    <row r="932" spans="1:2">
      <c r="A932" s="1">
        <v>43675</v>
      </c>
      <c r="B932" s="4">
        <v>62.29</v>
      </c>
    </row>
    <row r="933" spans="1:2">
      <c r="A933" s="1">
        <v>43676</v>
      </c>
      <c r="B933" s="4">
        <v>62.55</v>
      </c>
    </row>
    <row r="934" spans="1:2">
      <c r="A934" s="1">
        <v>43677</v>
      </c>
      <c r="B934" s="4">
        <v>64.069999999999993</v>
      </c>
    </row>
    <row r="935" spans="1:2">
      <c r="A935" s="1">
        <v>43678</v>
      </c>
      <c r="B935" s="4">
        <v>62.9</v>
      </c>
    </row>
    <row r="936" spans="1:2">
      <c r="A936" s="1">
        <v>43679</v>
      </c>
      <c r="B936" s="4">
        <v>61.12</v>
      </c>
    </row>
    <row r="937" spans="1:2">
      <c r="A937" s="1">
        <v>43682</v>
      </c>
      <c r="B937" s="4">
        <v>59.32</v>
      </c>
    </row>
    <row r="938" spans="1:2">
      <c r="A938" s="1">
        <v>43683</v>
      </c>
      <c r="B938" s="4">
        <v>58.63</v>
      </c>
    </row>
    <row r="939" spans="1:2">
      <c r="A939" s="1">
        <v>43684</v>
      </c>
      <c r="B939" s="4">
        <v>55.03</v>
      </c>
    </row>
    <row r="940" spans="1:2">
      <c r="A940" s="1">
        <v>43685</v>
      </c>
      <c r="B940" s="4">
        <v>56.29</v>
      </c>
    </row>
    <row r="941" spans="1:2">
      <c r="A941" s="1">
        <v>43686</v>
      </c>
      <c r="B941" s="4">
        <v>57.37</v>
      </c>
    </row>
    <row r="942" spans="1:2">
      <c r="A942" s="1">
        <v>43689</v>
      </c>
      <c r="B942" s="4">
        <v>57.13</v>
      </c>
    </row>
    <row r="943" spans="1:2">
      <c r="A943" s="1">
        <v>43690</v>
      </c>
      <c r="B943" s="4">
        <v>59.9</v>
      </c>
    </row>
    <row r="944" spans="1:2">
      <c r="A944" s="1">
        <v>43691</v>
      </c>
      <c r="B944" s="4">
        <v>57.86</v>
      </c>
    </row>
    <row r="945" spans="1:2">
      <c r="A945" s="1">
        <v>43692</v>
      </c>
      <c r="B945" s="4">
        <v>57.37</v>
      </c>
    </row>
    <row r="946" spans="1:2">
      <c r="A946" s="1">
        <v>43693</v>
      </c>
      <c r="B946" s="4">
        <v>59</v>
      </c>
    </row>
    <row r="947" spans="1:2">
      <c r="A947" s="1">
        <v>43696</v>
      </c>
      <c r="B947" s="4">
        <v>59.79</v>
      </c>
    </row>
    <row r="948" spans="1:2">
      <c r="A948" s="1">
        <v>43697</v>
      </c>
      <c r="B948" s="4">
        <v>59.03</v>
      </c>
    </row>
    <row r="949" spans="1:2">
      <c r="A949" s="1">
        <v>43698</v>
      </c>
      <c r="B949" s="4">
        <v>60.6</v>
      </c>
    </row>
    <row r="950" spans="1:2">
      <c r="A950" s="1">
        <v>43699</v>
      </c>
      <c r="B950" s="4">
        <v>59.81</v>
      </c>
    </row>
    <row r="951" spans="1:2">
      <c r="A951" s="1">
        <v>43700</v>
      </c>
      <c r="B951" s="4">
        <v>58.64</v>
      </c>
    </row>
    <row r="952" spans="1:2">
      <c r="A952" s="1">
        <v>43703</v>
      </c>
      <c r="B952" s="4">
        <v>58.64</v>
      </c>
    </row>
    <row r="953" spans="1:2">
      <c r="A953" s="1">
        <v>43704</v>
      </c>
      <c r="B953" s="4">
        <v>58.44</v>
      </c>
    </row>
    <row r="954" spans="1:2">
      <c r="A954" s="1">
        <v>43705</v>
      </c>
      <c r="B954" s="4">
        <v>60.42</v>
      </c>
    </row>
    <row r="955" spans="1:2">
      <c r="A955" s="1">
        <v>43706</v>
      </c>
      <c r="B955" s="4">
        <v>60.59</v>
      </c>
    </row>
    <row r="956" spans="1:2">
      <c r="A956" s="1">
        <v>43707</v>
      </c>
      <c r="B956" s="4">
        <v>61.04</v>
      </c>
    </row>
    <row r="957" spans="1:2">
      <c r="A957" s="1">
        <v>43710</v>
      </c>
      <c r="B957" s="4">
        <v>58.55</v>
      </c>
    </row>
    <row r="958" spans="1:2">
      <c r="A958" s="1">
        <v>43711</v>
      </c>
      <c r="B958" s="4">
        <v>57.93</v>
      </c>
    </row>
    <row r="959" spans="1:2">
      <c r="A959" s="1">
        <v>43712</v>
      </c>
      <c r="B959" s="4">
        <v>60.68</v>
      </c>
    </row>
    <row r="960" spans="1:2">
      <c r="A960" s="1">
        <v>43713</v>
      </c>
      <c r="B960" s="4">
        <v>62.7</v>
      </c>
    </row>
    <row r="961" spans="1:2">
      <c r="A961" s="1">
        <v>43714</v>
      </c>
      <c r="B961" s="4">
        <v>61.28</v>
      </c>
    </row>
    <row r="962" spans="1:2">
      <c r="A962" s="1">
        <v>43717</v>
      </c>
      <c r="B962" s="4">
        <v>63.99</v>
      </c>
    </row>
    <row r="963" spans="1:2">
      <c r="A963" s="1">
        <v>43718</v>
      </c>
      <c r="B963" s="4">
        <v>64.67</v>
      </c>
    </row>
    <row r="964" spans="1:2">
      <c r="A964" s="1">
        <v>43719</v>
      </c>
      <c r="B964" s="4">
        <v>63.02</v>
      </c>
    </row>
    <row r="965" spans="1:2">
      <c r="A965" s="1">
        <v>43720</v>
      </c>
      <c r="B965" s="4">
        <v>60.76</v>
      </c>
    </row>
    <row r="966" spans="1:2">
      <c r="A966" s="1">
        <v>43721</v>
      </c>
      <c r="B966" s="4">
        <v>61.25</v>
      </c>
    </row>
    <row r="967" spans="1:2">
      <c r="A967" s="1">
        <v>43724</v>
      </c>
      <c r="B967" s="4">
        <v>68.42</v>
      </c>
    </row>
    <row r="968" spans="1:2">
      <c r="A968" s="1">
        <v>43725</v>
      </c>
      <c r="B968" s="4">
        <v>65.59</v>
      </c>
    </row>
    <row r="969" spans="1:2">
      <c r="A969" s="1">
        <v>43726</v>
      </c>
      <c r="B969" s="4">
        <v>64.290000000000006</v>
      </c>
    </row>
    <row r="970" spans="1:2">
      <c r="A970" s="1">
        <v>43727</v>
      </c>
      <c r="B970" s="4">
        <v>64.25</v>
      </c>
    </row>
    <row r="971" spans="1:2">
      <c r="A971" s="1">
        <v>43728</v>
      </c>
      <c r="B971" s="4">
        <v>65.23</v>
      </c>
    </row>
    <row r="972" spans="1:2">
      <c r="A972" s="1">
        <v>43731</v>
      </c>
      <c r="B972" s="4">
        <v>64.66</v>
      </c>
    </row>
    <row r="973" spans="1:2">
      <c r="A973" s="1">
        <v>43732</v>
      </c>
      <c r="B973" s="4">
        <v>64.13</v>
      </c>
    </row>
    <row r="974" spans="1:2">
      <c r="A974" s="1">
        <v>43733</v>
      </c>
      <c r="B974" s="4">
        <v>62.41</v>
      </c>
    </row>
    <row r="975" spans="1:2">
      <c r="A975" s="1">
        <v>43734</v>
      </c>
      <c r="B975" s="4">
        <v>62.08</v>
      </c>
    </row>
    <row r="976" spans="1:2">
      <c r="A976" s="1">
        <v>43735</v>
      </c>
      <c r="B976" s="4">
        <v>62.48</v>
      </c>
    </row>
    <row r="977" spans="1:2">
      <c r="A977" s="1">
        <v>43738</v>
      </c>
      <c r="B977" s="4">
        <v>60.99</v>
      </c>
    </row>
    <row r="978" spans="1:2">
      <c r="A978" s="1">
        <v>43739</v>
      </c>
      <c r="B978" s="4">
        <v>60.06</v>
      </c>
    </row>
    <row r="979" spans="1:2">
      <c r="A979" s="1">
        <v>43740</v>
      </c>
      <c r="B979" s="4">
        <v>57.92</v>
      </c>
    </row>
    <row r="980" spans="1:2">
      <c r="A980" s="1">
        <v>43741</v>
      </c>
      <c r="B980" s="4">
        <v>58.01</v>
      </c>
    </row>
    <row r="981" spans="1:2">
      <c r="A981" s="1">
        <v>43742</v>
      </c>
      <c r="B981" s="4">
        <v>59.13</v>
      </c>
    </row>
    <row r="982" spans="1:2">
      <c r="A982" s="1">
        <v>43745</v>
      </c>
      <c r="B982" s="4">
        <v>59.46</v>
      </c>
    </row>
    <row r="983" spans="1:2">
      <c r="A983" s="1">
        <v>43746</v>
      </c>
      <c r="B983" s="4">
        <v>58.14</v>
      </c>
    </row>
    <row r="984" spans="1:2">
      <c r="A984" s="1">
        <v>43747</v>
      </c>
      <c r="B984" s="4">
        <v>59.7</v>
      </c>
    </row>
    <row r="985" spans="1:2">
      <c r="A985" s="1">
        <v>43748</v>
      </c>
      <c r="B985" s="4">
        <v>59.08</v>
      </c>
    </row>
    <row r="986" spans="1:2">
      <c r="A986" s="1">
        <v>43749</v>
      </c>
      <c r="B986" s="4">
        <v>60.59</v>
      </c>
    </row>
    <row r="987" spans="1:2">
      <c r="A987" s="1">
        <v>43752</v>
      </c>
      <c r="B987" s="4">
        <v>58.81</v>
      </c>
    </row>
    <row r="988" spans="1:2">
      <c r="A988" s="1">
        <v>43753</v>
      </c>
      <c r="B988" s="4">
        <v>59.19</v>
      </c>
    </row>
    <row r="989" spans="1:2">
      <c r="A989" s="1">
        <v>43754</v>
      </c>
      <c r="B989" s="4">
        <v>59.3</v>
      </c>
    </row>
    <row r="990" spans="1:2">
      <c r="A990" s="1">
        <v>43755</v>
      </c>
      <c r="B990" s="4">
        <v>59.35</v>
      </c>
    </row>
    <row r="991" spans="1:2">
      <c r="A991" s="1">
        <v>43756</v>
      </c>
      <c r="B991" s="4">
        <v>59.96</v>
      </c>
    </row>
    <row r="992" spans="1:2">
      <c r="A992" s="1">
        <v>43759</v>
      </c>
      <c r="B992" s="4">
        <v>58.95</v>
      </c>
    </row>
    <row r="993" spans="1:2">
      <c r="A993" s="1">
        <v>43760</v>
      </c>
      <c r="B993" s="4">
        <v>60.5</v>
      </c>
    </row>
    <row r="994" spans="1:2">
      <c r="A994" s="1">
        <v>43761</v>
      </c>
      <c r="B994" s="4">
        <v>60.52</v>
      </c>
    </row>
    <row r="995" spans="1:2">
      <c r="A995" s="1">
        <v>43762</v>
      </c>
      <c r="B995" s="4">
        <v>61.71</v>
      </c>
    </row>
    <row r="996" spans="1:2">
      <c r="A996" s="1">
        <v>43763</v>
      </c>
      <c r="B996" s="4">
        <v>62.06</v>
      </c>
    </row>
    <row r="997" spans="1:2">
      <c r="A997" s="1">
        <v>43766</v>
      </c>
      <c r="B997" s="4">
        <v>60.39</v>
      </c>
    </row>
    <row r="998" spans="1:2">
      <c r="A998" s="1">
        <v>43767</v>
      </c>
      <c r="B998" s="4">
        <v>61.05</v>
      </c>
    </row>
    <row r="999" spans="1:2">
      <c r="A999" s="1">
        <v>43768</v>
      </c>
      <c r="B999" s="4">
        <v>60.22</v>
      </c>
    </row>
    <row r="1000" spans="1:2">
      <c r="A1000" s="1">
        <v>43769</v>
      </c>
      <c r="B1000" s="4">
        <v>59.3</v>
      </c>
    </row>
    <row r="1001" spans="1:2">
      <c r="A1001" s="1">
        <v>43770</v>
      </c>
      <c r="B1001" s="4">
        <v>60.17</v>
      </c>
    </row>
    <row r="1002" spans="1:2">
      <c r="A1002" s="1">
        <v>43773</v>
      </c>
      <c r="B1002" s="4">
        <v>62.52</v>
      </c>
    </row>
    <row r="1003" spans="1:2">
      <c r="A1003" s="1">
        <v>43774</v>
      </c>
      <c r="B1003" s="4">
        <v>62.72</v>
      </c>
    </row>
    <row r="1004" spans="1:2">
      <c r="A1004" s="1">
        <v>43775</v>
      </c>
      <c r="B1004" s="4">
        <v>62.11</v>
      </c>
    </row>
    <row r="1005" spans="1:2">
      <c r="A1005" s="1">
        <v>43776</v>
      </c>
      <c r="B1005" s="4">
        <v>62.6</v>
      </c>
    </row>
    <row r="1006" spans="1:2">
      <c r="A1006" s="1">
        <v>43777</v>
      </c>
      <c r="B1006" s="4">
        <v>62</v>
      </c>
    </row>
    <row r="1007" spans="1:2">
      <c r="A1007" s="1">
        <v>43780</v>
      </c>
      <c r="B1007" s="4">
        <v>62.58</v>
      </c>
    </row>
    <row r="1008" spans="1:2">
      <c r="A1008" s="1">
        <v>43781</v>
      </c>
      <c r="B1008" s="4">
        <v>62.19</v>
      </c>
    </row>
    <row r="1009" spans="1:2">
      <c r="A1009" s="1">
        <v>43782</v>
      </c>
      <c r="B1009" s="4">
        <v>62.27</v>
      </c>
    </row>
    <row r="1010" spans="1:2">
      <c r="A1010" s="1">
        <v>43783</v>
      </c>
      <c r="B1010" s="4">
        <v>62.46</v>
      </c>
    </row>
    <row r="1011" spans="1:2">
      <c r="A1011" s="1">
        <v>43784</v>
      </c>
      <c r="B1011" s="4">
        <v>63.32</v>
      </c>
    </row>
    <row r="1012" spans="1:2">
      <c r="A1012" s="1">
        <v>43787</v>
      </c>
      <c r="B1012" s="4">
        <v>62.82</v>
      </c>
    </row>
    <row r="1013" spans="1:2">
      <c r="A1013" s="1">
        <v>43788</v>
      </c>
      <c r="B1013" s="4">
        <v>62.37</v>
      </c>
    </row>
    <row r="1014" spans="1:2">
      <c r="A1014" s="1">
        <v>43789</v>
      </c>
      <c r="B1014" s="4">
        <v>63.8</v>
      </c>
    </row>
    <row r="1015" spans="1:2">
      <c r="A1015" s="1">
        <v>43790</v>
      </c>
      <c r="B1015" s="4">
        <v>64.989999999999995</v>
      </c>
    </row>
    <row r="1016" spans="1:2">
      <c r="A1016" s="1">
        <v>43791</v>
      </c>
      <c r="B1016" s="4">
        <v>64.83</v>
      </c>
    </row>
    <row r="1017" spans="1:2">
      <c r="A1017" s="1">
        <v>43794</v>
      </c>
      <c r="B1017" s="4">
        <v>64.67</v>
      </c>
    </row>
    <row r="1018" spans="1:2">
      <c r="A1018" s="1">
        <v>43795</v>
      </c>
      <c r="B1018" s="4">
        <v>64.819999999999993</v>
      </c>
    </row>
    <row r="1019" spans="1:2">
      <c r="A1019" s="1">
        <v>43796</v>
      </c>
      <c r="B1019" s="4">
        <v>65.03</v>
      </c>
    </row>
    <row r="1020" spans="1:2">
      <c r="A1020" s="1">
        <v>43797</v>
      </c>
      <c r="B1020" s="4">
        <v>64.680000000000007</v>
      </c>
    </row>
    <row r="1021" spans="1:2">
      <c r="A1021" s="1">
        <v>43798</v>
      </c>
      <c r="B1021" s="4">
        <v>64.5</v>
      </c>
    </row>
    <row r="1022" spans="1:2">
      <c r="A1022" s="1">
        <v>43801</v>
      </c>
      <c r="B1022" s="4">
        <v>63.2</v>
      </c>
    </row>
    <row r="1023" spans="1:2">
      <c r="A1023" s="1">
        <v>43802</v>
      </c>
      <c r="B1023" s="4">
        <v>62.95</v>
      </c>
    </row>
    <row r="1024" spans="1:2">
      <c r="A1024" s="1">
        <v>43803</v>
      </c>
      <c r="B1024" s="4">
        <v>65.25</v>
      </c>
    </row>
    <row r="1025" spans="1:2">
      <c r="A1025" s="1">
        <v>43804</v>
      </c>
      <c r="B1025" s="4">
        <v>65.67</v>
      </c>
    </row>
    <row r="1026" spans="1:2">
      <c r="A1026" s="1">
        <v>43805</v>
      </c>
      <c r="B1026" s="4">
        <v>66.5</v>
      </c>
    </row>
    <row r="1027" spans="1:2">
      <c r="A1027" s="1">
        <v>43808</v>
      </c>
      <c r="B1027" s="4">
        <v>66.44</v>
      </c>
    </row>
    <row r="1028" spans="1:2">
      <c r="A1028" s="1">
        <v>43809</v>
      </c>
      <c r="B1028" s="4">
        <v>66.569999999999993</v>
      </c>
    </row>
    <row r="1029" spans="1:2">
      <c r="A1029" s="1">
        <v>43810</v>
      </c>
      <c r="B1029" s="4">
        <v>65.37</v>
      </c>
    </row>
    <row r="1030" spans="1:2">
      <c r="A1030" s="1">
        <v>43811</v>
      </c>
      <c r="B1030" s="4">
        <v>66.67</v>
      </c>
    </row>
    <row r="1031" spans="1:2">
      <c r="A1031" s="1">
        <v>43812</v>
      </c>
      <c r="B1031" s="4">
        <v>67.44</v>
      </c>
    </row>
    <row r="1032" spans="1:2">
      <c r="A1032" s="1">
        <v>43815</v>
      </c>
      <c r="B1032" s="4">
        <v>68.040000000000006</v>
      </c>
    </row>
    <row r="1033" spans="1:2">
      <c r="A1033" s="1">
        <v>43816</v>
      </c>
      <c r="B1033" s="4">
        <v>68.989999999999995</v>
      </c>
    </row>
    <row r="1034" spans="1:2">
      <c r="A1034" s="1">
        <v>43817</v>
      </c>
      <c r="B1034" s="4">
        <v>69.12</v>
      </c>
    </row>
    <row r="1035" spans="1:2">
      <c r="A1035" s="1">
        <v>43818</v>
      </c>
      <c r="B1035" s="4">
        <v>69.7</v>
      </c>
    </row>
    <row r="1036" spans="1:2">
      <c r="A1036" s="1">
        <v>43819</v>
      </c>
      <c r="B1036" s="4">
        <v>68.66</v>
      </c>
    </row>
    <row r="1037" spans="1:2">
      <c r="A1037" s="1">
        <v>43822</v>
      </c>
      <c r="B1037" s="4">
        <v>67.489999999999995</v>
      </c>
    </row>
    <row r="1038" spans="1:2">
      <c r="A1038" s="1">
        <v>43823</v>
      </c>
      <c r="B1038" s="4">
        <v>69.260000000000005</v>
      </c>
    </row>
    <row r="1039" spans="1:2">
      <c r="A1039" s="1">
        <v>43824</v>
      </c>
      <c r="B1039" s="4"/>
    </row>
    <row r="1040" spans="1:2">
      <c r="A1040" s="1">
        <v>43825</v>
      </c>
      <c r="B1040" s="4">
        <v>69.260000000000005</v>
      </c>
    </row>
    <row r="1041" spans="1:2">
      <c r="A1041" s="1">
        <v>43826</v>
      </c>
      <c r="B1041" s="4">
        <v>68.91</v>
      </c>
    </row>
    <row r="1042" spans="1:2">
      <c r="A1042" s="1">
        <v>43829</v>
      </c>
      <c r="B1042" s="4">
        <v>68.3</v>
      </c>
    </row>
    <row r="1043" spans="1:2">
      <c r="A1043" s="1">
        <v>43830</v>
      </c>
      <c r="B1043" s="4">
        <v>67.77</v>
      </c>
    </row>
    <row r="1044" spans="1:2">
      <c r="A1044" s="1">
        <v>43831</v>
      </c>
      <c r="B1044" s="4"/>
    </row>
    <row r="1045" spans="1:2">
      <c r="A1045" s="1">
        <v>43832</v>
      </c>
      <c r="B1045" s="4">
        <v>67.05</v>
      </c>
    </row>
    <row r="1046" spans="1:2">
      <c r="A1046" s="1">
        <v>43833</v>
      </c>
      <c r="B1046" s="4">
        <v>69.08</v>
      </c>
    </row>
    <row r="1047" spans="1:2">
      <c r="A1047" s="1">
        <v>43836</v>
      </c>
      <c r="B1047" s="4">
        <v>70.25</v>
      </c>
    </row>
    <row r="1048" spans="1:2">
      <c r="A1048" s="1">
        <v>43837</v>
      </c>
      <c r="B1048" s="4">
        <v>68.739999999999995</v>
      </c>
    </row>
    <row r="1049" spans="1:2">
      <c r="A1049" s="1">
        <v>43838</v>
      </c>
      <c r="B1049" s="4">
        <v>67.31</v>
      </c>
    </row>
    <row r="1050" spans="1:2">
      <c r="A1050" s="1">
        <v>43839</v>
      </c>
      <c r="B1050" s="4">
        <v>66.58</v>
      </c>
    </row>
    <row r="1051" spans="1:2">
      <c r="A1051" s="1">
        <v>43840</v>
      </c>
      <c r="B1051" s="4">
        <v>66.77</v>
      </c>
    </row>
    <row r="1052" spans="1:2">
      <c r="A1052" s="1">
        <v>43843</v>
      </c>
      <c r="B1052" s="4">
        <v>64.14</v>
      </c>
    </row>
    <row r="1053" spans="1:2">
      <c r="A1053" s="1">
        <v>43844</v>
      </c>
      <c r="B1053" s="4">
        <v>64.45</v>
      </c>
    </row>
    <row r="1054" spans="1:2">
      <c r="A1054" s="1">
        <v>43845</v>
      </c>
      <c r="B1054" s="4">
        <v>63.29</v>
      </c>
    </row>
    <row r="1055" spans="1:2">
      <c r="A1055" s="1">
        <v>43846</v>
      </c>
      <c r="B1055" s="4">
        <v>64.63</v>
      </c>
    </row>
    <row r="1056" spans="1:2">
      <c r="A1056" s="1">
        <v>43847</v>
      </c>
      <c r="B1056" s="4">
        <v>64.05</v>
      </c>
    </row>
    <row r="1057" spans="1:2">
      <c r="A1057" s="1">
        <v>43850</v>
      </c>
      <c r="B1057" s="4">
        <v>64.63</v>
      </c>
    </row>
    <row r="1058" spans="1:2">
      <c r="A1058" s="1">
        <v>43851</v>
      </c>
      <c r="B1058" s="4">
        <v>63.66</v>
      </c>
    </row>
    <row r="1059" spans="1:2">
      <c r="A1059" s="1">
        <v>43852</v>
      </c>
      <c r="B1059" s="4">
        <v>62.11</v>
      </c>
    </row>
    <row r="1060" spans="1:2">
      <c r="A1060" s="1">
        <v>43853</v>
      </c>
      <c r="B1060" s="4">
        <v>61.26</v>
      </c>
    </row>
    <row r="1061" spans="1:2">
      <c r="A1061" s="1">
        <v>43854</v>
      </c>
      <c r="B1061" s="4">
        <v>59.34</v>
      </c>
    </row>
    <row r="1062" spans="1:2">
      <c r="A1062" s="1">
        <v>43857</v>
      </c>
      <c r="B1062" s="4">
        <v>58.54</v>
      </c>
    </row>
    <row r="1063" spans="1:2">
      <c r="A1063" s="1">
        <v>43858</v>
      </c>
      <c r="B1063" s="4">
        <v>59.37</v>
      </c>
    </row>
    <row r="1064" spans="1:2">
      <c r="A1064" s="1">
        <v>43859</v>
      </c>
      <c r="B1064" s="4">
        <v>59.46</v>
      </c>
    </row>
    <row r="1065" spans="1:2">
      <c r="A1065" s="1">
        <v>43860</v>
      </c>
      <c r="B1065" s="4">
        <v>57.72</v>
      </c>
    </row>
    <row r="1066" spans="1:2">
      <c r="A1066" s="1">
        <v>43861</v>
      </c>
      <c r="B1066" s="4">
        <v>57.77</v>
      </c>
    </row>
    <row r="1067" spans="1:2">
      <c r="A1067" s="1">
        <v>43864</v>
      </c>
      <c r="B1067" s="4">
        <v>54</v>
      </c>
    </row>
    <row r="1068" spans="1:2">
      <c r="A1068" s="1">
        <v>43865</v>
      </c>
      <c r="B1068" s="4">
        <v>53.9</v>
      </c>
    </row>
    <row r="1069" spans="1:2">
      <c r="A1069" s="1">
        <v>43866</v>
      </c>
      <c r="B1069" s="4">
        <v>55.36</v>
      </c>
    </row>
    <row r="1070" spans="1:2">
      <c r="A1070" s="1">
        <v>43867</v>
      </c>
      <c r="B1070" s="4">
        <v>55.18</v>
      </c>
    </row>
    <row r="1071" spans="1:2">
      <c r="A1071" s="1">
        <v>43868</v>
      </c>
      <c r="B1071" s="4">
        <v>54.53</v>
      </c>
    </row>
    <row r="1072" spans="1:2">
      <c r="A1072" s="1">
        <v>43871</v>
      </c>
      <c r="B1072" s="4">
        <v>53.39</v>
      </c>
    </row>
    <row r="1073" spans="1:2">
      <c r="A1073" s="1">
        <v>43872</v>
      </c>
      <c r="B1073" s="4">
        <v>54</v>
      </c>
    </row>
    <row r="1074" spans="1:2">
      <c r="A1074" s="1">
        <v>43873</v>
      </c>
      <c r="B1074" s="4">
        <v>55.54</v>
      </c>
    </row>
    <row r="1075" spans="1:2">
      <c r="A1075" s="1">
        <v>43874</v>
      </c>
      <c r="B1075" s="4">
        <v>56.34</v>
      </c>
    </row>
    <row r="1076" spans="1:2">
      <c r="A1076" s="1">
        <v>43875</v>
      </c>
      <c r="B1076" s="4">
        <v>57.37</v>
      </c>
    </row>
    <row r="1077" spans="1:2">
      <c r="A1077" s="1">
        <v>43878</v>
      </c>
      <c r="B1077" s="4">
        <v>57.83</v>
      </c>
    </row>
    <row r="1078" spans="1:2">
      <c r="A1078" s="1">
        <v>43879</v>
      </c>
      <c r="B1078" s="4">
        <v>57.35</v>
      </c>
    </row>
    <row r="1079" spans="1:2">
      <c r="A1079" s="1">
        <v>43880</v>
      </c>
      <c r="B1079" s="4">
        <v>59.72</v>
      </c>
    </row>
    <row r="1080" spans="1:2">
      <c r="A1080" s="1">
        <v>43881</v>
      </c>
      <c r="B1080" s="4">
        <v>59.57</v>
      </c>
    </row>
    <row r="1081" spans="1:2">
      <c r="A1081" s="1">
        <v>43882</v>
      </c>
      <c r="B1081" s="4">
        <v>58.6</v>
      </c>
    </row>
    <row r="1082" spans="1:2">
      <c r="A1082" s="1">
        <v>43885</v>
      </c>
      <c r="B1082" s="4">
        <v>56.71</v>
      </c>
    </row>
    <row r="1083" spans="1:2">
      <c r="A1083" s="1">
        <v>43886</v>
      </c>
      <c r="B1083" s="4">
        <v>55.29</v>
      </c>
    </row>
    <row r="1084" spans="1:2">
      <c r="A1084" s="1">
        <v>43887</v>
      </c>
      <c r="B1084" s="4">
        <v>54.96</v>
      </c>
    </row>
    <row r="1085" spans="1:2">
      <c r="A1085" s="1">
        <v>43888</v>
      </c>
      <c r="B1085" s="4">
        <v>52.19</v>
      </c>
    </row>
    <row r="1086" spans="1:2">
      <c r="A1086" s="1">
        <v>43889</v>
      </c>
      <c r="B1086" s="4">
        <v>51.31</v>
      </c>
    </row>
    <row r="1087" spans="1:2">
      <c r="A1087" s="1">
        <v>43892</v>
      </c>
      <c r="B1087" s="4">
        <v>52.52</v>
      </c>
    </row>
    <row r="1088" spans="1:2">
      <c r="A1088" s="1">
        <v>43893</v>
      </c>
      <c r="B1088" s="4">
        <v>52.24</v>
      </c>
    </row>
    <row r="1089" spans="1:2">
      <c r="A1089" s="1">
        <v>43894</v>
      </c>
      <c r="B1089" s="4">
        <v>51.86</v>
      </c>
    </row>
    <row r="1090" spans="1:2">
      <c r="A1090" s="1">
        <v>43895</v>
      </c>
      <c r="B1090" s="4">
        <v>51.29</v>
      </c>
    </row>
    <row r="1091" spans="1:2">
      <c r="A1091" s="1">
        <v>43896</v>
      </c>
      <c r="B1091" s="4">
        <v>45.6</v>
      </c>
    </row>
    <row r="1092" spans="1:2">
      <c r="A1092" s="1">
        <v>43899</v>
      </c>
      <c r="B1092" s="4">
        <v>35.33</v>
      </c>
    </row>
    <row r="1093" spans="1:2">
      <c r="A1093" s="1">
        <v>43900</v>
      </c>
      <c r="B1093" s="4">
        <v>35.57</v>
      </c>
    </row>
    <row r="1094" spans="1:2">
      <c r="A1094" s="1">
        <v>43901</v>
      </c>
      <c r="B1094" s="4">
        <v>34.450000000000003</v>
      </c>
    </row>
    <row r="1095" spans="1:2">
      <c r="A1095" s="1">
        <v>43902</v>
      </c>
      <c r="B1095" s="4">
        <v>31.02</v>
      </c>
    </row>
    <row r="1096" spans="1:2">
      <c r="A1096" s="1">
        <v>43903</v>
      </c>
      <c r="B1096" s="4">
        <v>32.25</v>
      </c>
    </row>
    <row r="1097" spans="1:2">
      <c r="A1097" s="1">
        <v>43906</v>
      </c>
      <c r="B1097" s="4">
        <v>27.98</v>
      </c>
    </row>
    <row r="1098" spans="1:2">
      <c r="A1098" s="1">
        <v>43907</v>
      </c>
      <c r="B1098" s="4">
        <v>27.97</v>
      </c>
    </row>
    <row r="1099" spans="1:2">
      <c r="A1099" s="1">
        <v>43908</v>
      </c>
      <c r="B1099" s="4">
        <v>22.79</v>
      </c>
    </row>
    <row r="1100" spans="1:2">
      <c r="A1100" s="1">
        <v>43909</v>
      </c>
      <c r="B1100" s="4">
        <v>23.98</v>
      </c>
    </row>
    <row r="1101" spans="1:2">
      <c r="A1101" s="1">
        <v>43910</v>
      </c>
      <c r="B1101" s="4">
        <v>25.55</v>
      </c>
    </row>
    <row r="1102" spans="1:2">
      <c r="A1102" s="1">
        <v>43913</v>
      </c>
      <c r="B1102" s="4">
        <v>23.75</v>
      </c>
    </row>
    <row r="1103" spans="1:2">
      <c r="A1103" s="1">
        <v>43914</v>
      </c>
      <c r="B1103" s="4">
        <v>24.5</v>
      </c>
    </row>
    <row r="1104" spans="1:2">
      <c r="A1104" s="1">
        <v>43915</v>
      </c>
      <c r="B1104" s="4">
        <v>25.62</v>
      </c>
    </row>
    <row r="1105" spans="1:2">
      <c r="A1105" s="1">
        <v>43916</v>
      </c>
      <c r="B1105" s="4">
        <v>23.55</v>
      </c>
    </row>
    <row r="1106" spans="1:2">
      <c r="A1106" s="1">
        <v>43917</v>
      </c>
      <c r="B1106" s="4">
        <v>22.39</v>
      </c>
    </row>
    <row r="1107" spans="1:2">
      <c r="A1107" s="1">
        <v>43920</v>
      </c>
      <c r="B1107" s="4">
        <v>19.190000000000001</v>
      </c>
    </row>
    <row r="1108" spans="1:2">
      <c r="A1108" s="1">
        <v>43921</v>
      </c>
      <c r="B1108" s="4">
        <v>14.85</v>
      </c>
    </row>
    <row r="1109" spans="1:2">
      <c r="A1109" s="1">
        <v>43922</v>
      </c>
      <c r="B1109" s="4">
        <v>14.97</v>
      </c>
    </row>
    <row r="1110" spans="1:2">
      <c r="A1110" s="1">
        <v>43923</v>
      </c>
      <c r="B1110" s="4">
        <v>20.239999999999998</v>
      </c>
    </row>
    <row r="1111" spans="1:2">
      <c r="A1111" s="1">
        <v>43924</v>
      </c>
      <c r="B1111" s="4">
        <v>24.33</v>
      </c>
    </row>
    <row r="1112" spans="1:2">
      <c r="A1112" s="1">
        <v>43927</v>
      </c>
      <c r="B1112" s="4">
        <v>22.58</v>
      </c>
    </row>
    <row r="1113" spans="1:2">
      <c r="A1113" s="1">
        <v>43928</v>
      </c>
      <c r="B1113" s="4">
        <v>22.1</v>
      </c>
    </row>
    <row r="1114" spans="1:2">
      <c r="A1114" s="1">
        <v>43929</v>
      </c>
      <c r="B1114" s="4">
        <v>25.22</v>
      </c>
    </row>
    <row r="1115" spans="1:2">
      <c r="A1115" s="1">
        <v>43930</v>
      </c>
      <c r="B1115" s="4">
        <v>20.23</v>
      </c>
    </row>
    <row r="1116" spans="1:2">
      <c r="A1116" s="1">
        <v>43931</v>
      </c>
      <c r="B1116" s="4"/>
    </row>
    <row r="1117" spans="1:2">
      <c r="A1117" s="1">
        <v>43934</v>
      </c>
      <c r="B1117" s="4"/>
    </row>
    <row r="1118" spans="1:2">
      <c r="A1118" s="1">
        <v>43935</v>
      </c>
      <c r="B1118" s="4">
        <v>21.74</v>
      </c>
    </row>
    <row r="1119" spans="1:2">
      <c r="A1119" s="1">
        <v>43936</v>
      </c>
      <c r="B1119" s="4">
        <v>19.8</v>
      </c>
    </row>
    <row r="1120" spans="1:2">
      <c r="A1120" s="1">
        <v>43937</v>
      </c>
      <c r="B1120" s="4">
        <v>18.690000000000001</v>
      </c>
    </row>
    <row r="1121" spans="1:2">
      <c r="A1121" s="1">
        <v>43938</v>
      </c>
      <c r="B1121" s="4">
        <v>19.75</v>
      </c>
    </row>
    <row r="1122" spans="1:2">
      <c r="A1122" s="1">
        <v>43941</v>
      </c>
      <c r="B1122" s="4">
        <v>17.36</v>
      </c>
    </row>
    <row r="1123" spans="1:2">
      <c r="A1123" s="1">
        <v>43942</v>
      </c>
      <c r="B1123" s="4">
        <v>9.1199999999999992</v>
      </c>
    </row>
    <row r="1124" spans="1:2">
      <c r="A1124" s="1">
        <v>43943</v>
      </c>
      <c r="B1124" s="4">
        <v>13.77</v>
      </c>
    </row>
    <row r="1125" spans="1:2">
      <c r="A1125" s="1">
        <v>43944</v>
      </c>
      <c r="B1125" s="4">
        <v>15.06</v>
      </c>
    </row>
    <row r="1126" spans="1:2">
      <c r="A1126" s="1">
        <v>43945</v>
      </c>
      <c r="B1126" s="4">
        <v>15.87</v>
      </c>
    </row>
    <row r="1127" spans="1:2">
      <c r="A1127" s="1">
        <v>43948</v>
      </c>
      <c r="B1127" s="4">
        <v>15.17</v>
      </c>
    </row>
    <row r="1128" spans="1:2">
      <c r="A1128" s="1">
        <v>43949</v>
      </c>
      <c r="B1128" s="4">
        <v>15.6</v>
      </c>
    </row>
    <row r="1129" spans="1:2">
      <c r="A1129" s="1">
        <v>43950</v>
      </c>
      <c r="B1129" s="4">
        <v>17.86</v>
      </c>
    </row>
    <row r="1130" spans="1:2">
      <c r="A1130" s="1">
        <v>43951</v>
      </c>
      <c r="B1130" s="4">
        <v>18.11</v>
      </c>
    </row>
    <row r="1131" spans="1:2">
      <c r="A1131" s="1">
        <v>43952</v>
      </c>
      <c r="B1131" s="4">
        <v>18.489999999999998</v>
      </c>
    </row>
    <row r="1132" spans="1:2">
      <c r="A1132" s="1">
        <v>43955</v>
      </c>
      <c r="B1132" s="4">
        <v>20.399999999999999</v>
      </c>
    </row>
    <row r="1133" spans="1:2">
      <c r="A1133" s="1">
        <v>43956</v>
      </c>
      <c r="B1133" s="4">
        <v>25.46</v>
      </c>
    </row>
    <row r="1134" spans="1:2">
      <c r="A1134" s="1">
        <v>43957</v>
      </c>
      <c r="B1134" s="4">
        <v>24.2</v>
      </c>
    </row>
    <row r="1135" spans="1:2">
      <c r="A1135" s="1">
        <v>43958</v>
      </c>
      <c r="B1135" s="4">
        <v>24.23</v>
      </c>
    </row>
    <row r="1136" spans="1:2">
      <c r="A1136" s="1">
        <v>43959</v>
      </c>
      <c r="B1136" s="4"/>
    </row>
    <row r="1137" spans="1:2">
      <c r="A1137" s="1">
        <v>43962</v>
      </c>
      <c r="B1137" s="4">
        <v>25.53</v>
      </c>
    </row>
    <row r="1138" spans="1:2">
      <c r="A1138" s="1">
        <v>43963</v>
      </c>
      <c r="B1138" s="4">
        <v>26.67</v>
      </c>
    </row>
    <row r="1139" spans="1:2">
      <c r="A1139" s="1">
        <v>43964</v>
      </c>
      <c r="B1139" s="4">
        <v>27.89</v>
      </c>
    </row>
    <row r="1140" spans="1:2">
      <c r="A1140" s="1">
        <v>43965</v>
      </c>
      <c r="B1140" s="4">
        <v>29.87</v>
      </c>
    </row>
    <row r="1141" spans="1:2">
      <c r="A1141" s="1">
        <v>43966</v>
      </c>
      <c r="B1141" s="4">
        <v>30.95</v>
      </c>
    </row>
    <row r="1142" spans="1:2">
      <c r="A1142" s="1">
        <v>43969</v>
      </c>
      <c r="B1142" s="4">
        <v>33.299999999999997</v>
      </c>
    </row>
    <row r="1143" spans="1:2">
      <c r="A1143" s="1">
        <v>43970</v>
      </c>
      <c r="B1143" s="4">
        <v>33.06</v>
      </c>
    </row>
    <row r="1144" spans="1:2">
      <c r="A1144" s="1">
        <v>43971</v>
      </c>
      <c r="B1144" s="4">
        <v>34.76</v>
      </c>
    </row>
    <row r="1145" spans="1:2">
      <c r="A1145" s="1">
        <v>43972</v>
      </c>
      <c r="B1145" s="4">
        <v>34.78</v>
      </c>
    </row>
    <row r="1146" spans="1:2">
      <c r="A1146" s="1">
        <v>43973</v>
      </c>
      <c r="B1146" s="4">
        <v>33.799999999999997</v>
      </c>
    </row>
    <row r="1147" spans="1:2">
      <c r="A1147" s="1">
        <v>43976</v>
      </c>
      <c r="B1147" s="4"/>
    </row>
    <row r="1148" spans="1:2">
      <c r="A1148" s="1">
        <v>43977</v>
      </c>
      <c r="B1148" s="4">
        <v>33.950000000000003</v>
      </c>
    </row>
    <row r="1149" spans="1:2">
      <c r="A1149" s="1">
        <v>43978</v>
      </c>
      <c r="B1149" s="4">
        <v>32.729999999999997</v>
      </c>
    </row>
    <row r="1150" spans="1:2">
      <c r="A1150" s="1">
        <v>43979</v>
      </c>
      <c r="B1150" s="4">
        <v>33.979999999999997</v>
      </c>
    </row>
    <row r="1151" spans="1:2">
      <c r="A1151" s="1">
        <v>43980</v>
      </c>
      <c r="B1151" s="4">
        <v>34.15</v>
      </c>
    </row>
    <row r="1152" spans="1:2">
      <c r="A1152" s="1">
        <v>43983</v>
      </c>
      <c r="B1152" s="4">
        <v>36.74</v>
      </c>
    </row>
    <row r="1153" spans="1:2">
      <c r="A1153" s="1">
        <v>43984</v>
      </c>
      <c r="B1153" s="4">
        <v>37.72</v>
      </c>
    </row>
    <row r="1154" spans="1:2">
      <c r="A1154" s="1">
        <v>43985</v>
      </c>
      <c r="B1154" s="4">
        <v>37.979999999999997</v>
      </c>
    </row>
    <row r="1155" spans="1:2">
      <c r="A1155" s="1">
        <v>43986</v>
      </c>
      <c r="B1155" s="4">
        <v>38.409999999999997</v>
      </c>
    </row>
    <row r="1156" spans="1:2">
      <c r="A1156" s="1">
        <v>43987</v>
      </c>
      <c r="B1156" s="4">
        <v>41</v>
      </c>
    </row>
    <row r="1157" spans="1:2">
      <c r="A1157" s="1">
        <v>43990</v>
      </c>
      <c r="B1157" s="4">
        <v>39.659999999999997</v>
      </c>
    </row>
    <row r="1158" spans="1:2">
      <c r="A1158" s="1">
        <v>43991</v>
      </c>
      <c r="B1158" s="4">
        <v>40.450000000000003</v>
      </c>
    </row>
    <row r="1159" spans="1:2">
      <c r="A1159" s="1">
        <v>43992</v>
      </c>
      <c r="B1159" s="4">
        <v>41.18</v>
      </c>
    </row>
    <row r="1160" spans="1:2">
      <c r="A1160" s="1">
        <v>43993</v>
      </c>
      <c r="B1160" s="4">
        <v>37.76</v>
      </c>
    </row>
    <row r="1161" spans="1:2">
      <c r="A1161" s="1">
        <v>43994</v>
      </c>
      <c r="B1161" s="4">
        <v>38.54</v>
      </c>
    </row>
    <row r="1162" spans="1:2">
      <c r="A1162" s="1">
        <v>43997</v>
      </c>
      <c r="B1162" s="4">
        <v>39.44</v>
      </c>
    </row>
    <row r="1163" spans="1:2">
      <c r="A1163" s="1">
        <v>43998</v>
      </c>
      <c r="B1163" s="4">
        <v>40.75</v>
      </c>
    </row>
    <row r="1164" spans="1:2">
      <c r="A1164" s="1">
        <v>43999</v>
      </c>
      <c r="B1164" s="4">
        <v>40.47</v>
      </c>
    </row>
    <row r="1165" spans="1:2">
      <c r="A1165" s="1">
        <v>44000</v>
      </c>
      <c r="B1165" s="4">
        <v>41.75</v>
      </c>
    </row>
    <row r="1166" spans="1:2">
      <c r="A1166" s="1">
        <v>44001</v>
      </c>
      <c r="B1166" s="4">
        <v>42.33</v>
      </c>
    </row>
    <row r="1167" spans="1:2">
      <c r="A1167" s="1">
        <v>44004</v>
      </c>
      <c r="B1167" s="4">
        <v>43.2</v>
      </c>
    </row>
    <row r="1168" spans="1:2">
      <c r="A1168" s="1">
        <v>44005</v>
      </c>
      <c r="B1168" s="4">
        <v>42.72</v>
      </c>
    </row>
    <row r="1169" spans="1:2">
      <c r="A1169" s="1">
        <v>44006</v>
      </c>
      <c r="B1169" s="4">
        <v>40.4</v>
      </c>
    </row>
    <row r="1170" spans="1:2">
      <c r="A1170" s="1">
        <v>44007</v>
      </c>
      <c r="B1170" s="4">
        <v>41.18</v>
      </c>
    </row>
    <row r="1171" spans="1:2">
      <c r="A1171" s="1">
        <v>44008</v>
      </c>
      <c r="B1171" s="4">
        <v>40.97</v>
      </c>
    </row>
    <row r="1172" spans="1:2">
      <c r="A1172" s="1">
        <v>44011</v>
      </c>
      <c r="B1172" s="4">
        <v>41.58</v>
      </c>
    </row>
    <row r="1173" spans="1:2">
      <c r="A1173" s="1">
        <v>44012</v>
      </c>
      <c r="B1173" s="4">
        <v>41.64</v>
      </c>
    </row>
    <row r="1174" spans="1:2">
      <c r="A1174" s="1">
        <v>44013</v>
      </c>
      <c r="B1174" s="4">
        <v>42.18</v>
      </c>
    </row>
    <row r="1175" spans="1:2">
      <c r="A1175" s="1">
        <v>44014</v>
      </c>
      <c r="B1175" s="4">
        <v>43.19</v>
      </c>
    </row>
    <row r="1176" spans="1:2">
      <c r="A1176" s="1">
        <v>44015</v>
      </c>
      <c r="B1176" s="4">
        <v>42.92</v>
      </c>
    </row>
    <row r="1177" spans="1:2">
      <c r="A1177" s="1">
        <v>44018</v>
      </c>
      <c r="B1177" s="4">
        <v>42.73</v>
      </c>
    </row>
    <row r="1178" spans="1:2">
      <c r="A1178" s="1">
        <v>44019</v>
      </c>
      <c r="B1178" s="4">
        <v>43.28</v>
      </c>
    </row>
    <row r="1179" spans="1:2">
      <c r="A1179" s="1">
        <v>44020</v>
      </c>
      <c r="B1179" s="4">
        <v>43.67</v>
      </c>
    </row>
    <row r="1180" spans="1:2">
      <c r="A1180" s="1">
        <v>44021</v>
      </c>
      <c r="B1180" s="4">
        <v>42.35</v>
      </c>
    </row>
    <row r="1181" spans="1:2">
      <c r="A1181" s="1">
        <v>44022</v>
      </c>
      <c r="B1181" s="4">
        <v>43.27</v>
      </c>
    </row>
    <row r="1182" spans="1:2">
      <c r="A1182" s="1">
        <v>44025</v>
      </c>
      <c r="B1182" s="4">
        <v>42.85</v>
      </c>
    </row>
    <row r="1183" spans="1:2">
      <c r="A1183" s="1">
        <v>44026</v>
      </c>
      <c r="B1183" s="4">
        <v>42.97</v>
      </c>
    </row>
    <row r="1184" spans="1:2">
      <c r="A1184" s="1">
        <v>44027</v>
      </c>
      <c r="B1184" s="4">
        <v>43.96</v>
      </c>
    </row>
    <row r="1185" spans="1:2">
      <c r="A1185" s="1">
        <v>44028</v>
      </c>
      <c r="B1185" s="4">
        <v>43.71</v>
      </c>
    </row>
    <row r="1186" spans="1:2">
      <c r="A1186" s="1">
        <v>44029</v>
      </c>
      <c r="B1186" s="4">
        <v>43.53</v>
      </c>
    </row>
    <row r="1187" spans="1:2">
      <c r="A1187" s="1">
        <v>44032</v>
      </c>
      <c r="B1187" s="4">
        <v>43.3</v>
      </c>
    </row>
    <row r="1188" spans="1:2">
      <c r="A1188" s="1">
        <v>44033</v>
      </c>
      <c r="B1188" s="4">
        <v>44.31</v>
      </c>
    </row>
    <row r="1189" spans="1:2">
      <c r="A1189" s="1">
        <v>44034</v>
      </c>
      <c r="B1189" s="4">
        <v>43.98</v>
      </c>
    </row>
    <row r="1190" spans="1:2">
      <c r="A1190" s="1">
        <v>44035</v>
      </c>
      <c r="B1190" s="4">
        <v>42.96</v>
      </c>
    </row>
    <row r="1191" spans="1:2">
      <c r="A1191" s="1">
        <v>44036</v>
      </c>
      <c r="B1191" s="4">
        <v>43.29</v>
      </c>
    </row>
    <row r="1192" spans="1:2">
      <c r="A1192" s="1">
        <v>44039</v>
      </c>
      <c r="B1192" s="4">
        <v>43.39</v>
      </c>
    </row>
    <row r="1193" spans="1:2">
      <c r="A1193" s="1">
        <v>44040</v>
      </c>
      <c r="B1193" s="4">
        <v>43.11</v>
      </c>
    </row>
    <row r="1194" spans="1:2">
      <c r="A1194" s="1">
        <v>44041</v>
      </c>
      <c r="B1194" s="4">
        <v>43.51</v>
      </c>
    </row>
    <row r="1195" spans="1:2">
      <c r="A1195" s="1">
        <v>44042</v>
      </c>
      <c r="B1195" s="4">
        <v>42.98</v>
      </c>
    </row>
    <row r="1196" spans="1:2">
      <c r="A1196" s="1">
        <v>44043</v>
      </c>
      <c r="B1196" s="4">
        <v>43.13</v>
      </c>
    </row>
    <row r="1197" spans="1:2">
      <c r="A1197" s="1">
        <v>44046</v>
      </c>
      <c r="B1197" s="4">
        <v>43.76</v>
      </c>
    </row>
    <row r="1198" spans="1:2">
      <c r="A1198" s="1">
        <v>44047</v>
      </c>
      <c r="B1198" s="4">
        <v>43.99</v>
      </c>
    </row>
    <row r="1199" spans="1:2">
      <c r="A1199" s="1">
        <v>44048</v>
      </c>
      <c r="B1199" s="4">
        <v>44.92</v>
      </c>
    </row>
    <row r="1200" spans="1:2">
      <c r="A1200" s="1">
        <v>44049</v>
      </c>
      <c r="B1200" s="4">
        <v>45.04</v>
      </c>
    </row>
    <row r="1201" spans="1:2">
      <c r="A1201" s="1">
        <v>44050</v>
      </c>
      <c r="B1201" s="4">
        <v>44.07</v>
      </c>
    </row>
    <row r="1202" spans="1:2">
      <c r="A1202" s="1">
        <v>44053</v>
      </c>
      <c r="B1202" s="4">
        <v>44.19</v>
      </c>
    </row>
    <row r="1203" spans="1:2">
      <c r="A1203" s="1">
        <v>44054</v>
      </c>
      <c r="B1203" s="4">
        <v>43.68</v>
      </c>
    </row>
    <row r="1204" spans="1:2">
      <c r="A1204" s="1">
        <v>44055</v>
      </c>
      <c r="B1204" s="4">
        <v>45.09</v>
      </c>
    </row>
    <row r="1205" spans="1:2">
      <c r="A1205" s="1">
        <v>44056</v>
      </c>
      <c r="B1205" s="4">
        <v>44.87</v>
      </c>
    </row>
    <row r="1206" spans="1:2">
      <c r="A1206" s="1">
        <v>44057</v>
      </c>
      <c r="B1206" s="4">
        <v>44.86</v>
      </c>
    </row>
    <row r="1207" spans="1:2">
      <c r="A1207" s="1">
        <v>44060</v>
      </c>
      <c r="B1207" s="4">
        <v>44.91</v>
      </c>
    </row>
    <row r="1208" spans="1:2">
      <c r="A1208" s="1">
        <v>44061</v>
      </c>
      <c r="B1208" s="4">
        <v>45.34</v>
      </c>
    </row>
    <row r="1209" spans="1:2">
      <c r="A1209" s="1">
        <v>44062</v>
      </c>
      <c r="B1209" s="4">
        <v>45.21</v>
      </c>
    </row>
    <row r="1210" spans="1:2">
      <c r="A1210" s="1">
        <v>44063</v>
      </c>
      <c r="B1210" s="4">
        <v>44.56</v>
      </c>
    </row>
    <row r="1211" spans="1:2">
      <c r="A1211" s="1">
        <v>44064</v>
      </c>
      <c r="B1211" s="4">
        <v>43.94</v>
      </c>
    </row>
    <row r="1212" spans="1:2">
      <c r="A1212" s="1">
        <v>44067</v>
      </c>
      <c r="B1212" s="4">
        <v>44.43</v>
      </c>
    </row>
    <row r="1213" spans="1:2">
      <c r="A1213" s="1">
        <v>44068</v>
      </c>
      <c r="B1213" s="4">
        <v>46.01</v>
      </c>
    </row>
    <row r="1214" spans="1:2">
      <c r="A1214" s="1">
        <v>44069</v>
      </c>
      <c r="B1214" s="4">
        <v>45.79</v>
      </c>
    </row>
    <row r="1215" spans="1:2">
      <c r="A1215" s="1">
        <v>44070</v>
      </c>
      <c r="B1215" s="4">
        <v>44.84</v>
      </c>
    </row>
    <row r="1216" spans="1:2">
      <c r="A1216" s="1">
        <v>44071</v>
      </c>
      <c r="B1216" s="4">
        <v>45.22</v>
      </c>
    </row>
    <row r="1217" spans="1:2">
      <c r="A1217" s="1">
        <v>44074</v>
      </c>
      <c r="B1217" s="4"/>
    </row>
    <row r="1218" spans="1:2">
      <c r="A1218" s="1">
        <v>44075</v>
      </c>
      <c r="B1218" s="4">
        <v>45.72</v>
      </c>
    </row>
    <row r="1219" spans="1:2">
      <c r="A1219" s="1">
        <v>44076</v>
      </c>
      <c r="B1219" s="4">
        <v>42.7</v>
      </c>
    </row>
    <row r="1220" spans="1:2">
      <c r="A1220" s="1">
        <v>44077</v>
      </c>
      <c r="B1220" s="4">
        <v>42.72</v>
      </c>
    </row>
    <row r="1221" spans="1:2">
      <c r="A1221" s="1">
        <v>44078</v>
      </c>
      <c r="B1221" s="4">
        <v>41.1</v>
      </c>
    </row>
    <row r="1222" spans="1:2">
      <c r="A1222" s="1">
        <v>44081</v>
      </c>
      <c r="B1222" s="4">
        <v>40.67</v>
      </c>
    </row>
    <row r="1223" spans="1:2">
      <c r="A1223" s="1">
        <v>44082</v>
      </c>
      <c r="B1223" s="4">
        <v>38.53</v>
      </c>
    </row>
    <row r="1224" spans="1:2">
      <c r="A1224" s="1">
        <v>44083</v>
      </c>
      <c r="B1224" s="4">
        <v>39.979999999999997</v>
      </c>
    </row>
    <row r="1225" spans="1:2">
      <c r="A1225" s="1">
        <v>44084</v>
      </c>
      <c r="B1225" s="4">
        <v>39.270000000000003</v>
      </c>
    </row>
    <row r="1226" spans="1:2">
      <c r="A1226" s="1">
        <v>44085</v>
      </c>
      <c r="B1226" s="4">
        <v>38.799999999999997</v>
      </c>
    </row>
    <row r="1227" spans="1:2">
      <c r="A1227" s="1">
        <v>44088</v>
      </c>
      <c r="B1227" s="4">
        <v>38.57</v>
      </c>
    </row>
    <row r="1228" spans="1:2">
      <c r="A1228" s="1">
        <v>44089</v>
      </c>
      <c r="B1228" s="4">
        <v>39.54</v>
      </c>
    </row>
    <row r="1229" spans="1:2">
      <c r="A1229" s="1">
        <v>44090</v>
      </c>
      <c r="B1229" s="4">
        <v>41.23</v>
      </c>
    </row>
    <row r="1230" spans="1:2">
      <c r="A1230" s="1">
        <v>44091</v>
      </c>
      <c r="B1230" s="4">
        <v>42.35</v>
      </c>
    </row>
    <row r="1231" spans="1:2">
      <c r="A1231" s="1">
        <v>44092</v>
      </c>
      <c r="B1231" s="4">
        <v>42.16</v>
      </c>
    </row>
    <row r="1232" spans="1:2">
      <c r="A1232" s="1">
        <v>44095</v>
      </c>
      <c r="B1232" s="4">
        <v>40.369999999999997</v>
      </c>
    </row>
    <row r="1233" spans="1:2">
      <c r="A1233" s="1">
        <v>44096</v>
      </c>
      <c r="B1233" s="4">
        <v>40.840000000000003</v>
      </c>
    </row>
    <row r="1234" spans="1:2">
      <c r="A1234" s="1">
        <v>44097</v>
      </c>
      <c r="B1234" s="4">
        <v>41.09</v>
      </c>
    </row>
    <row r="1235" spans="1:2">
      <c r="A1235" s="1">
        <v>44098</v>
      </c>
      <c r="B1235" s="4">
        <v>41.24</v>
      </c>
    </row>
    <row r="1236" spans="1:2">
      <c r="A1236" s="1">
        <v>44099</v>
      </c>
      <c r="B1236" s="4">
        <v>40.909999999999997</v>
      </c>
    </row>
    <row r="1237" spans="1:2">
      <c r="A1237" s="1">
        <v>44102</v>
      </c>
      <c r="B1237" s="4">
        <v>41.59</v>
      </c>
    </row>
    <row r="1238" spans="1:2">
      <c r="A1238" s="1">
        <v>44103</v>
      </c>
      <c r="B1238" s="4">
        <v>40.33</v>
      </c>
    </row>
    <row r="1239" spans="1:2">
      <c r="A1239" s="1">
        <v>44104</v>
      </c>
      <c r="B1239" s="4">
        <v>40.299999999999997</v>
      </c>
    </row>
    <row r="1240" spans="1:2">
      <c r="A1240" s="1">
        <v>44105</v>
      </c>
      <c r="B1240" s="4">
        <v>39.75</v>
      </c>
    </row>
    <row r="1241" spans="1:2">
      <c r="A1241" s="1">
        <v>44106</v>
      </c>
      <c r="B1241" s="4">
        <v>38</v>
      </c>
    </row>
    <row r="1242" spans="1:2">
      <c r="A1242" s="1">
        <v>44109</v>
      </c>
      <c r="B1242" s="4">
        <v>39.78</v>
      </c>
    </row>
    <row r="1243" spans="1:2">
      <c r="A1243" s="1">
        <v>44110</v>
      </c>
      <c r="B1243" s="4">
        <v>41.27</v>
      </c>
    </row>
    <row r="1244" spans="1:2">
      <c r="A1244" s="1">
        <v>44111</v>
      </c>
      <c r="B1244" s="4">
        <v>40.619999999999997</v>
      </c>
    </row>
    <row r="1245" spans="1:2">
      <c r="A1245" s="1">
        <v>44112</v>
      </c>
      <c r="B1245" s="4">
        <v>42</v>
      </c>
    </row>
    <row r="1246" spans="1:2">
      <c r="A1246" s="1">
        <v>44113</v>
      </c>
      <c r="B1246" s="4">
        <v>41.63</v>
      </c>
    </row>
    <row r="1247" spans="1:2">
      <c r="A1247" s="1">
        <v>44116</v>
      </c>
      <c r="B1247" s="4">
        <v>40.5</v>
      </c>
    </row>
    <row r="1248" spans="1:2">
      <c r="A1248" s="1">
        <v>44117</v>
      </c>
      <c r="B1248" s="4">
        <v>41.34</v>
      </c>
    </row>
    <row r="1249" spans="1:2">
      <c r="A1249" s="1">
        <v>44118</v>
      </c>
      <c r="B1249" s="4">
        <v>41.81</v>
      </c>
    </row>
    <row r="1250" spans="1:2">
      <c r="A1250" s="1">
        <v>44119</v>
      </c>
      <c r="B1250" s="4">
        <v>41.61</v>
      </c>
    </row>
    <row r="1251" spans="1:2">
      <c r="A1251" s="1">
        <v>44120</v>
      </c>
      <c r="B1251" s="4">
        <v>41.34</v>
      </c>
    </row>
    <row r="1252" spans="1:2">
      <c r="A1252" s="1">
        <v>44123</v>
      </c>
      <c r="B1252" s="4">
        <v>41.29</v>
      </c>
    </row>
    <row r="1253" spans="1:2">
      <c r="A1253" s="1">
        <v>44124</v>
      </c>
      <c r="B1253" s="4">
        <v>41.62</v>
      </c>
    </row>
    <row r="1254" spans="1:2">
      <c r="A1254" s="1">
        <v>44125</v>
      </c>
      <c r="B1254" s="4">
        <v>40.090000000000003</v>
      </c>
    </row>
    <row r="1255" spans="1:2">
      <c r="A1255" s="1">
        <v>44126</v>
      </c>
      <c r="B1255" s="4">
        <v>41.28</v>
      </c>
    </row>
    <row r="1256" spans="1:2">
      <c r="A1256" s="1">
        <v>44127</v>
      </c>
      <c r="B1256" s="4">
        <v>40.71</v>
      </c>
    </row>
    <row r="1257" spans="1:2">
      <c r="A1257" s="1">
        <v>44130</v>
      </c>
      <c r="B1257" s="4">
        <v>39.06</v>
      </c>
    </row>
    <row r="1258" spans="1:2">
      <c r="A1258" s="1">
        <v>44131</v>
      </c>
      <c r="B1258" s="4">
        <v>39.72</v>
      </c>
    </row>
    <row r="1259" spans="1:2">
      <c r="A1259" s="1">
        <v>44132</v>
      </c>
      <c r="B1259" s="4">
        <v>37.86</v>
      </c>
    </row>
    <row r="1260" spans="1:2">
      <c r="A1260" s="1">
        <v>44133</v>
      </c>
      <c r="B1260" s="4">
        <v>36.56</v>
      </c>
    </row>
    <row r="1261" spans="1:2">
      <c r="A1261" s="1">
        <v>44134</v>
      </c>
      <c r="B1261" s="4">
        <v>36.33</v>
      </c>
    </row>
    <row r="1262" spans="1:2">
      <c r="A1262" s="1">
        <v>44137</v>
      </c>
      <c r="B1262" s="4">
        <v>37.78</v>
      </c>
    </row>
    <row r="1263" spans="1:2">
      <c r="A1263" s="1">
        <v>44138</v>
      </c>
      <c r="B1263" s="4">
        <v>38.17</v>
      </c>
    </row>
    <row r="1264" spans="1:2">
      <c r="A1264" s="1">
        <v>44139</v>
      </c>
      <c r="B1264" s="4">
        <v>39.68</v>
      </c>
    </row>
    <row r="1265" spans="1:2">
      <c r="A1265" s="1">
        <v>44140</v>
      </c>
      <c r="B1265" s="4">
        <v>39.47</v>
      </c>
    </row>
    <row r="1266" spans="1:2">
      <c r="A1266" s="1">
        <v>44141</v>
      </c>
      <c r="B1266" s="4">
        <v>38.08</v>
      </c>
    </row>
    <row r="1267" spans="1:2">
      <c r="A1267" s="1">
        <v>44144</v>
      </c>
      <c r="B1267" s="4">
        <v>40.93</v>
      </c>
    </row>
    <row r="1268" spans="1:2">
      <c r="A1268" s="1">
        <v>44145</v>
      </c>
      <c r="B1268" s="4">
        <v>42.25</v>
      </c>
    </row>
    <row r="1269" spans="1:2">
      <c r="A1269" s="1">
        <v>44146</v>
      </c>
      <c r="B1269" s="4">
        <v>42.5</v>
      </c>
    </row>
    <row r="1270" spans="1:2">
      <c r="A1270" s="1">
        <v>44147</v>
      </c>
      <c r="B1270" s="4">
        <v>42.16</v>
      </c>
    </row>
    <row r="1271" spans="1:2">
      <c r="A1271" s="1">
        <v>44148</v>
      </c>
      <c r="B1271" s="4">
        <v>41.51</v>
      </c>
    </row>
    <row r="1272" spans="1:2">
      <c r="A1272" s="1">
        <v>44151</v>
      </c>
      <c r="B1272" s="4">
        <v>42.71</v>
      </c>
    </row>
    <row r="1273" spans="1:2">
      <c r="A1273" s="1">
        <v>44152</v>
      </c>
      <c r="B1273" s="4">
        <v>42.54</v>
      </c>
    </row>
    <row r="1274" spans="1:2">
      <c r="A1274" s="1">
        <v>44153</v>
      </c>
      <c r="B1274" s="4">
        <v>42.91</v>
      </c>
    </row>
    <row r="1275" spans="1:2">
      <c r="A1275" s="1">
        <v>44154</v>
      </c>
      <c r="B1275" s="4">
        <v>43.09</v>
      </c>
    </row>
    <row r="1276" spans="1:2">
      <c r="A1276" s="1">
        <v>44155</v>
      </c>
      <c r="B1276" s="4">
        <v>43.79</v>
      </c>
    </row>
    <row r="1277" spans="1:2">
      <c r="A1277" s="1">
        <v>44158</v>
      </c>
      <c r="B1277" s="4">
        <v>45</v>
      </c>
    </row>
    <row r="1278" spans="1:2">
      <c r="A1278" s="1">
        <v>44159</v>
      </c>
      <c r="B1278" s="4">
        <v>46.63</v>
      </c>
    </row>
    <row r="1279" spans="1:2">
      <c r="A1279" s="1">
        <v>44160</v>
      </c>
      <c r="B1279" s="4">
        <v>47.3</v>
      </c>
    </row>
    <row r="1280" spans="1:2">
      <c r="A1280" s="1">
        <v>44161</v>
      </c>
      <c r="B1280" s="4">
        <v>46.32</v>
      </c>
    </row>
    <row r="1281" spans="1:2">
      <c r="A1281" s="1">
        <v>44162</v>
      </c>
      <c r="B1281" s="4">
        <v>46.88</v>
      </c>
    </row>
    <row r="1282" spans="1:2">
      <c r="A1282" s="1">
        <v>44165</v>
      </c>
      <c r="B1282" s="4">
        <v>46.84</v>
      </c>
    </row>
    <row r="1283" spans="1:2">
      <c r="A1283" s="1">
        <v>44166</v>
      </c>
      <c r="B1283" s="4">
        <v>47.03</v>
      </c>
    </row>
    <row r="1284" spans="1:2">
      <c r="A1284" s="1">
        <v>44167</v>
      </c>
      <c r="B1284" s="4">
        <v>47.8</v>
      </c>
    </row>
    <row r="1285" spans="1:2">
      <c r="A1285" s="1">
        <v>44168</v>
      </c>
      <c r="B1285" s="4">
        <v>48.37</v>
      </c>
    </row>
    <row r="1286" spans="1:2">
      <c r="A1286" s="1">
        <v>44169</v>
      </c>
      <c r="B1286" s="4">
        <v>49.1</v>
      </c>
    </row>
    <row r="1287" spans="1:2">
      <c r="A1287" s="1">
        <v>44172</v>
      </c>
      <c r="B1287" s="4">
        <v>48.63</v>
      </c>
    </row>
    <row r="1288" spans="1:2">
      <c r="A1288" s="1">
        <v>44173</v>
      </c>
      <c r="B1288" s="4">
        <v>48.84</v>
      </c>
    </row>
    <row r="1289" spans="1:2">
      <c r="A1289" s="1">
        <v>44174</v>
      </c>
      <c r="B1289" s="4">
        <v>48.81</v>
      </c>
    </row>
    <row r="1290" spans="1:2">
      <c r="A1290" s="1">
        <v>44175</v>
      </c>
      <c r="B1290" s="4">
        <v>50.33</v>
      </c>
    </row>
    <row r="1291" spans="1:2">
      <c r="A1291" s="1">
        <v>44176</v>
      </c>
      <c r="B1291" s="4">
        <v>50.01</v>
      </c>
    </row>
    <row r="1292" spans="1:2">
      <c r="A1292" s="1">
        <v>44179</v>
      </c>
      <c r="B1292" s="4">
        <v>50.27</v>
      </c>
    </row>
    <row r="1293" spans="1:2">
      <c r="A1293" s="1">
        <v>44180</v>
      </c>
      <c r="B1293" s="4">
        <v>50.77</v>
      </c>
    </row>
    <row r="1294" spans="1:2">
      <c r="A1294" s="1">
        <v>44181</v>
      </c>
      <c r="B1294" s="4">
        <v>50.83</v>
      </c>
    </row>
    <row r="1295" spans="1:2">
      <c r="A1295" s="1">
        <v>44182</v>
      </c>
      <c r="B1295" s="4">
        <v>51.2</v>
      </c>
    </row>
    <row r="1296" spans="1:2">
      <c r="A1296" s="1">
        <v>44183</v>
      </c>
      <c r="B1296" s="4">
        <v>52.17</v>
      </c>
    </row>
    <row r="1297" spans="1:2">
      <c r="A1297" s="1">
        <v>44186</v>
      </c>
      <c r="B1297" s="4">
        <v>50.61</v>
      </c>
    </row>
    <row r="1298" spans="1:2">
      <c r="A1298" s="1">
        <v>44187</v>
      </c>
      <c r="B1298" s="4">
        <v>49.88</v>
      </c>
    </row>
    <row r="1299" spans="1:2">
      <c r="A1299" s="1">
        <v>44188</v>
      </c>
      <c r="B1299" s="4">
        <v>51.05</v>
      </c>
    </row>
    <row r="1300" spans="1:2">
      <c r="A1300" s="1">
        <v>44189</v>
      </c>
      <c r="B1300" s="4">
        <v>50.88</v>
      </c>
    </row>
    <row r="1301" spans="1:2">
      <c r="A1301" s="1">
        <v>44190</v>
      </c>
      <c r="B1301" s="4"/>
    </row>
    <row r="1302" spans="1:2">
      <c r="A1302" s="1">
        <v>44193</v>
      </c>
      <c r="B1302" s="4">
        <v>50.88</v>
      </c>
    </row>
    <row r="1303" spans="1:2">
      <c r="A1303" s="1">
        <v>44194</v>
      </c>
      <c r="B1303" s="4">
        <v>50.44</v>
      </c>
    </row>
    <row r="1304" spans="1:2">
      <c r="A1304" s="1">
        <v>44195</v>
      </c>
      <c r="B1304" s="4">
        <v>50.74</v>
      </c>
    </row>
    <row r="1305" spans="1:2">
      <c r="A1305" s="1">
        <v>44196</v>
      </c>
      <c r="B1305" s="4">
        <v>51.22</v>
      </c>
    </row>
    <row r="1306" spans="1:2">
      <c r="A1306" s="1">
        <v>44197</v>
      </c>
      <c r="B1306" s="4"/>
    </row>
    <row r="1307" spans="1:2">
      <c r="A1307" s="1">
        <v>44200</v>
      </c>
      <c r="B1307" s="4">
        <v>50.37</v>
      </c>
    </row>
    <row r="1308" spans="1:2">
      <c r="A1308" s="1">
        <v>44201</v>
      </c>
      <c r="B1308" s="4">
        <v>53.16</v>
      </c>
    </row>
    <row r="1309" spans="1:2">
      <c r="A1309" s="1">
        <v>44202</v>
      </c>
      <c r="B1309" s="4">
        <v>53.8</v>
      </c>
    </row>
    <row r="1310" spans="1:2">
      <c r="A1310" s="1">
        <v>44203</v>
      </c>
      <c r="B1310" s="4">
        <v>53.7</v>
      </c>
    </row>
    <row r="1311" spans="1:2">
      <c r="A1311" s="1">
        <v>44204</v>
      </c>
      <c r="B1311" s="4">
        <v>55.51</v>
      </c>
    </row>
    <row r="1312" spans="1:2">
      <c r="A1312" s="1">
        <v>44207</v>
      </c>
      <c r="B1312" s="4">
        <v>54.84</v>
      </c>
    </row>
    <row r="1313" spans="1:2">
      <c r="A1313" s="1">
        <v>44208</v>
      </c>
      <c r="B1313" s="4">
        <v>55.98</v>
      </c>
    </row>
    <row r="1314" spans="1:2">
      <c r="A1314" s="1">
        <v>44209</v>
      </c>
      <c r="B1314" s="4">
        <v>55.52</v>
      </c>
    </row>
    <row r="1315" spans="1:2">
      <c r="A1315" s="1">
        <v>44210</v>
      </c>
      <c r="B1315" s="4">
        <v>55.76</v>
      </c>
    </row>
    <row r="1316" spans="1:2">
      <c r="A1316" s="1">
        <v>44211</v>
      </c>
      <c r="B1316" s="4">
        <v>54.8</v>
      </c>
    </row>
    <row r="1317" spans="1:2">
      <c r="A1317" s="1">
        <v>44214</v>
      </c>
      <c r="B1317" s="4">
        <v>54.21</v>
      </c>
    </row>
    <row r="1318" spans="1:2">
      <c r="A1318" s="1">
        <v>44215</v>
      </c>
      <c r="B1318" s="4">
        <v>55.38</v>
      </c>
    </row>
    <row r="1319" spans="1:2">
      <c r="A1319" s="1">
        <v>44216</v>
      </c>
      <c r="B1319" s="4">
        <v>55.66</v>
      </c>
    </row>
    <row r="1320" spans="1:2">
      <c r="A1320" s="1">
        <v>44217</v>
      </c>
      <c r="B1320" s="4">
        <v>55.68</v>
      </c>
    </row>
    <row r="1321" spans="1:2">
      <c r="A1321" s="1">
        <v>44218</v>
      </c>
      <c r="B1321" s="4">
        <v>55.22</v>
      </c>
    </row>
    <row r="1322" spans="1:2">
      <c r="A1322" s="1">
        <v>44221</v>
      </c>
      <c r="B1322" s="4">
        <v>55.44</v>
      </c>
    </row>
    <row r="1323" spans="1:2">
      <c r="A1323" s="1">
        <v>44222</v>
      </c>
      <c r="B1323" s="4">
        <v>55.26</v>
      </c>
    </row>
    <row r="1324" spans="1:2">
      <c r="A1324" s="1">
        <v>44223</v>
      </c>
      <c r="B1324" s="4">
        <v>55.07</v>
      </c>
    </row>
    <row r="1325" spans="1:2">
      <c r="A1325" s="1">
        <v>44224</v>
      </c>
      <c r="B1325" s="4">
        <v>54.87</v>
      </c>
    </row>
    <row r="1326" spans="1:2">
      <c r="A1326" s="1">
        <v>44225</v>
      </c>
      <c r="B1326" s="4">
        <v>55.25</v>
      </c>
    </row>
    <row r="1327" spans="1:2">
      <c r="A1327" s="1">
        <v>44228</v>
      </c>
      <c r="B1327" s="4">
        <v>56.42</v>
      </c>
    </row>
    <row r="1328" spans="1:2">
      <c r="A1328" s="1">
        <v>44229</v>
      </c>
      <c r="B1328" s="4">
        <v>57.62</v>
      </c>
    </row>
    <row r="1329" spans="1:2">
      <c r="A1329" s="1">
        <v>44230</v>
      </c>
      <c r="B1329" s="4">
        <v>58.61</v>
      </c>
    </row>
    <row r="1330" spans="1:2">
      <c r="A1330" s="1">
        <v>44231</v>
      </c>
      <c r="B1330" s="4">
        <v>58.98</v>
      </c>
    </row>
    <row r="1331" spans="1:2">
      <c r="A1331" s="1">
        <v>44232</v>
      </c>
      <c r="B1331" s="4">
        <v>59.48</v>
      </c>
    </row>
    <row r="1332" spans="1:2">
      <c r="A1332" s="1">
        <v>44235</v>
      </c>
      <c r="B1332" s="4">
        <v>60.17</v>
      </c>
    </row>
    <row r="1333" spans="1:2">
      <c r="A1333" s="1">
        <v>44236</v>
      </c>
      <c r="B1333" s="4">
        <v>60.74</v>
      </c>
    </row>
    <row r="1334" spans="1:2">
      <c r="A1334" s="1">
        <v>44237</v>
      </c>
      <c r="B1334" s="4">
        <v>61.17</v>
      </c>
    </row>
    <row r="1335" spans="1:2">
      <c r="A1335" s="1">
        <v>44238</v>
      </c>
      <c r="B1335" s="4">
        <v>61.09</v>
      </c>
    </row>
    <row r="1336" spans="1:2">
      <c r="A1336" s="1">
        <v>44239</v>
      </c>
      <c r="B1336" s="4">
        <v>62.47</v>
      </c>
    </row>
    <row r="1337" spans="1:2">
      <c r="A1337" s="1">
        <v>44242</v>
      </c>
      <c r="B1337" s="4">
        <v>63.58</v>
      </c>
    </row>
    <row r="1338" spans="1:2">
      <c r="A1338" s="1">
        <v>44243</v>
      </c>
      <c r="B1338" s="4">
        <v>63.96</v>
      </c>
    </row>
    <row r="1339" spans="1:2">
      <c r="A1339" s="1">
        <v>44244</v>
      </c>
      <c r="B1339" s="4">
        <v>65.02</v>
      </c>
    </row>
    <row r="1340" spans="1:2">
      <c r="A1340" s="1">
        <v>44245</v>
      </c>
      <c r="B1340" s="4">
        <v>64.09</v>
      </c>
    </row>
    <row r="1341" spans="1:2">
      <c r="A1341" s="1">
        <v>44246</v>
      </c>
      <c r="B1341" s="4">
        <v>62.84</v>
      </c>
    </row>
    <row r="1342" spans="1:2">
      <c r="A1342" s="1">
        <v>44249</v>
      </c>
      <c r="B1342" s="4">
        <v>64.73</v>
      </c>
    </row>
    <row r="1343" spans="1:2">
      <c r="A1343" s="1">
        <v>44250</v>
      </c>
      <c r="B1343" s="4">
        <v>65.16</v>
      </c>
    </row>
    <row r="1344" spans="1:2">
      <c r="A1344" s="1">
        <v>44251</v>
      </c>
      <c r="B1344" s="4">
        <v>66.849999999999994</v>
      </c>
    </row>
    <row r="1345" spans="1:2">
      <c r="A1345" s="1">
        <v>44252</v>
      </c>
      <c r="B1345" s="4">
        <v>66.69</v>
      </c>
    </row>
    <row r="1346" spans="1:2">
      <c r="A1346" s="1">
        <v>44253</v>
      </c>
      <c r="B1346" s="4">
        <v>65.86</v>
      </c>
    </row>
    <row r="1347" spans="1:2">
      <c r="A1347" s="1">
        <v>44256</v>
      </c>
      <c r="B1347" s="4">
        <v>64.56</v>
      </c>
    </row>
    <row r="1348" spans="1:2">
      <c r="A1348" s="1">
        <v>44257</v>
      </c>
      <c r="B1348" s="4">
        <v>63.17</v>
      </c>
    </row>
    <row r="1349" spans="1:2">
      <c r="A1349" s="1">
        <v>44258</v>
      </c>
      <c r="B1349" s="4">
        <v>64.7</v>
      </c>
    </row>
    <row r="1350" spans="1:2">
      <c r="A1350" s="1">
        <v>44259</v>
      </c>
      <c r="B1350" s="4">
        <v>67.319999999999993</v>
      </c>
    </row>
    <row r="1351" spans="1:2">
      <c r="A1351" s="1">
        <v>44260</v>
      </c>
      <c r="B1351" s="4">
        <v>69.95</v>
      </c>
    </row>
    <row r="1352" spans="1:2">
      <c r="A1352" s="1">
        <v>44263</v>
      </c>
      <c r="B1352" s="4">
        <v>68</v>
      </c>
    </row>
    <row r="1353" spans="1:2">
      <c r="A1353" s="1">
        <v>44264</v>
      </c>
      <c r="B1353" s="4">
        <v>67.03</v>
      </c>
    </row>
    <row r="1354" spans="1:2">
      <c r="A1354" s="1">
        <v>44265</v>
      </c>
      <c r="B1354" s="4">
        <v>67.53</v>
      </c>
    </row>
    <row r="1355" spans="1:2">
      <c r="A1355" s="1">
        <v>44266</v>
      </c>
      <c r="B1355" s="4">
        <v>69.34</v>
      </c>
    </row>
    <row r="1356" spans="1:2">
      <c r="A1356" s="1">
        <v>44267</v>
      </c>
      <c r="B1356" s="4">
        <v>68.87</v>
      </c>
    </row>
    <row r="1357" spans="1:2">
      <c r="A1357" s="1">
        <v>44270</v>
      </c>
      <c r="B1357" s="4">
        <v>68.78</v>
      </c>
    </row>
    <row r="1358" spans="1:2">
      <c r="A1358" s="1">
        <v>44271</v>
      </c>
      <c r="B1358" s="4">
        <v>67.95</v>
      </c>
    </row>
    <row r="1359" spans="1:2">
      <c r="A1359" s="1">
        <v>44272</v>
      </c>
      <c r="B1359" s="4">
        <v>67.73</v>
      </c>
    </row>
    <row r="1360" spans="1:2">
      <c r="A1360" s="1">
        <v>44273</v>
      </c>
      <c r="B1360" s="4">
        <v>62.11</v>
      </c>
    </row>
    <row r="1361" spans="1:2">
      <c r="A1361" s="1">
        <v>44274</v>
      </c>
      <c r="B1361" s="4">
        <v>64</v>
      </c>
    </row>
    <row r="1362" spans="1:2">
      <c r="A1362" s="1">
        <v>44277</v>
      </c>
      <c r="B1362" s="4">
        <v>63.89</v>
      </c>
    </row>
    <row r="1363" spans="1:2">
      <c r="A1363" s="1">
        <v>44278</v>
      </c>
      <c r="B1363" s="4">
        <v>59.96</v>
      </c>
    </row>
    <row r="1364" spans="1:2">
      <c r="A1364" s="1">
        <v>44279</v>
      </c>
      <c r="B1364" s="4">
        <v>63.7</v>
      </c>
    </row>
    <row r="1365" spans="1:2">
      <c r="A1365" s="1">
        <v>44280</v>
      </c>
      <c r="B1365" s="4">
        <v>61.21</v>
      </c>
    </row>
    <row r="1366" spans="1:2">
      <c r="A1366" s="1">
        <v>44281</v>
      </c>
      <c r="B1366" s="4">
        <v>63.77</v>
      </c>
    </row>
    <row r="1367" spans="1:2">
      <c r="A1367" s="1">
        <v>44284</v>
      </c>
      <c r="B1367" s="4">
        <v>64.06</v>
      </c>
    </row>
    <row r="1368" spans="1:2">
      <c r="A1368" s="1">
        <v>44285</v>
      </c>
      <c r="B1368" s="4">
        <v>63.28</v>
      </c>
    </row>
    <row r="1369" spans="1:2">
      <c r="A1369" s="1">
        <v>44286</v>
      </c>
      <c r="B1369" s="4">
        <v>63.52</v>
      </c>
    </row>
    <row r="1370" spans="1:2">
      <c r="A1370" s="1">
        <v>44287</v>
      </c>
      <c r="B1370" s="4">
        <v>63.85</v>
      </c>
    </row>
    <row r="1371" spans="1:2">
      <c r="A1371" s="1">
        <v>44288</v>
      </c>
      <c r="B1371" s="4"/>
    </row>
    <row r="1372" spans="1:2">
      <c r="A1372" s="1">
        <v>44291</v>
      </c>
      <c r="B1372" s="4"/>
    </row>
    <row r="1373" spans="1:2">
      <c r="A1373" s="1">
        <v>44292</v>
      </c>
      <c r="B1373" s="4">
        <v>61.47</v>
      </c>
    </row>
    <row r="1374" spans="1:2">
      <c r="A1374" s="1">
        <v>44293</v>
      </c>
      <c r="B1374" s="4">
        <v>61.86</v>
      </c>
    </row>
    <row r="1375" spans="1:2">
      <c r="A1375" s="1">
        <v>44294</v>
      </c>
      <c r="B1375" s="4">
        <v>62.09</v>
      </c>
    </row>
    <row r="1376" spans="1:2">
      <c r="A1376" s="1">
        <v>44295</v>
      </c>
      <c r="B1376" s="4">
        <v>61.89</v>
      </c>
    </row>
    <row r="1377" spans="1:2">
      <c r="A1377" s="1">
        <v>44298</v>
      </c>
      <c r="B1377" s="4">
        <v>62.38</v>
      </c>
    </row>
    <row r="1378" spans="1:2">
      <c r="A1378" s="1">
        <v>44299</v>
      </c>
      <c r="B1378" s="4">
        <v>62.83</v>
      </c>
    </row>
    <row r="1379" spans="1:2">
      <c r="A1379" s="1">
        <v>44300</v>
      </c>
      <c r="B1379" s="4">
        <v>66.11</v>
      </c>
    </row>
    <row r="1380" spans="1:2">
      <c r="A1380" s="1">
        <v>44301</v>
      </c>
      <c r="B1380" s="4">
        <v>66.13</v>
      </c>
    </row>
    <row r="1381" spans="1:2">
      <c r="A1381" s="1">
        <v>44302</v>
      </c>
      <c r="B1381" s="4">
        <v>65.98</v>
      </c>
    </row>
    <row r="1382" spans="1:2">
      <c r="A1382" s="1">
        <v>44305</v>
      </c>
      <c r="B1382" s="4">
        <v>66.540000000000006</v>
      </c>
    </row>
    <row r="1383" spans="1:2">
      <c r="A1383" s="1">
        <v>44306</v>
      </c>
      <c r="B1383" s="4">
        <v>65.34</v>
      </c>
    </row>
    <row r="1384" spans="1:2">
      <c r="A1384" s="1">
        <v>44307</v>
      </c>
      <c r="B1384" s="4">
        <v>64.02</v>
      </c>
    </row>
    <row r="1385" spans="1:2">
      <c r="A1385" s="1">
        <v>44308</v>
      </c>
      <c r="B1385" s="4">
        <v>65.069999999999993</v>
      </c>
    </row>
    <row r="1386" spans="1:2">
      <c r="A1386" s="1">
        <v>44309</v>
      </c>
      <c r="B1386" s="4">
        <v>65.75</v>
      </c>
    </row>
    <row r="1387" spans="1:2">
      <c r="A1387" s="1">
        <v>44312</v>
      </c>
      <c r="B1387" s="4">
        <v>65.5</v>
      </c>
    </row>
    <row r="1388" spans="1:2">
      <c r="A1388" s="1">
        <v>44313</v>
      </c>
      <c r="B1388" s="4">
        <v>66.25</v>
      </c>
    </row>
    <row r="1389" spans="1:2">
      <c r="A1389" s="1">
        <v>44314</v>
      </c>
      <c r="B1389" s="4">
        <v>67.08</v>
      </c>
    </row>
    <row r="1390" spans="1:2">
      <c r="A1390" s="1">
        <v>44315</v>
      </c>
      <c r="B1390" s="4">
        <v>68.260000000000005</v>
      </c>
    </row>
    <row r="1391" spans="1:2">
      <c r="A1391" s="1">
        <v>44316</v>
      </c>
      <c r="B1391" s="4">
        <v>67.73</v>
      </c>
    </row>
    <row r="1392" spans="1:2">
      <c r="A1392" s="1">
        <v>44319</v>
      </c>
      <c r="B1392" s="4"/>
    </row>
    <row r="1393" spans="1:2">
      <c r="A1393" s="1">
        <v>44320</v>
      </c>
      <c r="B1393" s="4">
        <v>68.91</v>
      </c>
    </row>
    <row r="1394" spans="1:2">
      <c r="A1394" s="1">
        <v>44321</v>
      </c>
      <c r="B1394" s="4">
        <v>69.709999999999994</v>
      </c>
    </row>
    <row r="1395" spans="1:2">
      <c r="A1395" s="1">
        <v>44322</v>
      </c>
      <c r="B1395" s="4">
        <v>68.62</v>
      </c>
    </row>
    <row r="1396" spans="1:2">
      <c r="A1396" s="1">
        <v>44323</v>
      </c>
      <c r="B1396" s="4">
        <v>68.73</v>
      </c>
    </row>
    <row r="1397" spans="1:2">
      <c r="A1397" s="1">
        <v>44326</v>
      </c>
      <c r="B1397" s="4">
        <v>68.61</v>
      </c>
    </row>
    <row r="1398" spans="1:2">
      <c r="A1398" s="1">
        <v>44327</v>
      </c>
      <c r="B1398" s="4">
        <v>68.83</v>
      </c>
    </row>
    <row r="1399" spans="1:2">
      <c r="A1399" s="1">
        <v>44328</v>
      </c>
      <c r="B1399" s="4">
        <v>69.62</v>
      </c>
    </row>
    <row r="1400" spans="1:2">
      <c r="A1400" s="1">
        <v>44329</v>
      </c>
      <c r="B1400" s="4">
        <v>67.36</v>
      </c>
    </row>
    <row r="1401" spans="1:2">
      <c r="A1401" s="1">
        <v>44330</v>
      </c>
      <c r="B1401" s="4">
        <v>69.239999999999995</v>
      </c>
    </row>
    <row r="1402" spans="1:2">
      <c r="A1402" s="1">
        <v>44333</v>
      </c>
      <c r="B1402" s="4">
        <v>69.62</v>
      </c>
    </row>
    <row r="1403" spans="1:2">
      <c r="A1403" s="1">
        <v>44334</v>
      </c>
      <c r="B1403" s="4">
        <v>69.010000000000005</v>
      </c>
    </row>
    <row r="1404" spans="1:2">
      <c r="A1404" s="1">
        <v>44335</v>
      </c>
      <c r="B1404" s="4">
        <v>66.88</v>
      </c>
    </row>
    <row r="1405" spans="1:2">
      <c r="A1405" s="1">
        <v>44336</v>
      </c>
      <c r="B1405" s="4">
        <v>65.180000000000007</v>
      </c>
    </row>
    <row r="1406" spans="1:2">
      <c r="A1406" s="1">
        <v>44337</v>
      </c>
      <c r="B1406" s="4">
        <v>66.72</v>
      </c>
    </row>
    <row r="1407" spans="1:2">
      <c r="A1407" s="1">
        <v>44340</v>
      </c>
      <c r="B1407" s="4">
        <v>68.59</v>
      </c>
    </row>
    <row r="1408" spans="1:2">
      <c r="A1408" s="1">
        <v>44341</v>
      </c>
      <c r="B1408" s="4">
        <v>68.8</v>
      </c>
    </row>
    <row r="1409" spans="1:2">
      <c r="A1409" s="1">
        <v>44342</v>
      </c>
      <c r="B1409" s="4">
        <v>68.930000000000007</v>
      </c>
    </row>
    <row r="1410" spans="1:2">
      <c r="A1410" s="1">
        <v>44343</v>
      </c>
      <c r="B1410" s="4">
        <v>69.430000000000007</v>
      </c>
    </row>
    <row r="1411" spans="1:2">
      <c r="A1411" s="1">
        <v>44344</v>
      </c>
      <c r="B1411" s="4">
        <v>69.36</v>
      </c>
    </row>
    <row r="1412" spans="1:2">
      <c r="A1412" s="1">
        <v>44347</v>
      </c>
      <c r="B1412" s="4"/>
    </row>
    <row r="1413" spans="1:2">
      <c r="A1413" s="1">
        <v>44348</v>
      </c>
      <c r="B1413" s="4">
        <v>70.03</v>
      </c>
    </row>
    <row r="1414" spans="1:2">
      <c r="A1414" s="1">
        <v>44349</v>
      </c>
      <c r="B1414" s="4">
        <v>70.599999999999994</v>
      </c>
    </row>
    <row r="1415" spans="1:2">
      <c r="A1415" s="1">
        <v>44350</v>
      </c>
      <c r="B1415" s="4">
        <v>70.709999999999994</v>
      </c>
    </row>
    <row r="1416" spans="1:2">
      <c r="A1416" s="1">
        <v>44351</v>
      </c>
      <c r="B1416" s="4">
        <v>71.3</v>
      </c>
    </row>
    <row r="1417" spans="1:2">
      <c r="A1417" s="1">
        <v>44354</v>
      </c>
      <c r="B1417" s="4">
        <v>70.89</v>
      </c>
    </row>
    <row r="1418" spans="1:2">
      <c r="A1418" s="1">
        <v>44355</v>
      </c>
      <c r="B1418" s="4">
        <v>71.39</v>
      </c>
    </row>
    <row r="1419" spans="1:2">
      <c r="A1419" s="1">
        <v>44356</v>
      </c>
      <c r="B1419" s="4">
        <v>71.31</v>
      </c>
    </row>
    <row r="1420" spans="1:2">
      <c r="A1420" s="1">
        <v>44357</v>
      </c>
      <c r="B1420" s="4">
        <v>71.650000000000006</v>
      </c>
    </row>
    <row r="1421" spans="1:2">
      <c r="A1421" s="1">
        <v>44358</v>
      </c>
      <c r="B1421" s="4">
        <v>72.05</v>
      </c>
    </row>
    <row r="1422" spans="1:2">
      <c r="A1422" s="1">
        <v>44361</v>
      </c>
      <c r="B1422" s="4">
        <v>72.27</v>
      </c>
    </row>
    <row r="1423" spans="1:2">
      <c r="A1423" s="1">
        <v>44362</v>
      </c>
      <c r="B1423" s="4">
        <v>73.38</v>
      </c>
    </row>
    <row r="1424" spans="1:2">
      <c r="A1424" s="1">
        <v>44363</v>
      </c>
      <c r="B1424" s="4">
        <v>73.88</v>
      </c>
    </row>
    <row r="1425" spans="1:2">
      <c r="A1425" s="1">
        <v>44364</v>
      </c>
      <c r="B1425" s="4">
        <v>72.92</v>
      </c>
    </row>
    <row r="1426" spans="1:2">
      <c r="A1426" s="1">
        <v>44365</v>
      </c>
      <c r="B1426" s="4">
        <v>73.099999999999994</v>
      </c>
    </row>
    <row r="1427" spans="1:2">
      <c r="A1427" s="1">
        <v>44368</v>
      </c>
      <c r="B1427" s="4">
        <v>74.489999999999995</v>
      </c>
    </row>
    <row r="1428" spans="1:2">
      <c r="A1428" s="1">
        <v>44369</v>
      </c>
      <c r="B1428" s="4">
        <v>74.92</v>
      </c>
    </row>
    <row r="1429" spans="1:2">
      <c r="A1429" s="1">
        <v>44370</v>
      </c>
      <c r="B1429" s="4">
        <v>75.22</v>
      </c>
    </row>
    <row r="1430" spans="1:2">
      <c r="A1430" s="1">
        <v>44371</v>
      </c>
      <c r="B1430" s="4">
        <v>75.95</v>
      </c>
    </row>
    <row r="1431" spans="1:2">
      <c r="A1431" s="1">
        <v>44372</v>
      </c>
      <c r="B1431" s="4">
        <v>76.45</v>
      </c>
    </row>
    <row r="1432" spans="1:2">
      <c r="A1432" s="1">
        <v>44375</v>
      </c>
      <c r="B1432" s="4">
        <v>74.78</v>
      </c>
    </row>
    <row r="1433" spans="1:2">
      <c r="A1433" s="1">
        <v>44376</v>
      </c>
      <c r="B1433" s="4">
        <v>75.38</v>
      </c>
    </row>
    <row r="1434" spans="1:2">
      <c r="A1434" s="1">
        <v>44377</v>
      </c>
      <c r="B1434" s="4">
        <v>76.94</v>
      </c>
    </row>
    <row r="1435" spans="1:2">
      <c r="A1435" s="1">
        <v>44378</v>
      </c>
      <c r="B1435" s="4">
        <v>76.69</v>
      </c>
    </row>
    <row r="1436" spans="1:2">
      <c r="A1436" s="1">
        <v>44379</v>
      </c>
      <c r="B1436" s="4">
        <v>77.510000000000005</v>
      </c>
    </row>
    <row r="1437" spans="1:2">
      <c r="A1437" s="1">
        <v>44382</v>
      </c>
      <c r="B1437" s="4">
        <v>78.34</v>
      </c>
    </row>
    <row r="1438" spans="1:2">
      <c r="A1438" s="1">
        <v>44383</v>
      </c>
      <c r="B1438" s="4">
        <v>75.81</v>
      </c>
    </row>
    <row r="1439" spans="1:2">
      <c r="A1439" s="1">
        <v>44384</v>
      </c>
      <c r="B1439" s="4">
        <v>74.31</v>
      </c>
    </row>
    <row r="1440" spans="1:2">
      <c r="A1440" s="1">
        <v>44385</v>
      </c>
      <c r="B1440" s="4">
        <v>75.069999999999993</v>
      </c>
    </row>
    <row r="1441" spans="1:2">
      <c r="A1441" s="1">
        <v>44386</v>
      </c>
      <c r="B1441" s="4">
        <v>77.14</v>
      </c>
    </row>
    <row r="1442" spans="1:2">
      <c r="A1442" s="1">
        <v>44389</v>
      </c>
      <c r="B1442" s="4">
        <v>76.77</v>
      </c>
    </row>
    <row r="1443" spans="1:2">
      <c r="A1443" s="1">
        <v>44390</v>
      </c>
      <c r="B1443" s="4">
        <v>77.5</v>
      </c>
    </row>
    <row r="1444" spans="1:2">
      <c r="A1444" s="1">
        <v>44391</v>
      </c>
      <c r="B1444" s="4">
        <v>75.739999999999995</v>
      </c>
    </row>
    <row r="1445" spans="1:2">
      <c r="A1445" s="1">
        <v>44392</v>
      </c>
      <c r="B1445" s="4">
        <v>74.53</v>
      </c>
    </row>
    <row r="1446" spans="1:2">
      <c r="A1446" s="1">
        <v>44393</v>
      </c>
      <c r="B1446" s="4">
        <v>74.459999999999994</v>
      </c>
    </row>
    <row r="1447" spans="1:2">
      <c r="A1447" s="1">
        <v>44396</v>
      </c>
      <c r="B1447" s="4">
        <v>69.33</v>
      </c>
    </row>
    <row r="1448" spans="1:2">
      <c r="A1448" s="1">
        <v>44397</v>
      </c>
      <c r="B1448" s="4">
        <v>70.03</v>
      </c>
    </row>
    <row r="1449" spans="1:2">
      <c r="A1449" s="1">
        <v>44398</v>
      </c>
      <c r="B1449" s="4">
        <v>72.540000000000006</v>
      </c>
    </row>
    <row r="1450" spans="1:2">
      <c r="A1450" s="1">
        <v>44399</v>
      </c>
      <c r="B1450" s="4">
        <v>74.25</v>
      </c>
    </row>
    <row r="1451" spans="1:2">
      <c r="A1451" s="1">
        <v>44400</v>
      </c>
      <c r="B1451" s="4">
        <v>74.86</v>
      </c>
    </row>
    <row r="1452" spans="1:2">
      <c r="A1452" s="1">
        <v>44403</v>
      </c>
      <c r="B1452" s="4">
        <v>74.790000000000006</v>
      </c>
    </row>
    <row r="1453" spans="1:2">
      <c r="A1453" s="1">
        <v>44404</v>
      </c>
      <c r="B1453" s="4">
        <v>74.87</v>
      </c>
    </row>
    <row r="1454" spans="1:2">
      <c r="A1454" s="1">
        <v>44405</v>
      </c>
      <c r="B1454" s="4">
        <v>75.09</v>
      </c>
    </row>
    <row r="1455" spans="1:2">
      <c r="A1455" s="1">
        <v>44406</v>
      </c>
      <c r="B1455" s="4">
        <v>76.3</v>
      </c>
    </row>
    <row r="1456" spans="1:2">
      <c r="A1456" s="1">
        <v>44407</v>
      </c>
      <c r="B1456" s="4">
        <v>77.72</v>
      </c>
    </row>
    <row r="1457" spans="1:2">
      <c r="A1457" s="1">
        <v>44410</v>
      </c>
      <c r="B1457" s="4">
        <v>73.91</v>
      </c>
    </row>
    <row r="1458" spans="1:2">
      <c r="A1458" s="1">
        <v>44411</v>
      </c>
      <c r="B1458" s="4">
        <v>73.239999999999995</v>
      </c>
    </row>
    <row r="1459" spans="1:2">
      <c r="A1459" s="1">
        <v>44412</v>
      </c>
      <c r="B1459" s="4">
        <v>70.989999999999995</v>
      </c>
    </row>
    <row r="1460" spans="1:2">
      <c r="A1460" s="1">
        <v>44413</v>
      </c>
      <c r="B1460" s="4">
        <v>72.14</v>
      </c>
    </row>
    <row r="1461" spans="1:2">
      <c r="A1461" s="1">
        <v>44414</v>
      </c>
      <c r="B1461" s="4">
        <v>71.02</v>
      </c>
    </row>
    <row r="1462" spans="1:2">
      <c r="A1462" s="1">
        <v>44417</v>
      </c>
      <c r="B1462" s="4">
        <v>69.650000000000006</v>
      </c>
    </row>
    <row r="1463" spans="1:2">
      <c r="A1463" s="1">
        <v>44418</v>
      </c>
      <c r="B1463" s="4">
        <v>71.14</v>
      </c>
    </row>
    <row r="1464" spans="1:2">
      <c r="A1464" s="1">
        <v>44419</v>
      </c>
      <c r="B1464" s="4">
        <v>71.989999999999995</v>
      </c>
    </row>
    <row r="1465" spans="1:2">
      <c r="A1465" s="1">
        <v>44420</v>
      </c>
      <c r="B1465" s="4">
        <v>71.790000000000006</v>
      </c>
    </row>
    <row r="1466" spans="1:2">
      <c r="A1466" s="1">
        <v>44421</v>
      </c>
      <c r="B1466" s="4">
        <v>70.900000000000006</v>
      </c>
    </row>
    <row r="1467" spans="1:2">
      <c r="A1467" s="1">
        <v>44424</v>
      </c>
      <c r="B1467" s="4">
        <v>70.069999999999993</v>
      </c>
    </row>
    <row r="1468" spans="1:2">
      <c r="A1468" s="1">
        <v>44425</v>
      </c>
      <c r="B1468" s="4">
        <v>69.400000000000006</v>
      </c>
    </row>
    <row r="1469" spans="1:2">
      <c r="A1469" s="1">
        <v>44426</v>
      </c>
      <c r="B1469" s="4">
        <v>68.61</v>
      </c>
    </row>
    <row r="1470" spans="1:2">
      <c r="A1470" s="1">
        <v>44427</v>
      </c>
      <c r="B1470" s="4">
        <v>66.8</v>
      </c>
    </row>
    <row r="1471" spans="1:2">
      <c r="A1471" s="1">
        <v>44428</v>
      </c>
      <c r="B1471" s="4">
        <v>65.510000000000005</v>
      </c>
    </row>
    <row r="1472" spans="1:2">
      <c r="A1472" s="1">
        <v>44431</v>
      </c>
      <c r="B1472" s="4">
        <v>69.069999999999993</v>
      </c>
    </row>
    <row r="1473" spans="1:2">
      <c r="A1473" s="1">
        <v>44432</v>
      </c>
      <c r="B1473" s="4">
        <v>71.209999999999994</v>
      </c>
    </row>
    <row r="1474" spans="1:2">
      <c r="A1474" s="1">
        <v>44433</v>
      </c>
      <c r="B1474" s="4">
        <v>72.12</v>
      </c>
    </row>
    <row r="1475" spans="1:2">
      <c r="A1475" s="1">
        <v>44434</v>
      </c>
      <c r="B1475" s="4">
        <v>70.42</v>
      </c>
    </row>
    <row r="1476" spans="1:2">
      <c r="A1476" s="1">
        <v>44435</v>
      </c>
      <c r="B1476" s="4">
        <v>72.260000000000005</v>
      </c>
    </row>
    <row r="1477" spans="1:2">
      <c r="A1477" s="1">
        <v>44438</v>
      </c>
      <c r="B1477" s="4"/>
    </row>
    <row r="1478" spans="1:2">
      <c r="A1478" s="1">
        <v>44439</v>
      </c>
      <c r="B1478" s="4">
        <v>73.45</v>
      </c>
    </row>
    <row r="1479" spans="1:2">
      <c r="A1479" s="1">
        <v>44440</v>
      </c>
      <c r="B1479" s="4">
        <v>71.989999999999995</v>
      </c>
    </row>
    <row r="1480" spans="1:2">
      <c r="A1480" s="1">
        <v>44441</v>
      </c>
      <c r="B1480" s="4">
        <v>73.56</v>
      </c>
    </row>
    <row r="1481" spans="1:2">
      <c r="A1481" s="1">
        <v>44442</v>
      </c>
      <c r="B1481" s="4">
        <v>73.069999999999993</v>
      </c>
    </row>
    <row r="1482" spans="1:2">
      <c r="A1482" s="1">
        <v>44445</v>
      </c>
      <c r="B1482" s="4">
        <v>72.430000000000007</v>
      </c>
    </row>
    <row r="1483" spans="1:2">
      <c r="A1483" s="1">
        <v>44446</v>
      </c>
      <c r="B1483" s="4">
        <v>71.52</v>
      </c>
    </row>
    <row r="1484" spans="1:2">
      <c r="A1484" s="1">
        <v>44447</v>
      </c>
      <c r="B1484" s="4">
        <v>72.36</v>
      </c>
    </row>
    <row r="1485" spans="1:2">
      <c r="A1485" s="1">
        <v>44448</v>
      </c>
      <c r="B1485" s="4">
        <v>71.319999999999993</v>
      </c>
    </row>
    <row r="1486" spans="1:2">
      <c r="A1486" s="1">
        <v>44449</v>
      </c>
      <c r="B1486" s="4">
        <v>72.44</v>
      </c>
    </row>
    <row r="1487" spans="1:2">
      <c r="A1487" s="1">
        <v>44452</v>
      </c>
      <c r="B1487" s="4">
        <v>72.97</v>
      </c>
    </row>
    <row r="1488" spans="1:2">
      <c r="A1488" s="1">
        <v>44453</v>
      </c>
      <c r="B1488" s="4">
        <v>73.05</v>
      </c>
    </row>
    <row r="1489" spans="1:2">
      <c r="A1489" s="1">
        <v>44454</v>
      </c>
      <c r="B1489" s="4">
        <v>74.84</v>
      </c>
    </row>
    <row r="1490" spans="1:2">
      <c r="A1490" s="1">
        <v>44455</v>
      </c>
      <c r="B1490" s="4">
        <v>75.14</v>
      </c>
    </row>
    <row r="1491" spans="1:2">
      <c r="A1491" s="1">
        <v>44456</v>
      </c>
      <c r="B1491" s="4">
        <v>74.64</v>
      </c>
    </row>
    <row r="1492" spans="1:2">
      <c r="A1492" s="1">
        <v>44459</v>
      </c>
      <c r="B1492" s="4">
        <v>73.59</v>
      </c>
    </row>
    <row r="1493" spans="1:2">
      <c r="A1493" s="1">
        <v>44460</v>
      </c>
      <c r="B1493" s="4">
        <v>73.650000000000006</v>
      </c>
    </row>
    <row r="1494" spans="1:2">
      <c r="A1494" s="1">
        <v>44461</v>
      </c>
      <c r="B1494" s="4">
        <v>75.5</v>
      </c>
    </row>
    <row r="1495" spans="1:2">
      <c r="A1495" s="1">
        <v>44462</v>
      </c>
      <c r="B1495" s="4">
        <v>76.44</v>
      </c>
    </row>
    <row r="1496" spans="1:2">
      <c r="A1496" s="1">
        <v>44463</v>
      </c>
      <c r="B1496" s="4">
        <v>77.42</v>
      </c>
    </row>
    <row r="1497" spans="1:2">
      <c r="A1497" s="1">
        <v>44466</v>
      </c>
      <c r="B1497" s="4">
        <v>78.849999999999994</v>
      </c>
    </row>
    <row r="1498" spans="1:2">
      <c r="A1498" s="1">
        <v>44467</v>
      </c>
      <c r="B1498" s="4">
        <v>78.3</v>
      </c>
    </row>
    <row r="1499" spans="1:2">
      <c r="A1499" s="1">
        <v>44468</v>
      </c>
      <c r="B1499" s="4">
        <v>77.86</v>
      </c>
    </row>
    <row r="1500" spans="1:2">
      <c r="A1500" s="1">
        <v>44469</v>
      </c>
      <c r="B1500" s="4">
        <v>77.81</v>
      </c>
    </row>
    <row r="1501" spans="1:2">
      <c r="A1501" s="1">
        <v>44470</v>
      </c>
      <c r="B1501" s="4">
        <v>79.400000000000006</v>
      </c>
    </row>
    <row r="1502" spans="1:2">
      <c r="A1502" s="1">
        <v>44473</v>
      </c>
      <c r="B1502" s="4">
        <v>81.44</v>
      </c>
    </row>
    <row r="1503" spans="1:2">
      <c r="A1503" s="1">
        <v>44474</v>
      </c>
      <c r="B1503" s="4">
        <v>82.72</v>
      </c>
    </row>
    <row r="1504" spans="1:2">
      <c r="A1504" s="1">
        <v>44475</v>
      </c>
      <c r="B1504" s="4">
        <v>81.39</v>
      </c>
    </row>
    <row r="1505" spans="1:2">
      <c r="A1505" s="1">
        <v>44476</v>
      </c>
      <c r="B1505" s="4">
        <v>82.34</v>
      </c>
    </row>
    <row r="1506" spans="1:2">
      <c r="A1506" s="1">
        <v>44477</v>
      </c>
      <c r="B1506" s="4">
        <v>82.17</v>
      </c>
    </row>
    <row r="1507" spans="1:2">
      <c r="A1507" s="1">
        <v>44480</v>
      </c>
      <c r="B1507" s="4">
        <v>83.75</v>
      </c>
    </row>
    <row r="1508" spans="1:2">
      <c r="A1508" s="1">
        <v>44481</v>
      </c>
      <c r="B1508" s="4">
        <v>83.53</v>
      </c>
    </row>
    <row r="1509" spans="1:2">
      <c r="A1509" s="1">
        <v>44482</v>
      </c>
      <c r="B1509" s="4">
        <v>83.53</v>
      </c>
    </row>
    <row r="1510" spans="1:2">
      <c r="A1510" s="1">
        <v>44483</v>
      </c>
      <c r="B1510" s="4">
        <v>83.86</v>
      </c>
    </row>
    <row r="1511" spans="1:2">
      <c r="A1511" s="1">
        <v>44484</v>
      </c>
      <c r="B1511" s="4">
        <v>84.67</v>
      </c>
    </row>
    <row r="1512" spans="1:2">
      <c r="A1512" s="1">
        <v>44487</v>
      </c>
      <c r="B1512" s="4">
        <v>84.13</v>
      </c>
    </row>
    <row r="1513" spans="1:2">
      <c r="A1513" s="1">
        <v>44488</v>
      </c>
      <c r="B1513" s="4">
        <v>85.02</v>
      </c>
    </row>
    <row r="1514" spans="1:2">
      <c r="A1514" s="1">
        <v>44489</v>
      </c>
      <c r="B1514" s="4">
        <v>85.76</v>
      </c>
    </row>
    <row r="1515" spans="1:2">
      <c r="A1515" s="1">
        <v>44490</v>
      </c>
      <c r="B1515" s="4">
        <v>84.58</v>
      </c>
    </row>
    <row r="1516" spans="1:2">
      <c r="A1516" s="1">
        <v>44491</v>
      </c>
      <c r="B1516" s="4">
        <v>85.43</v>
      </c>
    </row>
    <row r="1517" spans="1:2">
      <c r="A1517" s="1">
        <v>44494</v>
      </c>
      <c r="B1517" s="4">
        <v>84.85</v>
      </c>
    </row>
    <row r="1518" spans="1:2">
      <c r="A1518" s="1">
        <v>44495</v>
      </c>
      <c r="B1518" s="4">
        <v>85.11</v>
      </c>
    </row>
    <row r="1519" spans="1:2">
      <c r="A1519" s="1">
        <v>44496</v>
      </c>
      <c r="B1519" s="4">
        <v>84.12</v>
      </c>
    </row>
    <row r="1520" spans="1:2">
      <c r="A1520" s="1">
        <v>44497</v>
      </c>
      <c r="B1520" s="4">
        <v>83.4</v>
      </c>
    </row>
    <row r="1521" spans="1:2">
      <c r="A1521" s="1">
        <v>44498</v>
      </c>
      <c r="B1521" s="4">
        <v>83.1</v>
      </c>
    </row>
    <row r="1522" spans="1:2">
      <c r="A1522" s="1">
        <v>44501</v>
      </c>
      <c r="B1522" s="4">
        <v>84.51</v>
      </c>
    </row>
    <row r="1523" spans="1:2">
      <c r="A1523" s="1">
        <v>44502</v>
      </c>
      <c r="B1523" s="4">
        <v>84.42</v>
      </c>
    </row>
    <row r="1524" spans="1:2">
      <c r="A1524" s="1">
        <v>44503</v>
      </c>
      <c r="B1524" s="4">
        <v>81.099999999999994</v>
      </c>
    </row>
    <row r="1525" spans="1:2">
      <c r="A1525" s="1">
        <v>44504</v>
      </c>
      <c r="B1525" s="4">
        <v>80.150000000000006</v>
      </c>
    </row>
    <row r="1526" spans="1:2">
      <c r="A1526" s="1">
        <v>44505</v>
      </c>
      <c r="B1526" s="4">
        <v>82.43</v>
      </c>
    </row>
    <row r="1527" spans="1:2">
      <c r="A1527" s="1">
        <v>44508</v>
      </c>
      <c r="B1527" s="4">
        <v>83.22</v>
      </c>
    </row>
    <row r="1528" spans="1:2">
      <c r="A1528" s="1">
        <v>44509</v>
      </c>
      <c r="B1528" s="4">
        <v>84.52</v>
      </c>
    </row>
    <row r="1529" spans="1:2">
      <c r="A1529" s="1">
        <v>44510</v>
      </c>
      <c r="B1529" s="4">
        <v>82.91</v>
      </c>
    </row>
    <row r="1530" spans="1:2">
      <c r="A1530" s="1">
        <v>44511</v>
      </c>
      <c r="B1530" s="4">
        <v>83.4</v>
      </c>
    </row>
    <row r="1531" spans="1:2">
      <c r="A1531" s="1">
        <v>44512</v>
      </c>
      <c r="B1531" s="4">
        <v>82.9</v>
      </c>
    </row>
    <row r="1532" spans="1:2">
      <c r="A1532" s="1">
        <v>44515</v>
      </c>
      <c r="B1532" s="4">
        <v>81.94</v>
      </c>
    </row>
    <row r="1533" spans="1:2">
      <c r="A1533" s="1">
        <v>44516</v>
      </c>
      <c r="B1533" s="4">
        <v>82.85</v>
      </c>
    </row>
    <row r="1534" spans="1:2">
      <c r="A1534" s="1">
        <v>44517</v>
      </c>
      <c r="B1534" s="4">
        <v>80.67</v>
      </c>
    </row>
    <row r="1535" spans="1:2">
      <c r="A1535" s="1">
        <v>44518</v>
      </c>
      <c r="B1535" s="4">
        <v>82.45</v>
      </c>
    </row>
    <row r="1536" spans="1:2">
      <c r="A1536" s="1">
        <v>44519</v>
      </c>
      <c r="B1536" s="4">
        <v>80.239999999999995</v>
      </c>
    </row>
    <row r="1537" spans="1:2">
      <c r="A1537" s="1">
        <v>44522</v>
      </c>
      <c r="B1537" s="4">
        <v>80.97</v>
      </c>
    </row>
    <row r="1538" spans="1:2">
      <c r="A1538" s="1">
        <v>44523</v>
      </c>
      <c r="B1538" s="4">
        <v>83.43</v>
      </c>
    </row>
    <row r="1539" spans="1:2">
      <c r="A1539" s="1">
        <v>44524</v>
      </c>
      <c r="B1539" s="4">
        <v>82.37</v>
      </c>
    </row>
    <row r="1540" spans="1:2">
      <c r="A1540" s="1">
        <v>44525</v>
      </c>
      <c r="B1540" s="4">
        <v>82.05</v>
      </c>
    </row>
    <row r="1541" spans="1:2">
      <c r="A1541" s="1">
        <v>44526</v>
      </c>
      <c r="B1541" s="4">
        <v>72.37</v>
      </c>
    </row>
    <row r="1542" spans="1:2">
      <c r="A1542" s="1">
        <v>44529</v>
      </c>
      <c r="B1542" s="4">
        <v>73.34</v>
      </c>
    </row>
    <row r="1543" spans="1:2">
      <c r="A1543" s="1">
        <v>44530</v>
      </c>
      <c r="B1543" s="4">
        <v>70.86</v>
      </c>
    </row>
    <row r="1544" spans="1:2">
      <c r="A1544" s="1">
        <v>44531</v>
      </c>
      <c r="B1544" s="4">
        <v>69.53</v>
      </c>
    </row>
    <row r="1545" spans="1:2">
      <c r="A1545" s="1">
        <v>44532</v>
      </c>
      <c r="B1545" s="4">
        <v>70.56</v>
      </c>
    </row>
    <row r="1546" spans="1:2">
      <c r="A1546" s="1">
        <v>44533</v>
      </c>
      <c r="B1546" s="4">
        <v>70.709999999999994</v>
      </c>
    </row>
    <row r="1547" spans="1:2">
      <c r="A1547" s="1">
        <v>44536</v>
      </c>
      <c r="B1547" s="4">
        <v>73.38</v>
      </c>
    </row>
    <row r="1548" spans="1:2">
      <c r="A1548" s="1">
        <v>44537</v>
      </c>
      <c r="B1548" s="4">
        <v>75.540000000000006</v>
      </c>
    </row>
    <row r="1549" spans="1:2">
      <c r="A1549" s="1">
        <v>44538</v>
      </c>
      <c r="B1549" s="4">
        <v>75.94</v>
      </c>
    </row>
    <row r="1550" spans="1:2">
      <c r="A1550" s="1">
        <v>44539</v>
      </c>
      <c r="B1550" s="4">
        <v>74.099999999999994</v>
      </c>
    </row>
    <row r="1551" spans="1:2">
      <c r="A1551" s="1">
        <v>44540</v>
      </c>
      <c r="B1551" s="4">
        <v>74.98</v>
      </c>
    </row>
    <row r="1552" spans="1:2">
      <c r="A1552" s="1">
        <v>44543</v>
      </c>
      <c r="B1552" s="4">
        <v>74.12</v>
      </c>
    </row>
    <row r="1553" spans="1:2">
      <c r="A1553" s="1">
        <v>44544</v>
      </c>
      <c r="B1553" s="4">
        <v>73.37</v>
      </c>
    </row>
    <row r="1554" spans="1:2">
      <c r="A1554" s="1">
        <v>44545</v>
      </c>
      <c r="B1554" s="4">
        <v>73.709999999999994</v>
      </c>
    </row>
    <row r="1555" spans="1:2">
      <c r="A1555" s="1">
        <v>44546</v>
      </c>
      <c r="B1555" s="4">
        <v>74.64</v>
      </c>
    </row>
    <row r="1556" spans="1:2">
      <c r="A1556" s="1">
        <v>44547</v>
      </c>
      <c r="B1556" s="4">
        <v>72.97</v>
      </c>
    </row>
    <row r="1557" spans="1:2">
      <c r="A1557" s="1">
        <v>44550</v>
      </c>
      <c r="B1557" s="4">
        <v>70.510000000000005</v>
      </c>
    </row>
    <row r="1558" spans="1:2">
      <c r="A1558" s="1">
        <v>44551</v>
      </c>
      <c r="B1558" s="4">
        <v>72.849999999999994</v>
      </c>
    </row>
    <row r="1559" spans="1:2">
      <c r="A1559" s="1">
        <v>44552</v>
      </c>
      <c r="B1559" s="4">
        <v>74.69</v>
      </c>
    </row>
    <row r="1560" spans="1:2">
      <c r="A1560" s="1">
        <v>44553</v>
      </c>
      <c r="B1560" s="4">
        <v>76.260000000000005</v>
      </c>
    </row>
    <row r="1561" spans="1:2">
      <c r="A1561" s="1">
        <v>44554</v>
      </c>
      <c r="B1561" s="4">
        <v>75.239999999999995</v>
      </c>
    </row>
    <row r="1562" spans="1:2">
      <c r="A1562" s="1">
        <v>44557</v>
      </c>
      <c r="B1562" s="4"/>
    </row>
    <row r="1563" spans="1:2">
      <c r="A1563" s="1">
        <v>44558</v>
      </c>
      <c r="B1563" s="4"/>
    </row>
    <row r="1564" spans="1:2">
      <c r="A1564" s="1">
        <v>44559</v>
      </c>
      <c r="B1564" s="4">
        <v>78.63</v>
      </c>
    </row>
    <row r="1565" spans="1:2">
      <c r="A1565" s="1">
        <v>44560</v>
      </c>
      <c r="B1565" s="4">
        <v>78.61</v>
      </c>
    </row>
    <row r="1566" spans="1:2">
      <c r="A1566" s="1">
        <v>44561</v>
      </c>
      <c r="B1566" s="4">
        <v>77.239999999999995</v>
      </c>
    </row>
    <row r="1567" spans="1:2">
      <c r="A1567" s="1">
        <v>44564</v>
      </c>
      <c r="B1567" s="4">
        <v>78.25</v>
      </c>
    </row>
    <row r="1568" spans="1:2">
      <c r="A1568" s="1">
        <v>44565</v>
      </c>
      <c r="B1568" s="4">
        <v>79.39</v>
      </c>
    </row>
    <row r="1569" spans="1:2">
      <c r="A1569" s="1">
        <v>44566</v>
      </c>
      <c r="B1569" s="4">
        <v>80.599999999999994</v>
      </c>
    </row>
    <row r="1570" spans="1:2">
      <c r="A1570" s="1">
        <v>44567</v>
      </c>
      <c r="B1570" s="4">
        <v>81.99</v>
      </c>
    </row>
    <row r="1571" spans="1:2">
      <c r="A1571" s="1">
        <v>44568</v>
      </c>
      <c r="B1571" s="4">
        <v>82.28</v>
      </c>
    </row>
    <row r="1572" spans="1:2">
      <c r="A1572" s="1">
        <v>44571</v>
      </c>
      <c r="B1572" s="4">
        <v>81.56</v>
      </c>
    </row>
    <row r="1573" spans="1:2">
      <c r="A1573" s="1">
        <v>44572</v>
      </c>
      <c r="B1573" s="4">
        <v>84.98</v>
      </c>
    </row>
    <row r="1574" spans="1:2">
      <c r="A1574" s="1">
        <v>44573</v>
      </c>
      <c r="B1574" s="4">
        <v>85.83</v>
      </c>
    </row>
    <row r="1575" spans="1:2">
      <c r="A1575" s="1">
        <v>44574</v>
      </c>
      <c r="B1575" s="4">
        <v>85.8</v>
      </c>
    </row>
    <row r="1576" spans="1:2">
      <c r="A1576" s="1">
        <v>44575</v>
      </c>
      <c r="B1576" s="4">
        <v>87.17</v>
      </c>
    </row>
    <row r="1577" spans="1:2">
      <c r="A1577" s="1">
        <v>44578</v>
      </c>
      <c r="B1577" s="4">
        <v>87.82</v>
      </c>
    </row>
    <row r="1578" spans="1:2">
      <c r="A1578" s="1">
        <v>44579</v>
      </c>
      <c r="B1578" s="4">
        <v>88.83</v>
      </c>
    </row>
    <row r="1579" spans="1:2">
      <c r="A1579" s="1">
        <v>44580</v>
      </c>
      <c r="B1579" s="4">
        <v>89.64</v>
      </c>
    </row>
    <row r="1580" spans="1:2">
      <c r="A1580" s="1">
        <v>44581</v>
      </c>
      <c r="B1580" s="4">
        <v>89.75</v>
      </c>
    </row>
    <row r="1581" spans="1:2">
      <c r="A1581" s="1">
        <v>44582</v>
      </c>
      <c r="B1581" s="4">
        <v>89.75</v>
      </c>
    </row>
    <row r="1582" spans="1:2">
      <c r="A1582" s="1">
        <v>44585</v>
      </c>
      <c r="B1582" s="4">
        <v>87.74</v>
      </c>
    </row>
    <row r="1583" spans="1:2">
      <c r="A1583" s="1">
        <v>44586</v>
      </c>
      <c r="B1583" s="4">
        <v>89.49</v>
      </c>
    </row>
    <row r="1584" spans="1:2">
      <c r="A1584" s="1">
        <v>44587</v>
      </c>
      <c r="B1584" s="4">
        <v>91.22</v>
      </c>
    </row>
    <row r="1585" spans="1:2">
      <c r="A1585" s="1">
        <v>44588</v>
      </c>
      <c r="B1585" s="4">
        <v>90.7</v>
      </c>
    </row>
    <row r="1586" spans="1:2">
      <c r="A1586" s="1">
        <v>44589</v>
      </c>
      <c r="B1586" s="4">
        <v>91.47</v>
      </c>
    </row>
    <row r="1587" spans="1:2">
      <c r="A1587" s="1">
        <v>44592</v>
      </c>
      <c r="B1587" s="4">
        <v>92.35</v>
      </c>
    </row>
    <row r="1588" spans="1:2">
      <c r="A1588" s="1">
        <v>44593</v>
      </c>
      <c r="B1588" s="4">
        <v>90.24</v>
      </c>
    </row>
    <row r="1589" spans="1:2">
      <c r="A1589" s="1">
        <v>44594</v>
      </c>
      <c r="B1589" s="4">
        <v>91.43</v>
      </c>
    </row>
    <row r="1590" spans="1:2">
      <c r="A1590" s="1">
        <v>44595</v>
      </c>
      <c r="B1590" s="4">
        <v>92.99</v>
      </c>
    </row>
    <row r="1591" spans="1:2">
      <c r="A1591" s="1">
        <v>44596</v>
      </c>
      <c r="B1591" s="4">
        <v>96.86</v>
      </c>
    </row>
    <row r="1592" spans="1:2">
      <c r="A1592" s="1">
        <v>44599</v>
      </c>
      <c r="B1592" s="4">
        <v>97.28</v>
      </c>
    </row>
    <row r="1593" spans="1:2">
      <c r="A1593" s="1">
        <v>44600</v>
      </c>
      <c r="B1593" s="4">
        <v>96.07</v>
      </c>
    </row>
    <row r="1594" spans="1:2">
      <c r="A1594" s="1">
        <v>44601</v>
      </c>
      <c r="B1594" s="4">
        <v>94.95</v>
      </c>
    </row>
    <row r="1595" spans="1:2">
      <c r="A1595" s="1">
        <v>44602</v>
      </c>
      <c r="B1595" s="4">
        <v>96.37</v>
      </c>
    </row>
    <row r="1596" spans="1:2">
      <c r="A1596" s="1">
        <v>44603</v>
      </c>
      <c r="B1596" s="4">
        <v>97.5</v>
      </c>
    </row>
    <row r="1597" spans="1:2">
      <c r="A1597" s="1">
        <v>44606</v>
      </c>
      <c r="B1597" s="4">
        <v>101.66</v>
      </c>
    </row>
    <row r="1598" spans="1:2">
      <c r="A1598" s="1">
        <v>44607</v>
      </c>
      <c r="B1598" s="4">
        <v>98.43</v>
      </c>
    </row>
    <row r="1599" spans="1:2">
      <c r="A1599" s="1">
        <v>44608</v>
      </c>
      <c r="B1599" s="4">
        <v>97.44</v>
      </c>
    </row>
    <row r="1600" spans="1:2">
      <c r="A1600" s="1">
        <v>44609</v>
      </c>
      <c r="B1600" s="4">
        <v>95.28</v>
      </c>
    </row>
    <row r="1601" spans="1:2">
      <c r="A1601" s="1">
        <v>44610</v>
      </c>
      <c r="B1601" s="4">
        <v>96.18</v>
      </c>
    </row>
    <row r="1602" spans="1:2">
      <c r="A1602" s="1">
        <v>44613</v>
      </c>
      <c r="B1602" s="4">
        <v>98.95</v>
      </c>
    </row>
    <row r="1603" spans="1:2">
      <c r="A1603" s="1">
        <v>44614</v>
      </c>
      <c r="B1603" s="4">
        <v>98.73</v>
      </c>
    </row>
    <row r="1604" spans="1:2">
      <c r="A1604" s="1">
        <v>44615</v>
      </c>
      <c r="B1604" s="4">
        <v>99.29</v>
      </c>
    </row>
    <row r="1605" spans="1:2">
      <c r="A1605" s="1">
        <v>44616</v>
      </c>
      <c r="B1605" s="4">
        <v>101.29</v>
      </c>
    </row>
    <row r="1606" spans="1:2">
      <c r="A1606" s="1">
        <v>44617</v>
      </c>
      <c r="B1606" s="4">
        <v>98.56</v>
      </c>
    </row>
    <row r="1607" spans="1:2">
      <c r="A1607" s="1">
        <v>44620</v>
      </c>
      <c r="B1607" s="4">
        <v>103.08</v>
      </c>
    </row>
    <row r="1608" spans="1:2">
      <c r="A1608" s="1">
        <v>44621</v>
      </c>
      <c r="B1608" s="4">
        <v>110.93</v>
      </c>
    </row>
    <row r="1609" spans="1:2">
      <c r="A1609" s="1">
        <v>44622</v>
      </c>
      <c r="B1609" s="4">
        <v>118.94</v>
      </c>
    </row>
    <row r="1610" spans="1:2">
      <c r="A1610" s="1">
        <v>44623</v>
      </c>
      <c r="B1610" s="4">
        <v>115.36</v>
      </c>
    </row>
    <row r="1611" spans="1:2">
      <c r="A1611" s="1">
        <v>44624</v>
      </c>
      <c r="B1611" s="4">
        <v>123.86</v>
      </c>
    </row>
    <row r="1612" spans="1:2">
      <c r="A1612" s="1">
        <v>44627</v>
      </c>
      <c r="B1612" s="4">
        <v>129.02000000000001</v>
      </c>
    </row>
    <row r="1613" spans="1:2">
      <c r="A1613" s="1">
        <v>44628</v>
      </c>
      <c r="B1613" s="4">
        <v>133.18</v>
      </c>
    </row>
    <row r="1614" spans="1:2">
      <c r="A1614" s="1">
        <v>44629</v>
      </c>
      <c r="B1614" s="4">
        <v>116.58</v>
      </c>
    </row>
    <row r="1615" spans="1:2">
      <c r="A1615" s="1">
        <v>44630</v>
      </c>
      <c r="B1615" s="4">
        <v>114.54</v>
      </c>
    </row>
    <row r="1616" spans="1:2">
      <c r="A1616" s="1">
        <v>44631</v>
      </c>
      <c r="B1616" s="4">
        <v>118.11</v>
      </c>
    </row>
    <row r="1617" spans="1:2">
      <c r="A1617" s="1">
        <v>44634</v>
      </c>
      <c r="B1617" s="4">
        <v>110.39</v>
      </c>
    </row>
    <row r="1618" spans="1:2">
      <c r="A1618" s="1">
        <v>44635</v>
      </c>
      <c r="B1618" s="4">
        <v>105.14</v>
      </c>
    </row>
    <row r="1619" spans="1:2">
      <c r="A1619" s="1">
        <v>44636</v>
      </c>
      <c r="B1619" s="4">
        <v>104.61</v>
      </c>
    </row>
    <row r="1620" spans="1:2">
      <c r="A1620" s="1">
        <v>44637</v>
      </c>
      <c r="B1620" s="4">
        <v>113.5</v>
      </c>
    </row>
    <row r="1621" spans="1:2">
      <c r="A1621" s="1">
        <v>44638</v>
      </c>
      <c r="B1621" s="4">
        <v>114.32</v>
      </c>
    </row>
    <row r="1622" spans="1:2">
      <c r="A1622" s="1">
        <v>44641</v>
      </c>
      <c r="B1622" s="4">
        <v>122.29</v>
      </c>
    </row>
    <row r="1623" spans="1:2">
      <c r="A1623" s="1">
        <v>44642</v>
      </c>
      <c r="B1623" s="4">
        <v>121.53</v>
      </c>
    </row>
    <row r="1624" spans="1:2">
      <c r="A1624" s="1">
        <v>44643</v>
      </c>
      <c r="B1624" s="4">
        <v>127.52</v>
      </c>
    </row>
    <row r="1625" spans="1:2">
      <c r="A1625" s="1">
        <v>44644</v>
      </c>
      <c r="B1625" s="4">
        <v>123.98</v>
      </c>
    </row>
    <row r="1626" spans="1:2">
      <c r="A1626" s="1">
        <v>44645</v>
      </c>
      <c r="B1626" s="4">
        <v>122.67</v>
      </c>
    </row>
    <row r="1627" spans="1:2">
      <c r="A1627" s="1">
        <v>44648</v>
      </c>
      <c r="B1627" s="4">
        <v>114.5</v>
      </c>
    </row>
    <row r="1628" spans="1:2">
      <c r="A1628" s="1">
        <v>44649</v>
      </c>
      <c r="B1628" s="4">
        <v>112.79</v>
      </c>
    </row>
    <row r="1629" spans="1:2">
      <c r="A1629" s="1">
        <v>44650</v>
      </c>
      <c r="B1629" s="4">
        <v>115.59</v>
      </c>
    </row>
    <row r="1630" spans="1:2">
      <c r="A1630" s="1">
        <v>44651</v>
      </c>
      <c r="B1630" s="4">
        <v>107.29</v>
      </c>
    </row>
    <row r="1631" spans="1:2">
      <c r="A1631" s="1">
        <v>44652</v>
      </c>
      <c r="B1631" s="4">
        <v>106.13</v>
      </c>
    </row>
    <row r="1632" spans="1:2">
      <c r="A1632" s="1">
        <v>44655</v>
      </c>
      <c r="B1632" s="4">
        <v>108.15</v>
      </c>
    </row>
    <row r="1633" spans="1:2">
      <c r="A1633" s="1">
        <v>44656</v>
      </c>
      <c r="B1633" s="4">
        <v>106.6</v>
      </c>
    </row>
    <row r="1634" spans="1:2">
      <c r="A1634" s="1">
        <v>44657</v>
      </c>
      <c r="B1634" s="4">
        <v>100.81</v>
      </c>
    </row>
    <row r="1635" spans="1:2">
      <c r="A1635" s="1">
        <v>44658</v>
      </c>
      <c r="B1635" s="4">
        <v>99.83</v>
      </c>
    </row>
    <row r="1636" spans="1:2">
      <c r="A1636" s="1">
        <v>44659</v>
      </c>
      <c r="B1636" s="4">
        <v>101.26</v>
      </c>
    </row>
    <row r="1637" spans="1:2">
      <c r="A1637" s="1">
        <v>44662</v>
      </c>
      <c r="B1637" s="4">
        <v>97.92</v>
      </c>
    </row>
    <row r="1638" spans="1:2">
      <c r="A1638" s="1">
        <v>44663</v>
      </c>
      <c r="B1638" s="4">
        <v>104.42</v>
      </c>
    </row>
    <row r="1639" spans="1:2">
      <c r="A1639" s="1">
        <v>44664</v>
      </c>
      <c r="B1639" s="4">
        <v>108.49</v>
      </c>
    </row>
    <row r="1640" spans="1:2">
      <c r="A1640" s="1">
        <v>44665</v>
      </c>
      <c r="B1640" s="4">
        <v>110.83</v>
      </c>
    </row>
    <row r="1641" spans="1:2">
      <c r="A1641" s="1">
        <v>44666</v>
      </c>
      <c r="B1641" s="4"/>
    </row>
    <row r="1642" spans="1:2">
      <c r="A1642" s="1">
        <v>44669</v>
      </c>
      <c r="B1642" s="4"/>
    </row>
    <row r="1643" spans="1:2">
      <c r="A1643" s="1">
        <v>44670</v>
      </c>
      <c r="B1643" s="4">
        <v>105.49</v>
      </c>
    </row>
    <row r="1644" spans="1:2">
      <c r="A1644" s="1">
        <v>44671</v>
      </c>
      <c r="B1644" s="4">
        <v>105.05</v>
      </c>
    </row>
    <row r="1645" spans="1:2">
      <c r="A1645" s="1">
        <v>44672</v>
      </c>
      <c r="B1645" s="4">
        <v>107.2</v>
      </c>
    </row>
    <row r="1646" spans="1:2">
      <c r="A1646" s="1">
        <v>44673</v>
      </c>
      <c r="B1646" s="4">
        <v>105.15</v>
      </c>
    </row>
    <row r="1647" spans="1:2">
      <c r="A1647" s="1">
        <v>44676</v>
      </c>
      <c r="B1647" s="4">
        <v>99.27</v>
      </c>
    </row>
    <row r="1648" spans="1:2">
      <c r="A1648" s="1">
        <v>44677</v>
      </c>
      <c r="B1648" s="4">
        <v>102.89</v>
      </c>
    </row>
    <row r="1649" spans="1:2">
      <c r="A1649" s="1">
        <v>44678</v>
      </c>
      <c r="B1649" s="4">
        <v>103.3</v>
      </c>
    </row>
    <row r="1650" spans="1:2">
      <c r="A1650" s="1">
        <v>44679</v>
      </c>
      <c r="B1650" s="4">
        <v>105.78</v>
      </c>
    </row>
    <row r="1651" spans="1:2">
      <c r="A1651" s="1">
        <v>44680</v>
      </c>
      <c r="B1651" s="4">
        <v>108.36</v>
      </c>
    </row>
    <row r="1652" spans="1:2">
      <c r="A1652" s="1">
        <v>44683</v>
      </c>
      <c r="B1652" s="4"/>
    </row>
    <row r="1653" spans="1:2">
      <c r="A1653" s="1">
        <v>44684</v>
      </c>
      <c r="B1653" s="4">
        <v>104.94</v>
      </c>
    </row>
    <row r="1654" spans="1:2">
      <c r="A1654" s="1">
        <v>44685</v>
      </c>
      <c r="B1654" s="4">
        <v>110.53</v>
      </c>
    </row>
    <row r="1655" spans="1:2">
      <c r="A1655" s="1">
        <v>44686</v>
      </c>
      <c r="B1655" s="4">
        <v>112.11</v>
      </c>
    </row>
    <row r="1656" spans="1:2">
      <c r="A1656" s="1">
        <v>44687</v>
      </c>
      <c r="B1656" s="4">
        <v>113.86</v>
      </c>
    </row>
    <row r="1657" spans="1:2">
      <c r="A1657" s="1">
        <v>44690</v>
      </c>
      <c r="B1657" s="4">
        <v>106.67</v>
      </c>
    </row>
    <row r="1658" spans="1:2">
      <c r="A1658" s="1">
        <v>44691</v>
      </c>
      <c r="B1658" s="4">
        <v>102.61</v>
      </c>
    </row>
    <row r="1659" spans="1:2">
      <c r="A1659" s="1">
        <v>44692</v>
      </c>
      <c r="B1659" s="4">
        <v>107.7</v>
      </c>
    </row>
    <row r="1660" spans="1:2">
      <c r="A1660" s="1">
        <v>44693</v>
      </c>
      <c r="B1660" s="4">
        <v>108.06</v>
      </c>
    </row>
    <row r="1661" spans="1:2">
      <c r="A1661" s="1">
        <v>44694</v>
      </c>
      <c r="B1661" s="4">
        <v>112.12</v>
      </c>
    </row>
    <row r="1662" spans="1:2">
      <c r="A1662" s="1">
        <v>44697</v>
      </c>
      <c r="B1662" s="4">
        <v>114.86</v>
      </c>
    </row>
    <row r="1663" spans="1:2">
      <c r="A1663" s="1">
        <v>44698</v>
      </c>
      <c r="B1663" s="4">
        <v>112.89</v>
      </c>
    </row>
    <row r="1664" spans="1:2">
      <c r="A1664" s="1">
        <v>44699</v>
      </c>
      <c r="B1664" s="4">
        <v>110.04</v>
      </c>
    </row>
    <row r="1665" spans="1:2">
      <c r="A1665" s="1">
        <v>44700</v>
      </c>
      <c r="B1665" s="4">
        <v>113.22</v>
      </c>
    </row>
    <row r="1666" spans="1:2">
      <c r="A1666" s="1">
        <v>44701</v>
      </c>
      <c r="B1666" s="4">
        <v>113.63</v>
      </c>
    </row>
    <row r="1667" spans="1:2">
      <c r="A1667" s="1">
        <v>44704</v>
      </c>
      <c r="B1667" s="4">
        <v>115.13</v>
      </c>
    </row>
    <row r="1668" spans="1:2">
      <c r="A1668" s="1">
        <v>44705</v>
      </c>
      <c r="B1668" s="4">
        <v>115.77</v>
      </c>
    </row>
    <row r="1669" spans="1:2">
      <c r="A1669" s="1">
        <v>44706</v>
      </c>
      <c r="B1669" s="4">
        <v>116.41</v>
      </c>
    </row>
    <row r="1670" spans="1:2">
      <c r="A1670" s="1">
        <v>44707</v>
      </c>
      <c r="B1670" s="4">
        <v>119.81</v>
      </c>
    </row>
    <row r="1671" spans="1:2">
      <c r="A1671" s="1">
        <v>44708</v>
      </c>
      <c r="B1671" s="4">
        <v>121.19</v>
      </c>
    </row>
    <row r="1672" spans="1:2">
      <c r="A1672" s="1">
        <v>44711</v>
      </c>
      <c r="B1672" s="4">
        <v>123.01</v>
      </c>
    </row>
    <row r="1673" spans="1:2">
      <c r="A1673" s="1">
        <v>44712</v>
      </c>
      <c r="B1673" s="4">
        <v>125.53</v>
      </c>
    </row>
    <row r="1674" spans="1:2">
      <c r="A1674" s="1">
        <v>44713</v>
      </c>
      <c r="B1674" s="4">
        <v>122.2</v>
      </c>
    </row>
    <row r="1675" spans="1:2">
      <c r="A1675" s="1">
        <v>44714</v>
      </c>
      <c r="B1675" s="4"/>
    </row>
    <row r="1676" spans="1:2">
      <c r="A1676" s="1">
        <v>44715</v>
      </c>
      <c r="B1676" s="4">
        <v>125.68</v>
      </c>
    </row>
    <row r="1677" spans="1:2">
      <c r="A1677" s="1">
        <v>44718</v>
      </c>
      <c r="B1677" s="4">
        <v>124.99</v>
      </c>
    </row>
    <row r="1678" spans="1:2">
      <c r="A1678" s="1">
        <v>44719</v>
      </c>
      <c r="B1678" s="4">
        <v>126.89</v>
      </c>
    </row>
    <row r="1679" spans="1:2">
      <c r="A1679" s="1">
        <v>44720</v>
      </c>
      <c r="B1679" s="4">
        <v>129.19999999999999</v>
      </c>
    </row>
    <row r="1680" spans="1:2">
      <c r="A1680" s="1">
        <v>44721</v>
      </c>
      <c r="B1680" s="4">
        <v>128.47</v>
      </c>
    </row>
    <row r="1681" spans="1:2">
      <c r="A1681" s="1">
        <v>44722</v>
      </c>
      <c r="B1681" s="4">
        <v>127.44</v>
      </c>
    </row>
    <row r="1682" spans="1:2">
      <c r="A1682" s="1">
        <v>44725</v>
      </c>
      <c r="B1682" s="4">
        <v>128.44</v>
      </c>
    </row>
    <row r="1683" spans="1:2">
      <c r="A1683" s="1">
        <v>44726</v>
      </c>
      <c r="B1683" s="4">
        <v>127.02</v>
      </c>
    </row>
    <row r="1684" spans="1:2">
      <c r="A1684" s="1">
        <v>44727</v>
      </c>
      <c r="B1684" s="4">
        <v>124.96</v>
      </c>
    </row>
    <row r="1685" spans="1:2">
      <c r="A1685" s="1">
        <v>44728</v>
      </c>
      <c r="B1685" s="4">
        <v>125.78</v>
      </c>
    </row>
    <row r="1686" spans="1:2">
      <c r="A1686" s="1">
        <v>44729</v>
      </c>
      <c r="B1686" s="4">
        <v>119.22</v>
      </c>
    </row>
    <row r="1687" spans="1:2">
      <c r="A1687" s="1">
        <v>44732</v>
      </c>
      <c r="B1687" s="4">
        <v>118.25</v>
      </c>
    </row>
    <row r="1688" spans="1:2">
      <c r="A1688" s="1">
        <v>44733</v>
      </c>
      <c r="B1688" s="4">
        <v>118.51</v>
      </c>
    </row>
    <row r="1689" spans="1:2">
      <c r="A1689" s="1">
        <v>44734</v>
      </c>
      <c r="B1689" s="4">
        <v>115.54</v>
      </c>
    </row>
    <row r="1690" spans="1:2">
      <c r="A1690" s="1">
        <v>44735</v>
      </c>
      <c r="B1690" s="4">
        <v>114.5</v>
      </c>
    </row>
    <row r="1691" spans="1:2">
      <c r="A1691" s="1">
        <v>44736</v>
      </c>
      <c r="B1691" s="4">
        <v>117.36</v>
      </c>
    </row>
    <row r="1692" spans="1:2">
      <c r="A1692" s="1">
        <v>44739</v>
      </c>
      <c r="B1692" s="4">
        <v>119.69</v>
      </c>
    </row>
    <row r="1693" spans="1:2">
      <c r="A1693" s="1">
        <v>44740</v>
      </c>
      <c r="B1693" s="4">
        <v>122.21</v>
      </c>
    </row>
    <row r="1694" spans="1:2">
      <c r="A1694" s="1">
        <v>44741</v>
      </c>
      <c r="B1694" s="4">
        <v>120.8</v>
      </c>
    </row>
    <row r="1695" spans="1:2">
      <c r="A1695" s="1">
        <v>44742</v>
      </c>
      <c r="B1695" s="4">
        <v>119.78</v>
      </c>
    </row>
    <row r="1696" spans="1:2">
      <c r="A1696" s="1">
        <v>44743</v>
      </c>
      <c r="B1696" s="4">
        <v>119.21</v>
      </c>
    </row>
    <row r="1697" spans="1:2">
      <c r="A1697" s="1">
        <v>44746</v>
      </c>
      <c r="B1697" s="4">
        <v>121.8</v>
      </c>
    </row>
    <row r="1698" spans="1:2">
      <c r="A1698" s="1">
        <v>44747</v>
      </c>
      <c r="B1698" s="4">
        <v>110.49</v>
      </c>
    </row>
    <row r="1699" spans="1:2">
      <c r="A1699" s="1">
        <v>44748</v>
      </c>
      <c r="B1699" s="4">
        <v>108.54</v>
      </c>
    </row>
    <row r="1700" spans="1:2">
      <c r="A1700" s="1">
        <v>44749</v>
      </c>
      <c r="B1700" s="4">
        <v>113.4</v>
      </c>
    </row>
    <row r="1701" spans="1:2">
      <c r="A1701" s="1">
        <v>44750</v>
      </c>
      <c r="B1701" s="4">
        <v>113.95</v>
      </c>
    </row>
    <row r="1702" spans="1:2">
      <c r="A1702" s="1">
        <v>44753</v>
      </c>
      <c r="B1702" s="4">
        <v>114.85</v>
      </c>
    </row>
    <row r="1703" spans="1:2">
      <c r="A1703" s="1">
        <v>44754</v>
      </c>
      <c r="B1703" s="4">
        <v>106.98</v>
      </c>
    </row>
    <row r="1704" spans="1:2">
      <c r="A1704" s="1">
        <v>44755</v>
      </c>
      <c r="B1704" s="4">
        <v>107.17</v>
      </c>
    </row>
    <row r="1705" spans="1:2">
      <c r="A1705" s="1">
        <v>44756</v>
      </c>
      <c r="B1705" s="4">
        <v>107.74</v>
      </c>
    </row>
    <row r="1706" spans="1:2">
      <c r="A1706" s="1">
        <v>44757</v>
      </c>
      <c r="B1706" s="4">
        <v>112.26</v>
      </c>
    </row>
    <row r="1707" spans="1:2">
      <c r="A1707" s="1">
        <v>44760</v>
      </c>
      <c r="B1707" s="4">
        <v>117.27</v>
      </c>
    </row>
    <row r="1708" spans="1:2">
      <c r="A1708" s="1">
        <v>44761</v>
      </c>
      <c r="B1708" s="4">
        <v>114.96</v>
      </c>
    </row>
    <row r="1709" spans="1:2">
      <c r="A1709" s="1">
        <v>44762</v>
      </c>
      <c r="B1709" s="4">
        <v>115.86</v>
      </c>
    </row>
    <row r="1710" spans="1:2">
      <c r="A1710" s="1">
        <v>44763</v>
      </c>
      <c r="B1710" s="4">
        <v>112.81</v>
      </c>
    </row>
    <row r="1711" spans="1:2">
      <c r="A1711" s="1">
        <v>44764</v>
      </c>
      <c r="B1711" s="4">
        <v>106.77</v>
      </c>
    </row>
    <row r="1712" spans="1:2">
      <c r="A1712" s="1">
        <v>44767</v>
      </c>
      <c r="B1712" s="4">
        <v>108.23</v>
      </c>
    </row>
    <row r="1713" spans="1:2">
      <c r="A1713" s="1">
        <v>44768</v>
      </c>
      <c r="B1713" s="4">
        <v>107.32</v>
      </c>
    </row>
    <row r="1714" spans="1:2">
      <c r="A1714" s="1">
        <v>44769</v>
      </c>
      <c r="B1714" s="4">
        <v>109.64</v>
      </c>
    </row>
    <row r="1715" spans="1:2">
      <c r="A1715" s="1">
        <v>44770</v>
      </c>
      <c r="B1715" s="4">
        <v>109.68</v>
      </c>
    </row>
    <row r="1716" spans="1:2">
      <c r="A1716" s="1">
        <v>44771</v>
      </c>
      <c r="B1716" s="4">
        <v>111.51</v>
      </c>
    </row>
    <row r="1717" spans="1:2">
      <c r="A1717" s="1">
        <v>44774</v>
      </c>
      <c r="B1717" s="4">
        <v>106.09</v>
      </c>
    </row>
    <row r="1718" spans="1:2">
      <c r="A1718" s="1">
        <v>44775</v>
      </c>
      <c r="B1718" s="4">
        <v>106.51</v>
      </c>
    </row>
    <row r="1719" spans="1:2">
      <c r="A1719" s="1">
        <v>44776</v>
      </c>
      <c r="B1719" s="4">
        <v>101.82</v>
      </c>
    </row>
    <row r="1720" spans="1:2">
      <c r="A1720" s="1">
        <v>44777</v>
      </c>
      <c r="B1720" s="4">
        <v>97.99</v>
      </c>
    </row>
    <row r="1721" spans="1:2">
      <c r="A1721" s="1">
        <v>44778</v>
      </c>
      <c r="B1721" s="4">
        <v>100.31</v>
      </c>
    </row>
    <row r="1722" spans="1:2">
      <c r="A1722" s="1">
        <v>44781</v>
      </c>
      <c r="B1722" s="4">
        <v>103.46</v>
      </c>
    </row>
    <row r="1723" spans="1:2">
      <c r="A1723" s="1">
        <v>44782</v>
      </c>
      <c r="B1723" s="4">
        <v>103.81</v>
      </c>
    </row>
    <row r="1724" spans="1:2">
      <c r="A1724" s="1">
        <v>44783</v>
      </c>
      <c r="B1724" s="4">
        <v>105.06</v>
      </c>
    </row>
    <row r="1725" spans="1:2">
      <c r="A1725" s="1">
        <v>44784</v>
      </c>
      <c r="B1725" s="4">
        <v>107.19</v>
      </c>
    </row>
    <row r="1726" spans="1:2">
      <c r="A1726" s="1">
        <v>44785</v>
      </c>
      <c r="B1726" s="4">
        <v>103.7</v>
      </c>
    </row>
    <row r="1727" spans="1:2">
      <c r="A1727" s="1">
        <v>44788</v>
      </c>
      <c r="B1727" s="4">
        <v>98.25</v>
      </c>
    </row>
    <row r="1728" spans="1:2">
      <c r="A1728" s="1">
        <v>44789</v>
      </c>
      <c r="B1728" s="4">
        <v>95.36</v>
      </c>
    </row>
    <row r="1729" spans="1:2">
      <c r="A1729" s="1">
        <v>44790</v>
      </c>
      <c r="B1729" s="4">
        <v>97.22</v>
      </c>
    </row>
    <row r="1730" spans="1:2">
      <c r="A1730" s="1">
        <v>44791</v>
      </c>
      <c r="B1730" s="4">
        <v>96.35</v>
      </c>
    </row>
    <row r="1731" spans="1:2">
      <c r="A1731" s="1">
        <v>44792</v>
      </c>
      <c r="B1731" s="4">
        <v>96.45</v>
      </c>
    </row>
    <row r="1732" spans="1:2">
      <c r="A1732" s="1">
        <v>44795</v>
      </c>
      <c r="B1732" s="4">
        <v>95.06</v>
      </c>
    </row>
    <row r="1733" spans="1:2">
      <c r="A1733" s="1">
        <v>44796</v>
      </c>
      <c r="B1733" s="4">
        <v>99.49</v>
      </c>
    </row>
    <row r="1734" spans="1:2">
      <c r="A1734" s="1">
        <v>44797</v>
      </c>
      <c r="B1734" s="4">
        <v>99.87</v>
      </c>
    </row>
    <row r="1735" spans="1:2">
      <c r="A1735" s="1">
        <v>44798</v>
      </c>
      <c r="B1735" s="4">
        <v>98.81</v>
      </c>
    </row>
    <row r="1736" spans="1:2">
      <c r="A1736" s="1">
        <v>44799</v>
      </c>
      <c r="B1736" s="4">
        <v>101.13</v>
      </c>
    </row>
    <row r="1737" spans="1:2">
      <c r="A1737" s="1">
        <v>44802</v>
      </c>
      <c r="B1737" s="4"/>
    </row>
    <row r="1738" spans="1:2">
      <c r="A1738" s="1">
        <v>44803</v>
      </c>
      <c r="B1738" s="4">
        <v>99.34</v>
      </c>
    </row>
    <row r="1739" spans="1:2">
      <c r="A1739" s="1">
        <v>44804</v>
      </c>
      <c r="B1739" s="4">
        <v>96.55</v>
      </c>
    </row>
    <row r="1740" spans="1:2">
      <c r="A1740" s="1">
        <v>44805</v>
      </c>
      <c r="B1740" s="4">
        <v>92.24</v>
      </c>
    </row>
    <row r="1741" spans="1:2">
      <c r="A1741" s="1">
        <v>44806</v>
      </c>
      <c r="B1741" s="4">
        <v>93.09</v>
      </c>
    </row>
    <row r="1742" spans="1:2">
      <c r="A1742" s="1">
        <v>44809</v>
      </c>
      <c r="B1742" s="4">
        <v>94.22</v>
      </c>
    </row>
    <row r="1743" spans="1:2">
      <c r="A1743" s="1">
        <v>44810</v>
      </c>
      <c r="B1743" s="4">
        <v>91.43</v>
      </c>
    </row>
    <row r="1744" spans="1:2">
      <c r="A1744" s="1">
        <v>44811</v>
      </c>
      <c r="B1744" s="4">
        <v>86.83</v>
      </c>
    </row>
    <row r="1745" spans="1:2">
      <c r="A1745" s="1">
        <v>44812</v>
      </c>
      <c r="B1745" s="4">
        <v>87.99</v>
      </c>
    </row>
    <row r="1746" spans="1:2">
      <c r="A1746" s="1">
        <v>44813</v>
      </c>
      <c r="B1746" s="4">
        <v>91.68</v>
      </c>
    </row>
    <row r="1747" spans="1:2">
      <c r="A1747" s="1">
        <v>44816</v>
      </c>
      <c r="B1747" s="4">
        <v>93.45</v>
      </c>
    </row>
    <row r="1748" spans="1:2">
      <c r="A1748" s="1">
        <v>44817</v>
      </c>
      <c r="B1748" s="4">
        <v>92.04</v>
      </c>
    </row>
    <row r="1749" spans="1:2">
      <c r="A1749" s="1">
        <v>44818</v>
      </c>
      <c r="B1749" s="4">
        <v>92.83</v>
      </c>
    </row>
    <row r="1750" spans="1:2">
      <c r="A1750" s="1">
        <v>44819</v>
      </c>
      <c r="B1750" s="4">
        <v>89.28</v>
      </c>
    </row>
    <row r="1751" spans="1:2">
      <c r="A1751" s="1">
        <v>44820</v>
      </c>
      <c r="B1751" s="4">
        <v>89.43</v>
      </c>
    </row>
    <row r="1752" spans="1:2">
      <c r="A1752" s="1">
        <v>44823</v>
      </c>
      <c r="B1752" s="4"/>
    </row>
    <row r="1753" spans="1:2">
      <c r="A1753" s="1">
        <v>44824</v>
      </c>
      <c r="B1753" s="4">
        <v>89.62</v>
      </c>
    </row>
    <row r="1754" spans="1:2">
      <c r="A1754" s="1">
        <v>44825</v>
      </c>
      <c r="B1754" s="4">
        <v>89.86</v>
      </c>
    </row>
    <row r="1755" spans="1:2">
      <c r="A1755" s="1">
        <v>44826</v>
      </c>
      <c r="B1755" s="4">
        <v>90.4</v>
      </c>
    </row>
    <row r="1756" spans="1:2">
      <c r="A1756" s="1">
        <v>44827</v>
      </c>
      <c r="B1756" s="4">
        <v>84.29</v>
      </c>
    </row>
    <row r="1757" spans="1:2">
      <c r="A1757" s="1">
        <v>44830</v>
      </c>
      <c r="B1757" s="4">
        <v>82.55</v>
      </c>
    </row>
    <row r="1758" spans="1:2">
      <c r="A1758" s="1">
        <v>44831</v>
      </c>
      <c r="B1758" s="4">
        <v>85.97</v>
      </c>
    </row>
    <row r="1759" spans="1:2">
      <c r="A1759" s="1">
        <v>44832</v>
      </c>
      <c r="B1759" s="4">
        <v>89.55</v>
      </c>
    </row>
    <row r="1760" spans="1:2">
      <c r="A1760" s="1">
        <v>44833</v>
      </c>
      <c r="B1760" s="4">
        <v>89.41</v>
      </c>
    </row>
    <row r="1761" spans="1:2">
      <c r="A1761" s="1">
        <v>44834</v>
      </c>
      <c r="B1761" s="4">
        <v>88.9</v>
      </c>
    </row>
    <row r="1762" spans="1:2">
      <c r="A1762" s="1">
        <v>44837</v>
      </c>
      <c r="B1762" s="4">
        <v>90.68</v>
      </c>
    </row>
    <row r="1763" spans="1:2">
      <c r="A1763" s="1">
        <v>44838</v>
      </c>
      <c r="B1763" s="4">
        <v>93.74</v>
      </c>
    </row>
    <row r="1764" spans="1:2">
      <c r="A1764" s="1">
        <v>44839</v>
      </c>
      <c r="B1764" s="4">
        <v>94.35</v>
      </c>
    </row>
    <row r="1765" spans="1:2">
      <c r="A1765" s="1">
        <v>44840</v>
      </c>
      <c r="B1765" s="4">
        <v>95.65</v>
      </c>
    </row>
    <row r="1766" spans="1:2">
      <c r="A1766" s="1">
        <v>44841</v>
      </c>
      <c r="B1766" s="4">
        <v>98.88</v>
      </c>
    </row>
    <row r="1767" spans="1:2">
      <c r="A1767" s="1">
        <v>44844</v>
      </c>
      <c r="B1767" s="4">
        <v>97.13</v>
      </c>
    </row>
    <row r="1768" spans="1:2">
      <c r="A1768" s="1">
        <v>44845</v>
      </c>
      <c r="B1768" s="4">
        <v>95.17</v>
      </c>
    </row>
    <row r="1769" spans="1:2">
      <c r="A1769" s="1">
        <v>44846</v>
      </c>
      <c r="B1769" s="4">
        <v>93.44</v>
      </c>
    </row>
    <row r="1770" spans="1:2">
      <c r="A1770" s="1">
        <v>44847</v>
      </c>
      <c r="B1770" s="4">
        <v>95.16</v>
      </c>
    </row>
    <row r="1771" spans="1:2">
      <c r="A1771" s="1">
        <v>44848</v>
      </c>
      <c r="B1771" s="4">
        <v>92.22</v>
      </c>
    </row>
    <row r="1772" spans="1:2">
      <c r="A1772" s="1">
        <v>44851</v>
      </c>
      <c r="B1772" s="4">
        <v>91.04</v>
      </c>
    </row>
    <row r="1773" spans="1:2">
      <c r="A1773" s="1">
        <v>44852</v>
      </c>
      <c r="B1773" s="4">
        <v>89.46</v>
      </c>
    </row>
    <row r="1774" spans="1:2">
      <c r="A1774" s="1">
        <v>44853</v>
      </c>
      <c r="B1774" s="4">
        <v>91.34</v>
      </c>
    </row>
    <row r="1775" spans="1:2">
      <c r="A1775" s="1">
        <v>44854</v>
      </c>
      <c r="B1775" s="4">
        <v>91.52</v>
      </c>
    </row>
    <row r="1776" spans="1:2">
      <c r="A1776" s="1">
        <v>44855</v>
      </c>
      <c r="B1776" s="4">
        <v>91.82</v>
      </c>
    </row>
    <row r="1777" spans="1:2">
      <c r="A1777" s="1">
        <v>44858</v>
      </c>
      <c r="B1777" s="4">
        <v>91.57</v>
      </c>
    </row>
    <row r="1778" spans="1:2">
      <c r="A1778" s="1">
        <v>44859</v>
      </c>
      <c r="B1778" s="4">
        <v>91.76</v>
      </c>
    </row>
    <row r="1779" spans="1:2">
      <c r="A1779" s="1">
        <v>44860</v>
      </c>
      <c r="B1779" s="4">
        <v>92.93</v>
      </c>
    </row>
    <row r="1780" spans="1:2">
      <c r="A1780" s="1">
        <v>44861</v>
      </c>
      <c r="B1780" s="4">
        <v>94.17</v>
      </c>
    </row>
    <row r="1781" spans="1:2">
      <c r="A1781" s="1">
        <v>44862</v>
      </c>
      <c r="B1781" s="4">
        <v>94.64</v>
      </c>
    </row>
    <row r="1782" spans="1:2">
      <c r="A1782" s="1">
        <v>44865</v>
      </c>
      <c r="B1782" s="4">
        <v>93.3</v>
      </c>
    </row>
    <row r="1783" spans="1:2">
      <c r="A1783" s="1">
        <v>44866</v>
      </c>
      <c r="B1783" s="4">
        <v>95.12</v>
      </c>
    </row>
    <row r="1784" spans="1:2">
      <c r="A1784" s="1">
        <v>44867</v>
      </c>
      <c r="B1784" s="4">
        <v>96.07</v>
      </c>
    </row>
    <row r="1785" spans="1:2">
      <c r="A1785" s="1">
        <v>44868</v>
      </c>
      <c r="B1785" s="4">
        <v>95.29</v>
      </c>
    </row>
    <row r="1786" spans="1:2">
      <c r="A1786" s="1">
        <v>44869</v>
      </c>
      <c r="B1786" s="4">
        <v>99.53</v>
      </c>
    </row>
    <row r="1787" spans="1:2">
      <c r="A1787" s="1">
        <v>44872</v>
      </c>
      <c r="B1787" s="4">
        <v>99.87</v>
      </c>
    </row>
    <row r="1788" spans="1:2">
      <c r="A1788" s="1">
        <v>44873</v>
      </c>
      <c r="B1788" s="4">
        <v>96.85</v>
      </c>
    </row>
    <row r="1789" spans="1:2">
      <c r="A1789" s="1">
        <v>44874</v>
      </c>
      <c r="B1789" s="4">
        <v>93.05</v>
      </c>
    </row>
    <row r="1790" spans="1:2">
      <c r="A1790" s="1">
        <v>44875</v>
      </c>
      <c r="B1790" s="4">
        <v>94.25</v>
      </c>
    </row>
    <row r="1791" spans="1:2">
      <c r="A1791" s="1">
        <v>44876</v>
      </c>
      <c r="B1791" s="4">
        <v>96.37</v>
      </c>
    </row>
    <row r="1792" spans="1:2">
      <c r="A1792" s="1">
        <v>44879</v>
      </c>
      <c r="B1792" s="4">
        <v>93.59</v>
      </c>
    </row>
    <row r="1793" spans="1:2">
      <c r="A1793" s="1">
        <v>44880</v>
      </c>
      <c r="B1793" s="4">
        <v>94.3</v>
      </c>
    </row>
    <row r="1794" spans="1:2">
      <c r="A1794" s="1">
        <v>44881</v>
      </c>
      <c r="B1794" s="4">
        <v>92.61</v>
      </c>
    </row>
    <row r="1795" spans="1:2">
      <c r="A1795" s="1">
        <v>44882</v>
      </c>
      <c r="B1795" s="4">
        <v>91</v>
      </c>
    </row>
    <row r="1796" spans="1:2">
      <c r="A1796" s="1">
        <v>44883</v>
      </c>
      <c r="B1796" s="4">
        <v>88.93</v>
      </c>
    </row>
    <row r="1797" spans="1:2">
      <c r="A1797" s="1">
        <v>44886</v>
      </c>
      <c r="B1797" s="4">
        <v>88.44</v>
      </c>
    </row>
    <row r="1798" spans="1:2">
      <c r="A1798" s="1">
        <v>44887</v>
      </c>
      <c r="B1798" s="4">
        <v>88.65</v>
      </c>
    </row>
    <row r="1799" spans="1:2">
      <c r="A1799" s="1">
        <v>44888</v>
      </c>
      <c r="B1799" s="4">
        <v>85.9</v>
      </c>
    </row>
    <row r="1800" spans="1:2">
      <c r="A1800" s="1">
        <v>44889</v>
      </c>
      <c r="B1800" s="4">
        <v>85.59</v>
      </c>
    </row>
    <row r="1801" spans="1:2">
      <c r="A1801" s="1">
        <v>44890</v>
      </c>
      <c r="B1801" s="4">
        <v>83.4</v>
      </c>
    </row>
    <row r="1802" spans="1:2">
      <c r="A1802" s="1">
        <v>44893</v>
      </c>
      <c r="B1802" s="4">
        <v>83.5</v>
      </c>
    </row>
    <row r="1803" spans="1:2">
      <c r="A1803" s="1">
        <v>44894</v>
      </c>
      <c r="B1803" s="4">
        <v>83.22</v>
      </c>
    </row>
    <row r="1804" spans="1:2">
      <c r="A1804" s="1">
        <v>44895</v>
      </c>
      <c r="B1804" s="4">
        <v>85.61</v>
      </c>
    </row>
    <row r="1805" spans="1:2">
      <c r="A1805" s="1">
        <v>44896</v>
      </c>
      <c r="B1805" s="4">
        <v>86.28</v>
      </c>
    </row>
    <row r="1806" spans="1:2">
      <c r="A1806" s="1">
        <v>44897</v>
      </c>
      <c r="B1806" s="4">
        <v>86.54</v>
      </c>
    </row>
    <row r="1807" spans="1:2">
      <c r="A1807" s="1">
        <v>44900</v>
      </c>
      <c r="B1807" s="4">
        <v>83.36</v>
      </c>
    </row>
    <row r="1808" spans="1:2">
      <c r="A1808" s="1">
        <v>44901</v>
      </c>
      <c r="B1808" s="4">
        <v>79.92</v>
      </c>
    </row>
    <row r="1809" spans="1:2">
      <c r="A1809" s="1">
        <v>44902</v>
      </c>
      <c r="B1809" s="4">
        <v>77.11</v>
      </c>
    </row>
    <row r="1810" spans="1:2">
      <c r="A1810" s="1">
        <v>44903</v>
      </c>
      <c r="B1810" s="4">
        <v>76.02</v>
      </c>
    </row>
    <row r="1811" spans="1:2">
      <c r="A1811" s="1">
        <v>44904</v>
      </c>
      <c r="B1811" s="4">
        <v>76.37</v>
      </c>
    </row>
    <row r="1812" spans="1:2">
      <c r="A1812" s="1">
        <v>44907</v>
      </c>
      <c r="B1812" s="4">
        <v>78</v>
      </c>
    </row>
    <row r="1813" spans="1:2">
      <c r="A1813" s="1">
        <v>44908</v>
      </c>
      <c r="B1813" s="4">
        <v>80.14</v>
      </c>
    </row>
    <row r="1814" spans="1:2">
      <c r="A1814" s="1">
        <v>44909</v>
      </c>
      <c r="B1814" s="4">
        <v>83.33</v>
      </c>
    </row>
    <row r="1815" spans="1:2">
      <c r="A1815" s="1">
        <v>44910</v>
      </c>
      <c r="B1815" s="4">
        <v>82.34</v>
      </c>
    </row>
    <row r="1816" spans="1:2">
      <c r="A1816" s="1">
        <v>44911</v>
      </c>
      <c r="B1816" s="4">
        <v>80.2</v>
      </c>
    </row>
    <row r="1817" spans="1:2">
      <c r="A1817" s="1">
        <v>44914</v>
      </c>
      <c r="B1817" s="4">
        <v>81.66</v>
      </c>
    </row>
    <row r="1818" spans="1:2">
      <c r="A1818" s="1">
        <v>44915</v>
      </c>
      <c r="B1818" s="4">
        <v>79.45</v>
      </c>
    </row>
    <row r="1819" spans="1:2">
      <c r="A1819" s="1">
        <v>44916</v>
      </c>
      <c r="B1819" s="4">
        <v>80.25</v>
      </c>
    </row>
    <row r="1820" spans="1:2">
      <c r="A1820" s="1">
        <v>44917</v>
      </c>
      <c r="B1820" s="4">
        <v>79.58</v>
      </c>
    </row>
    <row r="1821" spans="1:2">
      <c r="A1821" s="1">
        <v>44918</v>
      </c>
      <c r="B1821" s="4">
        <v>82.45</v>
      </c>
    </row>
    <row r="1822" spans="1:2">
      <c r="A1822" s="1">
        <v>44921</v>
      </c>
      <c r="B1822" s="4"/>
    </row>
    <row r="1823" spans="1:2">
      <c r="A1823" s="1">
        <v>44922</v>
      </c>
      <c r="B1823" s="4"/>
    </row>
    <row r="1824" spans="1:2">
      <c r="A1824" s="1">
        <v>44923</v>
      </c>
      <c r="B1824" s="4">
        <v>81.7</v>
      </c>
    </row>
    <row r="1825" spans="1:2">
      <c r="A1825" s="1">
        <v>44924</v>
      </c>
      <c r="B1825" s="4">
        <v>80.959999999999994</v>
      </c>
    </row>
    <row r="1826" spans="1:2">
      <c r="A1826" s="1">
        <v>44925</v>
      </c>
      <c r="B1826" s="4">
        <v>82.82</v>
      </c>
    </row>
    <row r="1827" spans="1:2">
      <c r="A1827" s="1">
        <v>44928</v>
      </c>
      <c r="B1827" s="4"/>
    </row>
    <row r="1828" spans="1:2">
      <c r="A1828" s="1">
        <v>44929</v>
      </c>
      <c r="B1828" s="4">
        <v>80.36</v>
      </c>
    </row>
    <row r="1829" spans="1:2">
      <c r="A1829" s="1">
        <v>44930</v>
      </c>
      <c r="B1829" s="4">
        <v>75.31</v>
      </c>
    </row>
    <row r="1830" spans="1:2">
      <c r="A1830" s="1">
        <v>44931</v>
      </c>
      <c r="B1830" s="4">
        <v>76.73</v>
      </c>
    </row>
    <row r="1831" spans="1:2">
      <c r="A1831" s="1">
        <v>44932</v>
      </c>
      <c r="B1831" s="4">
        <v>76.41</v>
      </c>
    </row>
    <row r="1832" spans="1:2">
      <c r="A1832" s="1">
        <v>44935</v>
      </c>
      <c r="B1832" s="4">
        <v>77.5</v>
      </c>
    </row>
    <row r="1833" spans="1:2">
      <c r="A1833" s="1">
        <v>44936</v>
      </c>
      <c r="B1833" s="4">
        <v>78.400000000000006</v>
      </c>
    </row>
    <row r="1834" spans="1:2">
      <c r="A1834" s="1">
        <v>44937</v>
      </c>
      <c r="B1834" s="4">
        <v>81.11</v>
      </c>
    </row>
    <row r="1835" spans="1:2">
      <c r="A1835" s="1">
        <v>44938</v>
      </c>
      <c r="B1835" s="4">
        <v>82.59</v>
      </c>
    </row>
    <row r="1836" spans="1:2">
      <c r="A1836" s="1">
        <v>44939</v>
      </c>
      <c r="B1836" s="4">
        <v>83.43</v>
      </c>
    </row>
    <row r="1837" spans="1:2">
      <c r="A1837" s="1">
        <v>44942</v>
      </c>
      <c r="B1837" s="4">
        <v>82.65</v>
      </c>
    </row>
    <row r="1838" spans="1:2">
      <c r="A1838" s="1">
        <v>44943</v>
      </c>
      <c r="B1838" s="4">
        <v>84.38</v>
      </c>
    </row>
    <row r="1839" spans="1:2">
      <c r="A1839" s="1">
        <v>44944</v>
      </c>
      <c r="B1839" s="4">
        <v>83.78</v>
      </c>
    </row>
    <row r="1840" spans="1:2">
      <c r="A1840" s="1">
        <v>44945</v>
      </c>
      <c r="B1840" s="4">
        <v>85.08</v>
      </c>
    </row>
    <row r="1841" spans="1:2">
      <c r="A1841" s="1">
        <v>44946</v>
      </c>
      <c r="B1841" s="4">
        <v>86.96</v>
      </c>
    </row>
    <row r="1842" spans="1:2">
      <c r="A1842" s="1">
        <v>44949</v>
      </c>
      <c r="B1842" s="4">
        <v>87.54</v>
      </c>
    </row>
    <row r="1843" spans="1:2">
      <c r="A1843" s="1">
        <v>44950</v>
      </c>
      <c r="B1843" s="4">
        <v>85.25</v>
      </c>
    </row>
    <row r="1844" spans="1:2">
      <c r="A1844" s="1">
        <v>44951</v>
      </c>
      <c r="B1844" s="4">
        <v>85.08</v>
      </c>
    </row>
    <row r="1845" spans="1:2">
      <c r="A1845" s="1">
        <v>44952</v>
      </c>
      <c r="B1845" s="4">
        <v>86.29</v>
      </c>
    </row>
    <row r="1846" spans="1:2">
      <c r="A1846" s="1">
        <v>44953</v>
      </c>
      <c r="B1846" s="4">
        <v>85.36</v>
      </c>
    </row>
    <row r="1847" spans="1:2">
      <c r="A1847" s="1">
        <v>44956</v>
      </c>
      <c r="B1847" s="4">
        <v>84.9</v>
      </c>
    </row>
    <row r="1848" spans="1:2">
      <c r="A1848" s="1">
        <v>44957</v>
      </c>
      <c r="B1848" s="4">
        <v>83.42</v>
      </c>
    </row>
    <row r="1849" spans="1:2">
      <c r="A1849" s="1">
        <v>44958</v>
      </c>
      <c r="B1849" s="4">
        <v>81.61</v>
      </c>
    </row>
    <row r="1850" spans="1:2">
      <c r="A1850" s="1">
        <v>44959</v>
      </c>
      <c r="B1850" s="4">
        <v>80.569999999999993</v>
      </c>
    </row>
    <row r="1851" spans="1:2">
      <c r="A1851" s="1">
        <v>44960</v>
      </c>
      <c r="B1851" s="4">
        <v>78.849999999999994</v>
      </c>
    </row>
    <row r="1852" spans="1:2">
      <c r="A1852" s="1">
        <v>44963</v>
      </c>
      <c r="B1852" s="4">
        <v>80.48</v>
      </c>
    </row>
    <row r="1853" spans="1:2">
      <c r="A1853" s="1">
        <v>44964</v>
      </c>
      <c r="B1853" s="4">
        <v>82.92</v>
      </c>
    </row>
    <row r="1854" spans="1:2">
      <c r="A1854" s="1">
        <v>44965</v>
      </c>
      <c r="B1854" s="4">
        <v>84.17</v>
      </c>
    </row>
    <row r="1855" spans="1:2">
      <c r="A1855" s="1">
        <v>44966</v>
      </c>
      <c r="B1855" s="4">
        <v>83.46</v>
      </c>
    </row>
    <row r="1856" spans="1:2">
      <c r="A1856" s="1">
        <v>44967</v>
      </c>
      <c r="B1856" s="4">
        <v>85.46</v>
      </c>
    </row>
    <row r="1857" spans="1:2">
      <c r="A1857" s="1">
        <v>44970</v>
      </c>
      <c r="B1857" s="4">
        <v>85.98</v>
      </c>
    </row>
    <row r="1858" spans="1:2">
      <c r="A1858" s="1">
        <v>44971</v>
      </c>
      <c r="B1858" s="4">
        <v>84.96</v>
      </c>
    </row>
    <row r="1859" spans="1:2">
      <c r="A1859" s="1">
        <v>44972</v>
      </c>
      <c r="B1859" s="4">
        <v>84.11</v>
      </c>
    </row>
    <row r="1860" spans="1:2">
      <c r="A1860" s="1">
        <v>44973</v>
      </c>
      <c r="B1860" s="4">
        <v>83.84</v>
      </c>
    </row>
    <row r="1861" spans="1:2">
      <c r="A1861" s="1">
        <v>44974</v>
      </c>
      <c r="B1861" s="4">
        <v>81.97</v>
      </c>
    </row>
    <row r="1862" spans="1:2">
      <c r="A1862" s="1">
        <v>44977</v>
      </c>
      <c r="B1862" s="4">
        <v>82.79</v>
      </c>
    </row>
    <row r="1863" spans="1:2">
      <c r="A1863" s="1">
        <v>44978</v>
      </c>
      <c r="B1863" s="4">
        <v>82.14</v>
      </c>
    </row>
    <row r="1864" spans="1:2">
      <c r="A1864" s="1">
        <v>44979</v>
      </c>
      <c r="B1864" s="4">
        <v>79.55</v>
      </c>
    </row>
    <row r="1865" spans="1:2">
      <c r="A1865" s="1">
        <v>44980</v>
      </c>
      <c r="B1865" s="4">
        <v>82.08</v>
      </c>
    </row>
    <row r="1866" spans="1:2">
      <c r="A1866" s="1">
        <v>44981</v>
      </c>
      <c r="B1866" s="4">
        <v>82.31</v>
      </c>
    </row>
    <row r="1867" spans="1:2">
      <c r="A1867" s="1">
        <v>44984</v>
      </c>
      <c r="B1867" s="4">
        <v>81.239999999999995</v>
      </c>
    </row>
    <row r="1868" spans="1:2">
      <c r="A1868" s="1">
        <v>44985</v>
      </c>
      <c r="B1868" s="4">
        <v>83.21</v>
      </c>
    </row>
    <row r="1869" spans="1:2">
      <c r="A1869" s="1">
        <v>44986</v>
      </c>
      <c r="B1869" s="4">
        <v>83.68</v>
      </c>
    </row>
    <row r="1870" spans="1:2">
      <c r="A1870" s="1">
        <v>44987</v>
      </c>
      <c r="B1870" s="4">
        <v>84.15</v>
      </c>
    </row>
    <row r="1871" spans="1:2">
      <c r="A1871" s="1">
        <v>44988</v>
      </c>
      <c r="B1871" s="4">
        <v>85.74</v>
      </c>
    </row>
    <row r="1872" spans="1:2">
      <c r="A1872" s="1">
        <v>44991</v>
      </c>
      <c r="B1872" s="4">
        <v>85.86</v>
      </c>
    </row>
    <row r="1873" spans="1:2">
      <c r="A1873" s="1">
        <v>44992</v>
      </c>
      <c r="B1873" s="4">
        <v>83.03</v>
      </c>
    </row>
    <row r="1874" spans="1:2">
      <c r="A1874" s="1">
        <v>44993</v>
      </c>
      <c r="B1874" s="4">
        <v>82.1</v>
      </c>
    </row>
    <row r="1875" spans="1:2">
      <c r="A1875" s="1">
        <v>44994</v>
      </c>
      <c r="B1875" s="4">
        <v>81</v>
      </c>
    </row>
    <row r="1876" spans="1:2">
      <c r="A1876" s="1">
        <v>44995</v>
      </c>
      <c r="B1876" s="4">
        <v>82.3</v>
      </c>
    </row>
    <row r="1877" spans="1:2">
      <c r="A1877" s="1">
        <v>44998</v>
      </c>
      <c r="B1877" s="4">
        <v>79.67</v>
      </c>
    </row>
    <row r="1878" spans="1:2">
      <c r="A1878" s="1">
        <v>44999</v>
      </c>
      <c r="B1878" s="4">
        <v>76.77</v>
      </c>
    </row>
    <row r="1879" spans="1:2">
      <c r="A1879" s="1">
        <v>45000</v>
      </c>
      <c r="B1879" s="4">
        <v>74.3</v>
      </c>
    </row>
    <row r="1880" spans="1:2">
      <c r="A1880" s="1">
        <v>45001</v>
      </c>
      <c r="B1880" s="4">
        <v>73.12</v>
      </c>
    </row>
    <row r="1881" spans="1:2">
      <c r="A1881" s="1">
        <v>45002</v>
      </c>
      <c r="B1881" s="4">
        <v>71.03</v>
      </c>
    </row>
    <row r="1882" spans="1:2">
      <c r="A1882" s="1">
        <v>45005</v>
      </c>
      <c r="B1882" s="4">
        <v>72.42</v>
      </c>
    </row>
    <row r="1883" spans="1:2">
      <c r="A1883" s="1">
        <v>45006</v>
      </c>
      <c r="B1883" s="4">
        <v>74.78</v>
      </c>
    </row>
    <row r="1884" spans="1:2">
      <c r="A1884" s="1">
        <v>45007</v>
      </c>
      <c r="B1884" s="4">
        <v>76.08</v>
      </c>
    </row>
    <row r="1885" spans="1:2">
      <c r="A1885" s="1">
        <v>45008</v>
      </c>
      <c r="B1885" s="4">
        <v>74.31</v>
      </c>
    </row>
    <row r="1886" spans="1:2">
      <c r="A1886" s="1">
        <v>45009</v>
      </c>
      <c r="B1886" s="4">
        <v>73.63</v>
      </c>
    </row>
    <row r="1887" spans="1:2">
      <c r="A1887" s="1">
        <v>45012</v>
      </c>
      <c r="B1887" s="4">
        <v>76.8</v>
      </c>
    </row>
    <row r="1888" spans="1:2">
      <c r="A1888" s="1">
        <v>45013</v>
      </c>
      <c r="B1888" s="4">
        <v>78.069999999999993</v>
      </c>
    </row>
    <row r="1889" spans="1:2">
      <c r="A1889" s="1">
        <v>45014</v>
      </c>
      <c r="B1889" s="4">
        <v>77.510000000000005</v>
      </c>
    </row>
    <row r="1890" spans="1:2">
      <c r="A1890" s="1">
        <v>45015</v>
      </c>
      <c r="B1890" s="4">
        <v>78.45</v>
      </c>
    </row>
    <row r="1891" spans="1:2">
      <c r="A1891" s="1">
        <v>45016</v>
      </c>
      <c r="B1891" s="4">
        <v>79.19</v>
      </c>
    </row>
    <row r="1892" spans="1:2">
      <c r="A1892" s="1">
        <v>45019</v>
      </c>
      <c r="B1892" s="4">
        <v>85.81</v>
      </c>
    </row>
    <row r="1893" spans="1:2">
      <c r="A1893" s="1">
        <v>45020</v>
      </c>
      <c r="B1893" s="4">
        <v>85.7</v>
      </c>
    </row>
    <row r="1894" spans="1:2">
      <c r="A1894" s="1">
        <v>45021</v>
      </c>
      <c r="B1894" s="4">
        <v>85.89</v>
      </c>
    </row>
    <row r="1895" spans="1:2">
      <c r="A1895" s="1">
        <v>45022</v>
      </c>
      <c r="B1895" s="4">
        <v>86.56</v>
      </c>
    </row>
    <row r="1896" spans="1:2">
      <c r="A1896" s="1">
        <v>45023</v>
      </c>
      <c r="B1896" s="4"/>
    </row>
    <row r="1897" spans="1:2">
      <c r="A1897" s="1">
        <v>45026</v>
      </c>
      <c r="B1897" s="4"/>
    </row>
    <row r="1898" spans="1:2">
      <c r="A1898" s="1">
        <v>45027</v>
      </c>
      <c r="B1898" s="4">
        <v>87.32</v>
      </c>
    </row>
    <row r="1899" spans="1:2">
      <c r="A1899" s="1">
        <v>45028</v>
      </c>
      <c r="B1899" s="4">
        <v>88.31</v>
      </c>
    </row>
    <row r="1900" spans="1:2">
      <c r="A1900" s="1">
        <v>45029</v>
      </c>
      <c r="B1900" s="4">
        <v>86.51</v>
      </c>
    </row>
    <row r="1901" spans="1:2">
      <c r="A1901" s="1">
        <v>45030</v>
      </c>
      <c r="B1901" s="4">
        <v>87.31</v>
      </c>
    </row>
    <row r="1902" spans="1:2">
      <c r="A1902" s="1">
        <v>45033</v>
      </c>
      <c r="B1902" s="4">
        <v>85.63</v>
      </c>
    </row>
    <row r="1903" spans="1:2">
      <c r="A1903" s="1">
        <v>45034</v>
      </c>
      <c r="B1903" s="4">
        <v>85.48</v>
      </c>
    </row>
    <row r="1904" spans="1:2">
      <c r="A1904" s="1">
        <v>45035</v>
      </c>
      <c r="B1904" s="4">
        <v>85.34</v>
      </c>
    </row>
    <row r="1905" spans="1:2">
      <c r="A1905" s="1">
        <v>45036</v>
      </c>
      <c r="B1905" s="4">
        <v>83.29</v>
      </c>
    </row>
    <row r="1906" spans="1:2">
      <c r="A1906" s="1">
        <v>45037</v>
      </c>
      <c r="B1906" s="4">
        <v>83.36</v>
      </c>
    </row>
    <row r="1907" spans="1:2">
      <c r="A1907" s="1">
        <v>45040</v>
      </c>
      <c r="B1907" s="4">
        <v>84.23</v>
      </c>
    </row>
    <row r="1908" spans="1:2">
      <c r="A1908" s="1">
        <v>45041</v>
      </c>
      <c r="B1908" s="4">
        <v>82.13</v>
      </c>
    </row>
    <row r="1909" spans="1:2">
      <c r="A1909" s="1">
        <v>45042</v>
      </c>
      <c r="B1909" s="4">
        <v>79.19</v>
      </c>
    </row>
    <row r="1910" spans="1:2">
      <c r="A1910" s="1">
        <v>45043</v>
      </c>
      <c r="B1910" s="4">
        <v>80.11</v>
      </c>
    </row>
    <row r="1911" spans="1:2">
      <c r="A1911" s="1">
        <v>45044</v>
      </c>
      <c r="B1911" s="4">
        <v>81.319999999999993</v>
      </c>
    </row>
    <row r="1912" spans="1:2">
      <c r="A1912" s="1">
        <v>45047</v>
      </c>
      <c r="B1912" s="4"/>
    </row>
    <row r="1913" spans="1:2">
      <c r="A1913" s="1">
        <v>45048</v>
      </c>
      <c r="B1913" s="4">
        <v>76.709999999999994</v>
      </c>
    </row>
    <row r="1914" spans="1:2">
      <c r="A1914" s="1">
        <v>45049</v>
      </c>
      <c r="B1914" s="4">
        <v>72.91</v>
      </c>
    </row>
    <row r="1915" spans="1:2">
      <c r="A1915" s="1">
        <v>45050</v>
      </c>
      <c r="B1915" s="4">
        <v>73</v>
      </c>
    </row>
    <row r="1916" spans="1:2">
      <c r="A1916" s="1">
        <v>45051</v>
      </c>
      <c r="B1916" s="4">
        <v>75.849999999999994</v>
      </c>
    </row>
    <row r="1917" spans="1:2">
      <c r="A1917" s="1">
        <v>45054</v>
      </c>
      <c r="B1917" s="4"/>
    </row>
    <row r="1918" spans="1:2">
      <c r="A1918" s="1">
        <v>45055</v>
      </c>
      <c r="B1918" s="4">
        <v>77.760000000000005</v>
      </c>
    </row>
    <row r="1919" spans="1:2">
      <c r="A1919" s="1">
        <v>45056</v>
      </c>
      <c r="B1919" s="4">
        <v>76.7</v>
      </c>
    </row>
    <row r="1920" spans="1:2">
      <c r="A1920" s="1">
        <v>45057</v>
      </c>
      <c r="B1920" s="4">
        <v>75.319999999999993</v>
      </c>
    </row>
    <row r="1921" spans="1:2">
      <c r="A1921" s="1">
        <v>45058</v>
      </c>
      <c r="B1921" s="4">
        <v>74.540000000000006</v>
      </c>
    </row>
    <row r="1922" spans="1:2">
      <c r="A1922" s="1">
        <v>45061</v>
      </c>
      <c r="B1922" s="4">
        <v>75.459999999999994</v>
      </c>
    </row>
    <row r="1923" spans="1:2">
      <c r="A1923" s="1">
        <v>45062</v>
      </c>
      <c r="B1923" s="4">
        <v>75.150000000000006</v>
      </c>
    </row>
    <row r="1924" spans="1:2">
      <c r="A1924" s="1">
        <v>45063</v>
      </c>
      <c r="B1924" s="4">
        <v>76.98</v>
      </c>
    </row>
    <row r="1925" spans="1:2">
      <c r="A1925" s="1">
        <v>45064</v>
      </c>
      <c r="B1925" s="4">
        <v>75.75</v>
      </c>
    </row>
    <row r="1926" spans="1:2">
      <c r="A1926" s="1">
        <v>45065</v>
      </c>
      <c r="B1926" s="4">
        <v>75.42</v>
      </c>
    </row>
    <row r="1927" spans="1:2">
      <c r="A1927" s="1">
        <v>45068</v>
      </c>
      <c r="B1927" s="4">
        <v>75.77</v>
      </c>
    </row>
    <row r="1928" spans="1:2">
      <c r="A1928" s="1">
        <v>45069</v>
      </c>
      <c r="B1928" s="4">
        <v>76.66</v>
      </c>
    </row>
    <row r="1929" spans="1:2">
      <c r="A1929" s="1">
        <v>45070</v>
      </c>
      <c r="B1929" s="4">
        <v>77.989999999999995</v>
      </c>
    </row>
    <row r="1930" spans="1:2">
      <c r="A1930" s="1">
        <v>45071</v>
      </c>
      <c r="B1930" s="4">
        <v>75.66</v>
      </c>
    </row>
    <row r="1931" spans="1:2">
      <c r="A1931" s="1">
        <v>45072</v>
      </c>
      <c r="B1931" s="4">
        <v>76.33</v>
      </c>
    </row>
    <row r="1932" spans="1:2">
      <c r="A1932" s="1">
        <v>45075</v>
      </c>
      <c r="B1932" s="4"/>
    </row>
    <row r="1933" spans="1:2">
      <c r="A1933" s="1">
        <v>45076</v>
      </c>
      <c r="B1933" s="4">
        <v>73.38</v>
      </c>
    </row>
    <row r="1934" spans="1:2">
      <c r="A1934" s="1">
        <v>45077</v>
      </c>
      <c r="B1934" s="4">
        <v>71.98</v>
      </c>
    </row>
    <row r="1935" spans="1:2">
      <c r="A1935" s="1">
        <v>45078</v>
      </c>
      <c r="B1935" s="4">
        <v>74.180000000000007</v>
      </c>
    </row>
    <row r="1936" spans="1:2">
      <c r="A1936" s="1">
        <v>45079</v>
      </c>
      <c r="B1936" s="4">
        <v>76</v>
      </c>
    </row>
    <row r="1937" spans="1:2">
      <c r="A1937" s="1">
        <v>45082</v>
      </c>
      <c r="B1937" s="4">
        <v>76.61</v>
      </c>
    </row>
    <row r="1938" spans="1:2">
      <c r="A1938" s="1">
        <v>45083</v>
      </c>
      <c r="B1938" s="4">
        <v>76.22</v>
      </c>
    </row>
    <row r="1939" spans="1:2">
      <c r="A1939" s="1">
        <v>45084</v>
      </c>
      <c r="B1939" s="4">
        <v>76.849999999999994</v>
      </c>
    </row>
    <row r="1940" spans="1:2">
      <c r="A1940" s="1">
        <v>45085</v>
      </c>
      <c r="B1940" s="4">
        <v>75.88</v>
      </c>
    </row>
    <row r="1941" spans="1:2">
      <c r="A1941" s="1">
        <v>45086</v>
      </c>
      <c r="B1941" s="4">
        <v>74.739999999999995</v>
      </c>
    </row>
    <row r="1942" spans="1:2">
      <c r="A1942" s="1">
        <v>45089</v>
      </c>
      <c r="B1942" s="4">
        <v>71.8</v>
      </c>
    </row>
    <row r="1943" spans="1:2">
      <c r="A1943" s="1">
        <v>45090</v>
      </c>
      <c r="B1943" s="4">
        <v>74.239999999999995</v>
      </c>
    </row>
    <row r="1944" spans="1:2">
      <c r="A1944" s="1">
        <v>45091</v>
      </c>
      <c r="B1944" s="4">
        <v>73.39</v>
      </c>
    </row>
    <row r="1945" spans="1:2">
      <c r="A1945" s="1">
        <v>45092</v>
      </c>
      <c r="B1945" s="4">
        <v>75.75</v>
      </c>
    </row>
    <row r="1946" spans="1:2">
      <c r="A1946" s="1">
        <v>45093</v>
      </c>
      <c r="B1946" s="4">
        <v>76.760000000000005</v>
      </c>
    </row>
    <row r="1947" spans="1:2">
      <c r="A1947" s="1">
        <v>45096</v>
      </c>
      <c r="B1947" s="4">
        <v>76.09</v>
      </c>
    </row>
    <row r="1948" spans="1:2">
      <c r="A1948" s="1">
        <v>45097</v>
      </c>
      <c r="B1948" s="4">
        <v>75.790000000000006</v>
      </c>
    </row>
    <row r="1949" spans="1:2">
      <c r="A1949" s="1">
        <v>45098</v>
      </c>
      <c r="B1949" s="4">
        <v>76.92</v>
      </c>
    </row>
    <row r="1950" spans="1:2">
      <c r="A1950" s="1">
        <v>45099</v>
      </c>
      <c r="B1950" s="4">
        <v>73.930000000000007</v>
      </c>
    </row>
    <row r="1951" spans="1:2">
      <c r="A1951" s="1">
        <v>45100</v>
      </c>
      <c r="B1951" s="4">
        <v>73.56</v>
      </c>
    </row>
    <row r="1952" spans="1:2">
      <c r="A1952" s="1">
        <v>45103</v>
      </c>
      <c r="B1952" s="4">
        <v>73.86</v>
      </c>
    </row>
    <row r="1953" spans="1:2">
      <c r="A1953" s="1">
        <v>45104</v>
      </c>
      <c r="B1953" s="4">
        <v>71.88</v>
      </c>
    </row>
    <row r="1954" spans="1:2">
      <c r="A1954" s="1">
        <v>45105</v>
      </c>
      <c r="B1954" s="4">
        <v>73.64</v>
      </c>
    </row>
    <row r="1955" spans="1:2">
      <c r="A1955" s="1">
        <v>45106</v>
      </c>
      <c r="B1955" s="4">
        <v>73.86</v>
      </c>
    </row>
    <row r="1956" spans="1:2">
      <c r="A1956" s="1">
        <v>45107</v>
      </c>
      <c r="B1956" s="4">
        <v>74.510000000000005</v>
      </c>
    </row>
    <row r="1957" spans="1:2">
      <c r="A1957" s="1">
        <v>45110</v>
      </c>
      <c r="B1957" s="4">
        <v>74.52</v>
      </c>
    </row>
    <row r="1958" spans="1:2">
      <c r="A1958" s="1">
        <v>45111</v>
      </c>
      <c r="B1958" s="4">
        <v>76.23</v>
      </c>
    </row>
    <row r="1959" spans="1:2">
      <c r="A1959" s="1">
        <v>45112</v>
      </c>
      <c r="B1959" s="4">
        <v>76.739999999999995</v>
      </c>
    </row>
    <row r="1960" spans="1:2">
      <c r="A1960" s="1">
        <v>45113</v>
      </c>
      <c r="B1960" s="4">
        <v>76.72</v>
      </c>
    </row>
    <row r="1961" spans="1:2">
      <c r="A1961" s="1">
        <v>45114</v>
      </c>
      <c r="B1961" s="4">
        <v>78.77</v>
      </c>
    </row>
    <row r="1962" spans="1:2">
      <c r="A1962" s="1">
        <v>45117</v>
      </c>
      <c r="B1962" s="4">
        <v>77.83</v>
      </c>
    </row>
    <row r="1963" spans="1:2">
      <c r="A1963" s="1">
        <v>45118</v>
      </c>
      <c r="B1963" s="4">
        <v>79.540000000000006</v>
      </c>
    </row>
    <row r="1964" spans="1:2">
      <c r="A1964" s="1">
        <v>45119</v>
      </c>
      <c r="B1964" s="4">
        <v>80.349999999999994</v>
      </c>
    </row>
    <row r="1965" spans="1:2">
      <c r="A1965" s="1">
        <v>45120</v>
      </c>
      <c r="B1965" s="4">
        <v>81.31</v>
      </c>
    </row>
    <row r="1966" spans="1:2">
      <c r="A1966" s="1">
        <v>45121</v>
      </c>
      <c r="B1966" s="4">
        <v>79.900000000000006</v>
      </c>
    </row>
    <row r="1967" spans="1:2">
      <c r="A1967" s="1">
        <v>45124</v>
      </c>
      <c r="B1967" s="4">
        <v>77.8</v>
      </c>
    </row>
    <row r="1968" spans="1:2">
      <c r="A1968" s="1">
        <v>45125</v>
      </c>
      <c r="B1968" s="4">
        <v>79.540000000000006</v>
      </c>
    </row>
    <row r="1969" spans="1:2">
      <c r="A1969" s="1">
        <v>45126</v>
      </c>
      <c r="B1969" s="4">
        <v>79.38</v>
      </c>
    </row>
    <row r="1970" spans="1:2">
      <c r="A1970" s="1">
        <v>45127</v>
      </c>
      <c r="B1970" s="4">
        <v>79.62</v>
      </c>
    </row>
    <row r="1971" spans="1:2">
      <c r="A1971" s="1">
        <v>45128</v>
      </c>
      <c r="B1971" s="4">
        <v>81.06</v>
      </c>
    </row>
    <row r="1972" spans="1:2">
      <c r="A1972" s="1">
        <v>45131</v>
      </c>
      <c r="B1972" s="4">
        <v>82.53</v>
      </c>
    </row>
    <row r="1973" spans="1:2">
      <c r="A1973" s="1">
        <v>45132</v>
      </c>
      <c r="B1973" s="4">
        <v>83.46</v>
      </c>
    </row>
    <row r="1974" spans="1:2">
      <c r="A1974" s="1">
        <v>45133</v>
      </c>
      <c r="B1974" s="4">
        <v>82.98</v>
      </c>
    </row>
    <row r="1975" spans="1:2">
      <c r="A1975" s="1">
        <v>45134</v>
      </c>
      <c r="B1975" s="4">
        <v>84.28</v>
      </c>
    </row>
    <row r="1976" spans="1:2">
      <c r="A1976" s="1">
        <v>45135</v>
      </c>
      <c r="B1976" s="4">
        <v>84.49</v>
      </c>
    </row>
    <row r="1977" spans="1:2">
      <c r="A1977" s="1">
        <v>45138</v>
      </c>
      <c r="B1977" s="4">
        <v>85.22</v>
      </c>
    </row>
    <row r="1978" spans="1:2">
      <c r="A1978" s="1">
        <v>45139</v>
      </c>
      <c r="B1978" s="4">
        <v>85.34</v>
      </c>
    </row>
    <row r="1979" spans="1:2">
      <c r="A1979" s="1">
        <v>45140</v>
      </c>
      <c r="B1979" s="4">
        <v>84.01</v>
      </c>
    </row>
    <row r="1980" spans="1:2">
      <c r="A1980" s="1">
        <v>45141</v>
      </c>
      <c r="B1980" s="4">
        <v>86.19</v>
      </c>
    </row>
    <row r="1981" spans="1:2">
      <c r="A1981" s="1">
        <v>45142</v>
      </c>
      <c r="B1981" s="4">
        <v>87.38</v>
      </c>
    </row>
    <row r="1982" spans="1:2">
      <c r="A1982" s="1">
        <v>45145</v>
      </c>
      <c r="B1982" s="4">
        <v>86.47</v>
      </c>
    </row>
    <row r="1983" spans="1:2">
      <c r="A1983" s="1">
        <v>45146</v>
      </c>
      <c r="B1983" s="4">
        <v>88</v>
      </c>
    </row>
    <row r="1984" spans="1:2">
      <c r="A1984" s="1">
        <v>45147</v>
      </c>
      <c r="B1984" s="4">
        <v>89.31</v>
      </c>
    </row>
    <row r="1985" spans="1:2">
      <c r="A1985" s="1">
        <v>45148</v>
      </c>
      <c r="B1985" s="4">
        <v>87.44</v>
      </c>
    </row>
    <row r="1986" spans="1:2">
      <c r="A1986" s="1">
        <v>45149</v>
      </c>
      <c r="B1986" s="4">
        <v>87.93</v>
      </c>
    </row>
    <row r="1987" spans="1:2">
      <c r="A1987" s="1">
        <v>45152</v>
      </c>
      <c r="B1987" s="4">
        <v>87.4</v>
      </c>
    </row>
    <row r="1988" spans="1:2">
      <c r="A1988" s="1">
        <v>45153</v>
      </c>
      <c r="B1988" s="4">
        <v>86.28</v>
      </c>
    </row>
    <row r="1989" spans="1:2">
      <c r="A1989" s="1">
        <v>45154</v>
      </c>
      <c r="B1989" s="4">
        <v>84.49</v>
      </c>
    </row>
    <row r="1990" spans="1:2">
      <c r="A1990" s="1">
        <v>45155</v>
      </c>
      <c r="B1990" s="4">
        <v>85.24</v>
      </c>
    </row>
    <row r="1991" spans="1:2">
      <c r="A1991" s="1">
        <v>45156</v>
      </c>
      <c r="B1991" s="4">
        <v>85.92</v>
      </c>
    </row>
    <row r="1992" spans="1:2">
      <c r="A1992" s="1">
        <v>45159</v>
      </c>
      <c r="B1992" s="4">
        <v>85.44</v>
      </c>
    </row>
    <row r="1993" spans="1:2">
      <c r="A1993" s="1">
        <v>45160</v>
      </c>
      <c r="B1993" s="4">
        <v>84.7</v>
      </c>
    </row>
    <row r="1994" spans="1:2">
      <c r="A1994" s="1">
        <v>45161</v>
      </c>
      <c r="B1994" s="4">
        <v>83.94</v>
      </c>
    </row>
    <row r="1995" spans="1:2">
      <c r="A1995" s="1">
        <v>45162</v>
      </c>
      <c r="B1995" s="4">
        <v>84.07</v>
      </c>
    </row>
    <row r="1996" spans="1:2">
      <c r="A1996" s="1">
        <v>45163</v>
      </c>
      <c r="B1996" s="4">
        <v>85.42</v>
      </c>
    </row>
    <row r="1997" spans="1:2">
      <c r="A1997" s="1">
        <v>45166</v>
      </c>
      <c r="B1997" s="4"/>
    </row>
    <row r="1998" spans="1:2">
      <c r="A1998" s="1">
        <v>45167</v>
      </c>
      <c r="B1998" s="4">
        <v>86.37</v>
      </c>
    </row>
    <row r="1999" spans="1:2">
      <c r="A1999" s="1">
        <v>45168</v>
      </c>
      <c r="B1999" s="4">
        <v>86.62</v>
      </c>
    </row>
    <row r="2000" spans="1:2">
      <c r="A2000" s="1">
        <v>45169</v>
      </c>
      <c r="B2000" s="4">
        <v>87.29</v>
      </c>
    </row>
    <row r="2001" spans="1:2">
      <c r="A2001" s="1">
        <v>45170</v>
      </c>
      <c r="B2001" s="4">
        <v>89.98</v>
      </c>
    </row>
    <row r="2002" spans="1:2">
      <c r="A2002" s="1">
        <v>45173</v>
      </c>
      <c r="B2002" s="4">
        <v>90.42</v>
      </c>
    </row>
    <row r="2003" spans="1:2">
      <c r="A2003" s="1">
        <v>45174</v>
      </c>
      <c r="B2003" s="4">
        <v>91.25</v>
      </c>
    </row>
    <row r="2004" spans="1:2">
      <c r="A2004" s="1">
        <v>45175</v>
      </c>
      <c r="B2004" s="4">
        <v>91.79</v>
      </c>
    </row>
    <row r="2005" spans="1:2">
      <c r="A2005" s="1">
        <v>45176</v>
      </c>
      <c r="B2005" s="4">
        <v>91.16</v>
      </c>
    </row>
    <row r="2006" spans="1:2">
      <c r="A2006" s="1">
        <v>45177</v>
      </c>
      <c r="B2006" s="4">
        <v>91.85</v>
      </c>
    </row>
    <row r="2007" spans="1:2">
      <c r="A2007" s="1">
        <v>45180</v>
      </c>
      <c r="B2007" s="4">
        <v>91.97</v>
      </c>
    </row>
    <row r="2008" spans="1:2">
      <c r="A2008" s="1">
        <v>45181</v>
      </c>
      <c r="B2008" s="4">
        <v>93.58</v>
      </c>
    </row>
    <row r="2009" spans="1:2">
      <c r="A2009" s="1">
        <v>45182</v>
      </c>
      <c r="B2009" s="4">
        <v>93.04</v>
      </c>
    </row>
    <row r="2010" spans="1:2">
      <c r="A2010" s="1">
        <v>45183</v>
      </c>
      <c r="B2010" s="4">
        <v>95.2</v>
      </c>
    </row>
    <row r="2011" spans="1:2">
      <c r="A2011" s="1">
        <v>45184</v>
      </c>
      <c r="B2011" s="4">
        <v>95.55</v>
      </c>
    </row>
    <row r="2012" spans="1:2">
      <c r="A2012" s="1">
        <v>45187</v>
      </c>
      <c r="B2012" s="4">
        <v>95.95</v>
      </c>
    </row>
    <row r="2013" spans="1:2">
      <c r="A2013" s="1">
        <v>45188</v>
      </c>
      <c r="B2013" s="4">
        <v>96.11</v>
      </c>
    </row>
    <row r="2014" spans="1:2">
      <c r="A2014" s="1">
        <v>45189</v>
      </c>
      <c r="B2014" s="4">
        <v>94.56</v>
      </c>
    </row>
    <row r="2015" spans="1:2">
      <c r="A2015" s="1">
        <v>45190</v>
      </c>
      <c r="B2015" s="4">
        <v>93.7</v>
      </c>
    </row>
    <row r="2016" spans="1:2">
      <c r="A2016" s="1">
        <v>45191</v>
      </c>
      <c r="B2016" s="4">
        <v>93.99</v>
      </c>
    </row>
    <row r="2017" spans="1:2">
      <c r="A2017" s="1">
        <v>45194</v>
      </c>
      <c r="B2017" s="4">
        <v>94.01</v>
      </c>
    </row>
    <row r="2018" spans="1:2">
      <c r="A2018" s="1">
        <v>45195</v>
      </c>
      <c r="B2018" s="4">
        <v>94.46</v>
      </c>
    </row>
    <row r="2019" spans="1:2">
      <c r="A2019" s="1">
        <v>45196</v>
      </c>
      <c r="B2019" s="4">
        <v>97.1</v>
      </c>
    </row>
    <row r="2020" spans="1:2">
      <c r="A2020" s="1">
        <v>45197</v>
      </c>
      <c r="B2020" s="4">
        <v>96.64</v>
      </c>
    </row>
    <row r="2021" spans="1:2">
      <c r="A2021" s="1">
        <v>45198</v>
      </c>
      <c r="B2021" s="4">
        <v>95.86</v>
      </c>
    </row>
    <row r="2022" spans="1:2">
      <c r="A2022" s="1">
        <v>45201</v>
      </c>
      <c r="B2022" s="4">
        <v>91.21</v>
      </c>
    </row>
    <row r="2023" spans="1:2">
      <c r="A2023" s="1">
        <v>45202</v>
      </c>
      <c r="B2023" s="4">
        <v>94.46</v>
      </c>
    </row>
    <row r="2024" spans="1:2">
      <c r="A2024" s="1">
        <v>45203</v>
      </c>
      <c r="B2024" s="4">
        <v>89.83</v>
      </c>
    </row>
    <row r="2025" spans="1:2">
      <c r="A2025" s="1">
        <v>45204</v>
      </c>
      <c r="B2025" s="4">
        <v>88.28</v>
      </c>
    </row>
    <row r="2026" spans="1:2">
      <c r="A2026" s="1">
        <v>45205</v>
      </c>
      <c r="B2026" s="4">
        <v>87.86</v>
      </c>
    </row>
    <row r="2027" spans="1:2">
      <c r="A2027" s="1">
        <v>45208</v>
      </c>
      <c r="B2027" s="4">
        <v>91.37</v>
      </c>
    </row>
    <row r="2028" spans="1:2">
      <c r="A2028" s="1">
        <v>45209</v>
      </c>
      <c r="B2028" s="4">
        <v>90.7</v>
      </c>
    </row>
    <row r="2029" spans="1:2">
      <c r="A2029" s="1">
        <v>45210</v>
      </c>
      <c r="B2029" s="4">
        <v>87.58</v>
      </c>
    </row>
    <row r="2030" spans="1:2">
      <c r="A2030" s="1">
        <v>45211</v>
      </c>
      <c r="B2030" s="4">
        <v>88.4</v>
      </c>
    </row>
    <row r="2031" spans="1:2">
      <c r="A2031" s="1">
        <v>45212</v>
      </c>
      <c r="B2031" s="4">
        <v>94.33</v>
      </c>
    </row>
    <row r="2032" spans="1:2">
      <c r="A2032" s="1">
        <v>45215</v>
      </c>
      <c r="B2032" s="4">
        <v>90.99</v>
      </c>
    </row>
    <row r="2033" spans="1:2">
      <c r="A2033" s="1">
        <v>45216</v>
      </c>
      <c r="B2033" s="4">
        <v>92.52</v>
      </c>
    </row>
    <row r="2034" spans="1:2">
      <c r="A2034" s="1">
        <v>45217</v>
      </c>
      <c r="B2034" s="4">
        <v>91.99</v>
      </c>
    </row>
    <row r="2035" spans="1:2">
      <c r="A2035" s="1">
        <v>45218</v>
      </c>
      <c r="B2035" s="4">
        <v>93.12</v>
      </c>
    </row>
    <row r="2036" spans="1:2">
      <c r="A2036" s="1">
        <v>45219</v>
      </c>
      <c r="B2036" s="4">
        <v>93.72</v>
      </c>
    </row>
    <row r="2037" spans="1:2">
      <c r="A2037" s="1">
        <v>45222</v>
      </c>
      <c r="B2037" s="4">
        <v>91.88</v>
      </c>
    </row>
    <row r="2038" spans="1:2">
      <c r="A2038" s="1">
        <v>45223</v>
      </c>
      <c r="B2038" s="4">
        <v>88</v>
      </c>
    </row>
    <row r="2039" spans="1:2">
      <c r="A2039" s="1">
        <v>45224</v>
      </c>
      <c r="B2039" s="4">
        <v>90.14</v>
      </c>
    </row>
    <row r="2040" spans="1:2">
      <c r="A2040" s="1">
        <v>45225</v>
      </c>
      <c r="B2040" s="4">
        <v>88.45</v>
      </c>
    </row>
    <row r="2041" spans="1:2">
      <c r="A2041" s="1">
        <v>45226</v>
      </c>
      <c r="B2041" s="4">
        <v>90.73</v>
      </c>
    </row>
    <row r="2042" spans="1:2">
      <c r="A2042" s="1">
        <v>45229</v>
      </c>
      <c r="B2042" s="4">
        <v>90.73</v>
      </c>
    </row>
    <row r="2043" spans="1:2">
      <c r="A2043" s="1">
        <v>45230</v>
      </c>
      <c r="B2043" s="4">
        <v>86.82</v>
      </c>
    </row>
    <row r="2044" spans="1:2">
      <c r="A2044" s="1">
        <v>45231</v>
      </c>
      <c r="B2044" s="4">
        <v>86.92</v>
      </c>
    </row>
    <row r="2045" spans="1:2">
      <c r="A2045" s="1">
        <v>45232</v>
      </c>
      <c r="B2045" s="4">
        <v>89.02</v>
      </c>
    </row>
    <row r="2046" spans="1:2">
      <c r="A2046" s="1">
        <v>45233</v>
      </c>
      <c r="B2046" s="4">
        <v>87.55</v>
      </c>
    </row>
    <row r="2047" spans="1:2">
      <c r="A2047" s="1">
        <v>45236</v>
      </c>
      <c r="B2047" s="4">
        <v>87.31</v>
      </c>
    </row>
    <row r="2048" spans="1:2">
      <c r="A2048" s="1">
        <v>45237</v>
      </c>
      <c r="B2048" s="4">
        <v>83.43</v>
      </c>
    </row>
    <row r="2049" spans="1:2">
      <c r="A2049" s="1">
        <v>45238</v>
      </c>
      <c r="B2049" s="4">
        <v>81.459999999999994</v>
      </c>
    </row>
    <row r="2050" spans="1:2">
      <c r="A2050" s="1">
        <v>45239</v>
      </c>
      <c r="B2050" s="4">
        <v>81.739999999999995</v>
      </c>
    </row>
    <row r="2051" spans="1:2">
      <c r="A2051" s="1">
        <v>45240</v>
      </c>
      <c r="B2051" s="4">
        <v>83.66</v>
      </c>
    </row>
    <row r="2052" spans="1:2">
      <c r="A2052" s="1">
        <v>45243</v>
      </c>
      <c r="B2052" s="4">
        <v>84.09</v>
      </c>
    </row>
    <row r="2053" spans="1:2">
      <c r="A2053" s="1">
        <v>45244</v>
      </c>
      <c r="B2053" s="4">
        <v>84.2</v>
      </c>
    </row>
    <row r="2054" spans="1:2">
      <c r="A2054" s="1">
        <v>45245</v>
      </c>
      <c r="B2054" s="4">
        <v>82.4</v>
      </c>
    </row>
    <row r="2055" spans="1:2">
      <c r="A2055" s="1">
        <v>45246</v>
      </c>
      <c r="B2055" s="4">
        <v>77.73</v>
      </c>
    </row>
    <row r="2056" spans="1:2">
      <c r="A2056" s="1">
        <v>45247</v>
      </c>
      <c r="B2056" s="4">
        <v>81.22</v>
      </c>
    </row>
    <row r="2057" spans="1:2">
      <c r="A2057" s="1">
        <v>45250</v>
      </c>
      <c r="B2057" s="4">
        <v>83.25</v>
      </c>
    </row>
    <row r="2058" spans="1:2">
      <c r="A2058" s="1">
        <v>45251</v>
      </c>
      <c r="B2058" s="4">
        <v>82.42</v>
      </c>
    </row>
    <row r="2059" spans="1:2">
      <c r="A2059" s="1">
        <v>45252</v>
      </c>
      <c r="B2059" s="4">
        <v>81.760000000000005</v>
      </c>
    </row>
    <row r="2060" spans="1:2">
      <c r="A2060" s="1">
        <v>45253</v>
      </c>
      <c r="B2060" s="4">
        <v>80.849999999999994</v>
      </c>
    </row>
    <row r="2061" spans="1:2">
      <c r="A2061" s="1">
        <v>45254</v>
      </c>
      <c r="B2061" s="4">
        <v>79.819999999999993</v>
      </c>
    </row>
    <row r="2062" spans="1:2">
      <c r="A2062" s="1">
        <v>45257</v>
      </c>
      <c r="B2062" s="4">
        <v>79.489999999999995</v>
      </c>
    </row>
    <row r="2063" spans="1:2">
      <c r="A2063" s="1">
        <v>45258</v>
      </c>
      <c r="B2063" s="4">
        <v>81.66</v>
      </c>
    </row>
    <row r="2064" spans="1:2">
      <c r="A2064" s="1">
        <v>45259</v>
      </c>
      <c r="B2064" s="4">
        <v>82.98</v>
      </c>
    </row>
    <row r="2065" spans="1:2">
      <c r="A2065" s="1">
        <v>45260</v>
      </c>
      <c r="B2065" s="4">
        <v>81.72</v>
      </c>
    </row>
    <row r="2066" spans="1:2">
      <c r="A2066" s="1">
        <v>45261</v>
      </c>
      <c r="B2066" s="4">
        <v>78.72</v>
      </c>
    </row>
    <row r="2067" spans="1:2">
      <c r="A2067" s="1">
        <v>45264</v>
      </c>
      <c r="B2067" s="4">
        <v>78.16</v>
      </c>
    </row>
    <row r="2068" spans="1:2">
      <c r="A2068" s="1">
        <v>45265</v>
      </c>
      <c r="B2068" s="4">
        <v>77.27</v>
      </c>
    </row>
    <row r="2069" spans="1:2">
      <c r="A2069" s="1">
        <v>45266</v>
      </c>
      <c r="B2069" s="4">
        <v>74.33</v>
      </c>
    </row>
    <row r="2070" spans="1:2">
      <c r="A2070" s="1">
        <v>45267</v>
      </c>
      <c r="B2070" s="4">
        <v>74.209999999999994</v>
      </c>
    </row>
    <row r="2071" spans="1:2">
      <c r="A2071" s="1">
        <v>45268</v>
      </c>
      <c r="B2071" s="4">
        <v>75.94</v>
      </c>
    </row>
    <row r="2072" spans="1:2">
      <c r="A2072" s="1">
        <v>45271</v>
      </c>
      <c r="B2072" s="4">
        <v>75.75</v>
      </c>
    </row>
    <row r="2073" spans="1:2">
      <c r="A2073" s="1">
        <v>45272</v>
      </c>
      <c r="B2073" s="4">
        <v>74.11</v>
      </c>
    </row>
    <row r="2074" spans="1:2">
      <c r="A2074" s="1">
        <v>45273</v>
      </c>
      <c r="B2074" s="4">
        <v>74.14</v>
      </c>
    </row>
    <row r="2075" spans="1:2">
      <c r="A2075" s="1">
        <v>45274</v>
      </c>
      <c r="B2075" s="4">
        <v>77.05</v>
      </c>
    </row>
    <row r="2076" spans="1:2">
      <c r="A2076" s="1">
        <v>45275</v>
      </c>
      <c r="B2076" s="4">
        <v>76.84</v>
      </c>
    </row>
    <row r="2077" spans="1:2">
      <c r="A2077" s="1">
        <v>45278</v>
      </c>
      <c r="B2077" s="4">
        <v>78.89</v>
      </c>
    </row>
    <row r="2078" spans="1:2">
      <c r="A2078" s="1">
        <v>45279</v>
      </c>
      <c r="B2078" s="4">
        <v>79.819999999999993</v>
      </c>
    </row>
    <row r="2079" spans="1:2">
      <c r="A2079" s="1">
        <v>45280</v>
      </c>
      <c r="B2079" s="4">
        <v>81.099999999999994</v>
      </c>
    </row>
    <row r="2080" spans="1:2">
      <c r="A2080" s="1">
        <v>45281</v>
      </c>
      <c r="B2080" s="4">
        <v>80.73</v>
      </c>
    </row>
    <row r="2081" spans="1:2">
      <c r="A2081" s="1">
        <v>45282</v>
      </c>
      <c r="B2081" s="4">
        <v>80.23</v>
      </c>
    </row>
    <row r="2082" spans="1:2">
      <c r="A2082" s="1">
        <v>45285</v>
      </c>
      <c r="B2082" s="4"/>
    </row>
    <row r="2083" spans="1:2">
      <c r="A2083" s="1">
        <v>45286</v>
      </c>
      <c r="B2083" s="4"/>
    </row>
    <row r="2084" spans="1:2">
      <c r="A2084" s="1">
        <v>45287</v>
      </c>
      <c r="B2084" s="4">
        <v>80.97</v>
      </c>
    </row>
    <row r="2085" spans="1:2">
      <c r="A2085" s="1">
        <v>45288</v>
      </c>
      <c r="B2085" s="4">
        <v>79.040000000000006</v>
      </c>
    </row>
    <row r="2086" spans="1:2">
      <c r="A2086" s="1">
        <v>45289</v>
      </c>
      <c r="B2086" s="4">
        <v>77.69</v>
      </c>
    </row>
    <row r="2087" spans="1:2">
      <c r="A2087" s="1">
        <v>45292</v>
      </c>
      <c r="B2087" s="4"/>
    </row>
    <row r="2088" spans="1:2">
      <c r="A2088" s="1">
        <v>45293</v>
      </c>
      <c r="B2088" s="4">
        <v>76.239999999999995</v>
      </c>
    </row>
    <row r="2089" spans="1:2">
      <c r="A2089" s="1">
        <v>45294</v>
      </c>
      <c r="B2089" s="4">
        <v>77.180000000000007</v>
      </c>
    </row>
    <row r="2090" spans="1:2">
      <c r="A2090" s="1">
        <v>45295</v>
      </c>
      <c r="B2090" s="4">
        <v>75.790000000000006</v>
      </c>
    </row>
    <row r="2091" spans="1:2">
      <c r="A2091" s="1">
        <v>45296</v>
      </c>
      <c r="B2091" s="4">
        <v>78.31</v>
      </c>
    </row>
    <row r="2092" spans="1:2">
      <c r="A2092" s="1">
        <v>45299</v>
      </c>
      <c r="B2092" s="4">
        <v>75.47</v>
      </c>
    </row>
    <row r="2093" spans="1:2">
      <c r="A2093" s="1">
        <v>45300</v>
      </c>
      <c r="B2093" s="4">
        <v>77.97</v>
      </c>
    </row>
    <row r="2094" spans="1:2">
      <c r="A2094" s="1">
        <v>45301</v>
      </c>
      <c r="B2094" s="4">
        <v>78.459999999999994</v>
      </c>
    </row>
    <row r="2095" spans="1:2">
      <c r="A2095" s="1">
        <v>45302</v>
      </c>
      <c r="B2095" s="4">
        <v>80.209999999999994</v>
      </c>
    </row>
    <row r="2096" spans="1:2">
      <c r="A2096" s="1">
        <v>45303</v>
      </c>
      <c r="B2096" s="4">
        <v>79.89</v>
      </c>
    </row>
    <row r="2097" spans="1:2">
      <c r="A2097" s="1">
        <v>45306</v>
      </c>
      <c r="B2097" s="4">
        <v>79.760000000000005</v>
      </c>
    </row>
    <row r="2098" spans="1:2">
      <c r="A2098" s="1">
        <v>45307</v>
      </c>
      <c r="B2098" s="4">
        <v>80.150000000000006</v>
      </c>
    </row>
    <row r="2099" spans="1:2">
      <c r="A2099" s="1">
        <v>45308</v>
      </c>
      <c r="B2099" s="4">
        <v>78.88</v>
      </c>
    </row>
    <row r="2100" spans="1:2">
      <c r="A2100" s="1">
        <v>45309</v>
      </c>
      <c r="B2100" s="4">
        <v>81.040000000000006</v>
      </c>
    </row>
    <row r="2101" spans="1:2">
      <c r="A2101" s="1">
        <v>45310</v>
      </c>
      <c r="B2101" s="4">
        <v>80.709999999999994</v>
      </c>
    </row>
    <row r="2102" spans="1:2">
      <c r="A2102" s="1">
        <v>45313</v>
      </c>
      <c r="B2102" s="4">
        <v>81.7</v>
      </c>
    </row>
    <row r="2103" spans="1:2">
      <c r="A2103" s="1">
        <v>45314</v>
      </c>
      <c r="B2103" s="4">
        <v>82.04</v>
      </c>
    </row>
    <row r="2104" spans="1:2">
      <c r="A2104" s="1">
        <v>45315</v>
      </c>
      <c r="B2104" s="4">
        <v>82.15</v>
      </c>
    </row>
    <row r="2105" spans="1:2">
      <c r="A2105" s="1">
        <v>45316</v>
      </c>
      <c r="B2105" s="4">
        <v>82.33</v>
      </c>
    </row>
    <row r="2106" spans="1:2">
      <c r="A2106" s="1">
        <v>45317</v>
      </c>
      <c r="B2106" s="4">
        <v>83.34</v>
      </c>
    </row>
    <row r="2107" spans="1:2">
      <c r="A2107" s="1">
        <v>45320</v>
      </c>
      <c r="B2107" s="4">
        <v>83.99</v>
      </c>
    </row>
    <row r="2108" spans="1:2">
      <c r="A2108" s="1">
        <v>45321</v>
      </c>
      <c r="B2108" s="4">
        <v>84.14</v>
      </c>
    </row>
    <row r="2109" spans="1:2">
      <c r="A2109" s="1">
        <v>45322</v>
      </c>
      <c r="B2109" s="4">
        <v>82.98</v>
      </c>
    </row>
    <row r="2110" spans="1:2">
      <c r="A2110" s="1">
        <v>45323</v>
      </c>
      <c r="B2110" s="4">
        <v>82.2</v>
      </c>
    </row>
    <row r="2111" spans="1:2">
      <c r="A2111" s="1">
        <v>45324</v>
      </c>
      <c r="B2111" s="4">
        <v>79.540000000000006</v>
      </c>
    </row>
    <row r="2112" spans="1:2">
      <c r="A2112" s="1">
        <v>45327</v>
      </c>
      <c r="B2112" s="4">
        <v>79.3</v>
      </c>
    </row>
    <row r="2113" spans="1:2">
      <c r="A2113" s="1">
        <v>45328</v>
      </c>
      <c r="B2113" s="4">
        <v>80.459999999999994</v>
      </c>
    </row>
    <row r="2114" spans="1:2">
      <c r="A2114" s="1">
        <v>45329</v>
      </c>
      <c r="B2114" s="4">
        <v>81.180000000000007</v>
      </c>
    </row>
    <row r="2115" spans="1:2">
      <c r="A2115" s="1">
        <v>45330</v>
      </c>
      <c r="B2115" s="4">
        <v>83.01</v>
      </c>
    </row>
    <row r="2116" spans="1:2">
      <c r="A2116" s="1">
        <v>45331</v>
      </c>
      <c r="B2116" s="4">
        <v>83.58</v>
      </c>
    </row>
    <row r="2117" spans="1:2">
      <c r="A2117" s="1">
        <v>45334</v>
      </c>
      <c r="B2117" s="4">
        <v>83.88</v>
      </c>
    </row>
    <row r="2118" spans="1:2">
      <c r="A2118" s="1">
        <v>45335</v>
      </c>
      <c r="B2118" s="4">
        <v>84.72</v>
      </c>
    </row>
    <row r="2119" spans="1:2">
      <c r="A2119" s="1">
        <v>45336</v>
      </c>
      <c r="B2119" s="4">
        <v>84.41</v>
      </c>
    </row>
    <row r="2120" spans="1:2">
      <c r="A2120" s="1">
        <v>45337</v>
      </c>
      <c r="B2120" s="4">
        <v>84.33</v>
      </c>
    </row>
    <row r="2121" spans="1:2">
      <c r="A2121" s="1">
        <v>45338</v>
      </c>
      <c r="B2121" s="4">
        <v>84.88</v>
      </c>
    </row>
    <row r="2122" spans="1:2">
      <c r="A2122" s="1">
        <v>45341</v>
      </c>
      <c r="B2122" s="4">
        <v>85.52</v>
      </c>
    </row>
    <row r="2123" spans="1:2">
      <c r="A2123" s="1">
        <v>45342</v>
      </c>
      <c r="B2123" s="4">
        <v>84.78</v>
      </c>
    </row>
    <row r="2124" spans="1:2">
      <c r="A2124" s="1">
        <v>45343</v>
      </c>
      <c r="B2124" s="4">
        <v>84.77</v>
      </c>
    </row>
    <row r="2125" spans="1:2">
      <c r="A2125" s="1">
        <v>45344</v>
      </c>
      <c r="B2125" s="4">
        <v>85.84</v>
      </c>
    </row>
    <row r="2126" spans="1:2">
      <c r="A2126" s="1">
        <v>45345</v>
      </c>
      <c r="B2126" s="4">
        <v>84.18</v>
      </c>
    </row>
    <row r="2127" spans="1:2">
      <c r="A2127" s="1">
        <v>45348</v>
      </c>
      <c r="B2127" s="4">
        <v>84.01</v>
      </c>
    </row>
    <row r="2128" spans="1:2">
      <c r="A2128" s="1">
        <v>45349</v>
      </c>
      <c r="B2128" s="4">
        <v>83.8</v>
      </c>
    </row>
    <row r="2129" spans="1:2">
      <c r="A2129" s="1">
        <v>45350</v>
      </c>
      <c r="B2129" s="4">
        <v>84.08</v>
      </c>
    </row>
    <row r="2130" spans="1:2">
      <c r="A2130" s="1">
        <v>45351</v>
      </c>
      <c r="B2130" s="4">
        <v>84.57</v>
      </c>
    </row>
    <row r="2131" spans="1:2">
      <c r="A2131" s="1">
        <v>45352</v>
      </c>
      <c r="B2131" s="4">
        <v>84.82</v>
      </c>
    </row>
    <row r="2132" spans="1:2">
      <c r="A2132" s="1">
        <v>45355</v>
      </c>
      <c r="B2132" s="4">
        <v>86.58</v>
      </c>
    </row>
    <row r="2133" spans="1:2">
      <c r="A2133" s="1">
        <v>45356</v>
      </c>
      <c r="B2133" s="4">
        <v>85.82</v>
      </c>
    </row>
    <row r="2134" spans="1:2">
      <c r="A2134" s="1">
        <v>45357</v>
      </c>
      <c r="B2134" s="4">
        <v>86.59</v>
      </c>
    </row>
    <row r="2135" spans="1:2">
      <c r="A2135" s="1">
        <v>45358</v>
      </c>
      <c r="B2135" s="4">
        <v>84.88</v>
      </c>
    </row>
    <row r="2136" spans="1:2">
      <c r="A2136" s="1">
        <v>45359</v>
      </c>
      <c r="B2136" s="4">
        <v>84.29</v>
      </c>
    </row>
    <row r="2137" spans="1:2">
      <c r="A2137" s="1">
        <v>45362</v>
      </c>
      <c r="B2137" s="4">
        <v>83.44</v>
      </c>
    </row>
    <row r="2138" spans="1:2">
      <c r="A2138" s="1">
        <v>45363</v>
      </c>
      <c r="B2138" s="4">
        <v>83.66</v>
      </c>
    </row>
    <row r="2139" spans="1:2">
      <c r="A2139" s="1">
        <v>45364</v>
      </c>
      <c r="B2139" s="4">
        <v>83.95</v>
      </c>
    </row>
    <row r="2140" spans="1:2">
      <c r="A2140" s="1">
        <v>45365</v>
      </c>
      <c r="B2140" s="4">
        <v>86.16</v>
      </c>
    </row>
    <row r="2141" spans="1:2">
      <c r="A2141" s="1">
        <v>45366</v>
      </c>
      <c r="B2141" s="4">
        <v>85.39</v>
      </c>
    </row>
    <row r="2142" spans="1:2">
      <c r="A2142" s="1">
        <v>45369</v>
      </c>
      <c r="B2142" s="4">
        <v>86.47</v>
      </c>
    </row>
    <row r="2143" spans="1:2">
      <c r="A2143" s="1">
        <v>45370</v>
      </c>
      <c r="B2143" s="4">
        <v>87.36</v>
      </c>
    </row>
    <row r="2144" spans="1:2">
      <c r="A2144" s="1">
        <v>45371</v>
      </c>
      <c r="B2144" s="4">
        <v>85.77</v>
      </c>
    </row>
    <row r="2145" spans="1:2">
      <c r="A2145" s="1">
        <v>45372</v>
      </c>
      <c r="B2145" s="4">
        <v>84.92</v>
      </c>
    </row>
    <row r="2146" spans="1:2">
      <c r="A2146" s="1">
        <v>45373</v>
      </c>
      <c r="B2146" s="4">
        <v>84.87</v>
      </c>
    </row>
    <row r="2147" spans="1:2">
      <c r="A2147" s="1">
        <v>45376</v>
      </c>
      <c r="B2147" s="4">
        <v>86.18</v>
      </c>
    </row>
    <row r="2148" spans="1:2">
      <c r="A2148" s="1">
        <v>45377</v>
      </c>
      <c r="B2148" s="4">
        <v>85.91</v>
      </c>
    </row>
    <row r="2149" spans="1:2">
      <c r="A2149" s="1">
        <v>45378</v>
      </c>
      <c r="B2149" s="4">
        <v>84.94</v>
      </c>
    </row>
    <row r="2150" spans="1:2">
      <c r="A2150" s="1">
        <v>45379</v>
      </c>
      <c r="B2150" s="4">
        <v>86.17</v>
      </c>
    </row>
    <row r="2151" spans="1:2">
      <c r="A2151" s="1">
        <v>45380</v>
      </c>
      <c r="B2151" s="4"/>
    </row>
    <row r="2152" spans="1:2">
      <c r="A2152" s="1">
        <v>45383</v>
      </c>
      <c r="B2152" s="4"/>
    </row>
    <row r="2153" spans="1:2">
      <c r="A2153" s="1">
        <v>45384</v>
      </c>
      <c r="B2153" s="4">
        <v>87.63</v>
      </c>
    </row>
    <row r="2154" spans="1:2">
      <c r="A2154" s="1">
        <v>45385</v>
      </c>
      <c r="B2154" s="4">
        <v>90.6</v>
      </c>
    </row>
    <row r="2155" spans="1:2">
      <c r="A2155" s="1">
        <v>45386</v>
      </c>
      <c r="B2155" s="4">
        <v>90.32</v>
      </c>
    </row>
    <row r="2156" spans="1:2">
      <c r="A2156" s="1">
        <v>45387</v>
      </c>
      <c r="B2156" s="4">
        <v>92.81</v>
      </c>
    </row>
    <row r="2157" spans="1:2">
      <c r="A2157" s="1">
        <v>45390</v>
      </c>
      <c r="B2157" s="4">
        <v>91.73</v>
      </c>
    </row>
    <row r="2158" spans="1:2">
      <c r="A2158" s="1">
        <v>45391</v>
      </c>
      <c r="B2158" s="4">
        <v>92.13</v>
      </c>
    </row>
    <row r="2159" spans="1:2">
      <c r="A2159" s="1">
        <v>45392</v>
      </c>
      <c r="B2159" s="4">
        <v>91.57</v>
      </c>
    </row>
    <row r="2160" spans="1:2">
      <c r="A2160" s="1">
        <v>45393</v>
      </c>
      <c r="B2160" s="4">
        <v>91.49</v>
      </c>
    </row>
    <row r="2161" spans="1:2">
      <c r="A2161" s="1">
        <v>45394</v>
      </c>
      <c r="B2161" s="4">
        <v>93.12</v>
      </c>
    </row>
    <row r="2162" spans="1:2">
      <c r="A2162" s="1">
        <v>45397</v>
      </c>
      <c r="B2162" s="4">
        <v>90.84</v>
      </c>
    </row>
    <row r="2163" spans="1:2">
      <c r="A2163" s="1">
        <v>45398</v>
      </c>
      <c r="B2163" s="4">
        <v>91.29</v>
      </c>
    </row>
    <row r="2164" spans="1:2">
      <c r="A2164" s="1">
        <v>45399</v>
      </c>
      <c r="B2164" s="4">
        <v>89.54</v>
      </c>
    </row>
    <row r="2165" spans="1:2">
      <c r="A2165" s="1">
        <v>45400</v>
      </c>
      <c r="B2165" s="4">
        <v>88.34</v>
      </c>
    </row>
    <row r="2166" spans="1:2">
      <c r="A2166" s="1">
        <v>45401</v>
      </c>
      <c r="B2166" s="4">
        <v>87.96</v>
      </c>
    </row>
    <row r="2167" spans="1:2">
      <c r="A2167" s="1">
        <v>45404</v>
      </c>
      <c r="B2167" s="4">
        <v>87.3</v>
      </c>
    </row>
    <row r="2168" spans="1:2">
      <c r="A2168" s="1">
        <v>45405</v>
      </c>
      <c r="B2168" s="4">
        <v>88.29</v>
      </c>
    </row>
    <row r="2169" spans="1:2">
      <c r="A2169" s="1">
        <v>45406</v>
      </c>
      <c r="B2169" s="4">
        <v>89.02</v>
      </c>
    </row>
    <row r="2170" spans="1:2">
      <c r="A2170" s="1">
        <v>45407</v>
      </c>
      <c r="B2170" s="4">
        <v>88.1</v>
      </c>
    </row>
    <row r="2171" spans="1:2">
      <c r="A2171" s="1">
        <v>45408</v>
      </c>
      <c r="B2171" s="4">
        <v>89.95</v>
      </c>
    </row>
    <row r="2172" spans="1:2">
      <c r="A2172" s="1">
        <v>45411</v>
      </c>
      <c r="B2172" s="4">
        <v>88.44</v>
      </c>
    </row>
    <row r="2173" spans="1:2">
      <c r="A2173" s="1">
        <v>45412</v>
      </c>
      <c r="B2173" s="4">
        <v>88.23</v>
      </c>
    </row>
    <row r="2174" spans="1:2">
      <c r="A2174" s="1">
        <v>45413</v>
      </c>
      <c r="B2174" s="4">
        <v>83.55</v>
      </c>
    </row>
    <row r="2175" spans="1:2">
      <c r="A2175" s="1">
        <v>45414</v>
      </c>
      <c r="B2175" s="4">
        <v>84.81</v>
      </c>
    </row>
    <row r="2176" spans="1:2">
      <c r="A2176" s="1">
        <v>45415</v>
      </c>
      <c r="B2176" s="4">
        <v>83.6</v>
      </c>
    </row>
    <row r="2177" spans="1:2">
      <c r="A2177" s="1">
        <v>45418</v>
      </c>
      <c r="B2177" s="4"/>
    </row>
    <row r="2178" spans="1:2">
      <c r="A2178" s="1">
        <v>45419</v>
      </c>
      <c r="B2178" s="4">
        <v>82.69</v>
      </c>
    </row>
    <row r="2179" spans="1:2">
      <c r="A2179" s="1">
        <v>45420</v>
      </c>
      <c r="B2179" s="4">
        <v>82.44</v>
      </c>
    </row>
    <row r="2180" spans="1:2">
      <c r="A2180" s="1">
        <v>45421</v>
      </c>
      <c r="B2180" s="4">
        <v>83.27</v>
      </c>
    </row>
    <row r="2181" spans="1:2">
      <c r="A2181" s="1">
        <v>45422</v>
      </c>
      <c r="B2181" s="4">
        <v>83.39</v>
      </c>
    </row>
    <row r="2182" spans="1:2">
      <c r="A2182" s="1">
        <v>45425</v>
      </c>
      <c r="B2182" s="4">
        <v>83.18</v>
      </c>
    </row>
    <row r="2183" spans="1:2">
      <c r="A2183" s="1">
        <v>45426</v>
      </c>
      <c r="B2183" s="4">
        <v>81</v>
      </c>
    </row>
    <row r="2184" spans="1:2">
      <c r="A2184" s="1">
        <v>45427</v>
      </c>
      <c r="B2184" s="4">
        <v>79.98</v>
      </c>
    </row>
    <row r="2185" spans="1:2">
      <c r="A2185" s="1">
        <v>45428</v>
      </c>
      <c r="B2185" s="4">
        <v>81.650000000000006</v>
      </c>
    </row>
    <row r="2186" spans="1:2">
      <c r="A2186" s="1">
        <v>45429</v>
      </c>
      <c r="B2186" s="4">
        <v>82.24</v>
      </c>
    </row>
    <row r="2187" spans="1:2">
      <c r="A2187" s="1">
        <v>45432</v>
      </c>
      <c r="B2187" s="4">
        <v>81.91</v>
      </c>
    </row>
    <row r="2188" spans="1:2">
      <c r="A2188" s="1">
        <v>45433</v>
      </c>
      <c r="B2188" s="4">
        <v>81.22</v>
      </c>
    </row>
    <row r="2189" spans="1:2">
      <c r="A2189" s="1">
        <v>45434</v>
      </c>
      <c r="B2189" s="4">
        <v>79.900000000000006</v>
      </c>
    </row>
    <row r="2190" spans="1:2">
      <c r="A2190" s="1">
        <v>45435</v>
      </c>
      <c r="B2190" s="4">
        <v>79.25</v>
      </c>
    </row>
    <row r="2191" spans="1:2">
      <c r="A2191" s="1">
        <v>45436</v>
      </c>
      <c r="B2191" s="4">
        <v>78.92</v>
      </c>
    </row>
    <row r="2192" spans="1:2">
      <c r="A2192" s="1">
        <v>45439</v>
      </c>
      <c r="B2192" s="4"/>
    </row>
    <row r="2193" spans="1:2">
      <c r="A2193" s="1">
        <v>45440</v>
      </c>
      <c r="B2193" s="4">
        <v>81.34</v>
      </c>
    </row>
    <row r="2194" spans="1:2">
      <c r="A2194" s="1">
        <v>45441</v>
      </c>
      <c r="B2194" s="4">
        <v>81.5</v>
      </c>
    </row>
    <row r="2195" spans="1:2">
      <c r="A2195" s="1">
        <v>45442</v>
      </c>
      <c r="B2195" s="4">
        <v>81.42</v>
      </c>
    </row>
    <row r="2196" spans="1:2">
      <c r="A2196" s="1">
        <v>45443</v>
      </c>
      <c r="B2196" s="4">
        <v>79.41</v>
      </c>
    </row>
    <row r="2197" spans="1:2">
      <c r="A2197" s="1">
        <v>45446</v>
      </c>
      <c r="B2197" s="4">
        <v>76.45</v>
      </c>
    </row>
    <row r="2198" spans="1:2">
      <c r="A2198" s="1">
        <v>45447</v>
      </c>
      <c r="B2198" s="4">
        <v>75.33</v>
      </c>
    </row>
    <row r="2199" spans="1:2">
      <c r="A2199" s="1">
        <v>45448</v>
      </c>
      <c r="B2199" s="4">
        <v>75.41</v>
      </c>
    </row>
    <row r="2200" spans="1:2">
      <c r="A2200" s="1">
        <v>45449</v>
      </c>
      <c r="B2200" s="4">
        <v>77.62</v>
      </c>
    </row>
    <row r="2201" spans="1:2">
      <c r="A2201" s="1">
        <v>45450</v>
      </c>
      <c r="B2201" s="4">
        <v>78.12</v>
      </c>
    </row>
    <row r="2202" spans="1:2">
      <c r="A2202" s="1">
        <v>45453</v>
      </c>
      <c r="B2202" s="4">
        <v>79.59</v>
      </c>
    </row>
    <row r="2203" spans="1:2">
      <c r="A2203" s="1">
        <v>45454</v>
      </c>
      <c r="B2203" s="4">
        <v>80.150000000000006</v>
      </c>
    </row>
    <row r="2204" spans="1:2">
      <c r="A2204" s="1">
        <v>45455</v>
      </c>
      <c r="B2204" s="4">
        <v>80.52</v>
      </c>
    </row>
    <row r="2205" spans="1:2">
      <c r="A2205" s="1">
        <v>45456</v>
      </c>
      <c r="B2205" s="4">
        <v>81.44</v>
      </c>
    </row>
    <row r="2206" spans="1:2">
      <c r="A2206" s="1">
        <v>45457</v>
      </c>
      <c r="B2206" s="4">
        <v>81.489999999999995</v>
      </c>
    </row>
    <row r="2207" spans="1:2">
      <c r="A2207" s="1">
        <v>45460</v>
      </c>
      <c r="B2207" s="4">
        <v>82.45</v>
      </c>
    </row>
    <row r="2208" spans="1:2">
      <c r="A2208" s="1">
        <v>45461</v>
      </c>
      <c r="B2208" s="4">
        <v>84.79</v>
      </c>
    </row>
    <row r="2209" spans="1:2">
      <c r="A2209" s="1">
        <v>45462</v>
      </c>
      <c r="B2209" s="4">
        <v>85.64</v>
      </c>
    </row>
    <row r="2210" spans="1:2">
      <c r="A2210" s="1">
        <v>45463</v>
      </c>
      <c r="B2210" s="4">
        <v>85.92</v>
      </c>
    </row>
    <row r="2211" spans="1:2">
      <c r="A2211" s="1">
        <v>45464</v>
      </c>
      <c r="B2211" s="4">
        <v>86.42</v>
      </c>
    </row>
    <row r="2212" spans="1:2">
      <c r="A2212" s="1">
        <v>45467</v>
      </c>
      <c r="B2212" s="4">
        <v>86.75</v>
      </c>
    </row>
    <row r="2213" spans="1:2">
      <c r="A2213" s="1">
        <v>45468</v>
      </c>
      <c r="B2213" s="4">
        <v>86.81</v>
      </c>
    </row>
    <row r="2214" spans="1:2">
      <c r="A2214" s="1">
        <v>45469</v>
      </c>
      <c r="B2214" s="4">
        <v>85.76</v>
      </c>
    </row>
    <row r="2215" spans="1:2">
      <c r="A2215" s="1">
        <v>45470</v>
      </c>
      <c r="B2215" s="4">
        <v>87</v>
      </c>
    </row>
    <row r="2216" spans="1:2">
      <c r="A2216" s="1">
        <v>45471</v>
      </c>
      <c r="B2216" s="4">
        <v>87.26</v>
      </c>
    </row>
    <row r="2217" spans="1:2">
      <c r="A2217" s="1">
        <v>45474</v>
      </c>
      <c r="B2217" s="4">
        <v>86.57</v>
      </c>
    </row>
    <row r="2218" spans="1:2">
      <c r="A2218" s="1">
        <v>45475</v>
      </c>
      <c r="B2218" s="4">
        <v>88.28</v>
      </c>
    </row>
    <row r="2219" spans="1:2">
      <c r="A2219" s="1">
        <v>45476</v>
      </c>
      <c r="B2219" s="4">
        <v>88.25</v>
      </c>
    </row>
    <row r="2220" spans="1:2">
      <c r="A2220" s="1">
        <v>45477</v>
      </c>
      <c r="B2220" s="4">
        <v>88.34</v>
      </c>
    </row>
    <row r="2221" spans="1:2">
      <c r="A2221" s="1">
        <v>45478</v>
      </c>
      <c r="B2221" s="4">
        <v>88.66</v>
      </c>
    </row>
    <row r="2222" spans="1:2">
      <c r="A2222" s="1">
        <v>45481</v>
      </c>
      <c r="B2222" s="4">
        <v>87.15</v>
      </c>
    </row>
    <row r="2223" spans="1:2">
      <c r="A2223" s="1">
        <v>45482</v>
      </c>
      <c r="B2223" s="4">
        <v>86.48</v>
      </c>
    </row>
    <row r="2224" spans="1:2">
      <c r="A2224" s="1">
        <v>45483</v>
      </c>
      <c r="B2224" s="4">
        <v>86.55</v>
      </c>
    </row>
    <row r="2225" spans="1:2">
      <c r="A2225" s="1">
        <v>45484</v>
      </c>
      <c r="B2225" s="4">
        <v>86.49</v>
      </c>
    </row>
    <row r="2226" spans="1:2">
      <c r="A2226" s="1">
        <v>45485</v>
      </c>
      <c r="B2226" s="4">
        <v>87.35</v>
      </c>
    </row>
    <row r="2227" spans="1:2">
      <c r="A2227" s="1">
        <v>45488</v>
      </c>
      <c r="B2227" s="4">
        <v>86.42</v>
      </c>
    </row>
    <row r="2228" spans="1:2">
      <c r="A2228" s="1">
        <v>45489</v>
      </c>
      <c r="B2228" s="4">
        <v>86.6</v>
      </c>
    </row>
    <row r="2229" spans="1:2">
      <c r="A2229" s="1">
        <v>45490</v>
      </c>
      <c r="B2229" s="4">
        <v>85.76</v>
      </c>
    </row>
    <row r="2230" spans="1:2">
      <c r="A2230" s="1">
        <v>45491</v>
      </c>
      <c r="B2230" s="4">
        <v>86.26</v>
      </c>
    </row>
    <row r="2231" spans="1:2">
      <c r="A2231" s="1">
        <v>45492</v>
      </c>
      <c r="B2231" s="4">
        <v>85.19</v>
      </c>
    </row>
    <row r="2232" spans="1:2">
      <c r="A2232" s="1">
        <v>45495</v>
      </c>
      <c r="B2232" s="4">
        <v>83.44</v>
      </c>
    </row>
    <row r="2233" spans="1:2">
      <c r="A2233" s="1">
        <v>45496</v>
      </c>
      <c r="B2233" s="4">
        <v>82.2</v>
      </c>
    </row>
    <row r="2234" spans="1:2">
      <c r="A2234" s="1">
        <v>45497</v>
      </c>
      <c r="B2234" s="4">
        <v>83.01</v>
      </c>
    </row>
    <row r="2235" spans="1:2">
      <c r="A2235" s="1">
        <v>45498</v>
      </c>
      <c r="B2235" s="4">
        <v>82.58</v>
      </c>
    </row>
    <row r="2236" spans="1:2">
      <c r="A2236" s="1">
        <v>45499</v>
      </c>
      <c r="B2236" s="4">
        <v>81.349999999999994</v>
      </c>
    </row>
    <row r="2237" spans="1:2">
      <c r="A2237" s="1">
        <v>45502</v>
      </c>
      <c r="B2237" s="4">
        <v>80.94</v>
      </c>
    </row>
    <row r="2238" spans="1:2">
      <c r="A2238" s="1">
        <v>45503</v>
      </c>
      <c r="B2238" s="4">
        <v>79.260000000000005</v>
      </c>
    </row>
    <row r="2239" spans="1:2">
      <c r="A2239" s="1">
        <v>45504</v>
      </c>
      <c r="B2239" s="4">
        <v>81.39</v>
      </c>
    </row>
    <row r="2240" spans="1:2">
      <c r="A2240" s="1">
        <v>45505</v>
      </c>
      <c r="B2240" s="4">
        <v>81.37</v>
      </c>
    </row>
    <row r="2241" spans="1:2">
      <c r="A2241" s="1">
        <v>45506</v>
      </c>
      <c r="B2241" s="4">
        <v>78.349999999999994</v>
      </c>
    </row>
    <row r="2242" spans="1:2">
      <c r="A2242" s="1">
        <v>45509</v>
      </c>
      <c r="B2242" s="4">
        <v>77.510000000000005</v>
      </c>
    </row>
    <row r="2243" spans="1:2">
      <c r="A2243" s="1">
        <v>45510</v>
      </c>
      <c r="B2243" s="4">
        <v>76.62</v>
      </c>
    </row>
    <row r="2244" spans="1:2">
      <c r="A2244" s="1">
        <v>45511</v>
      </c>
      <c r="B2244" s="4">
        <v>78.260000000000005</v>
      </c>
    </row>
    <row r="2245" spans="1:2">
      <c r="A2245" s="1">
        <v>45512</v>
      </c>
      <c r="B2245" s="4">
        <v>80.760000000000005</v>
      </c>
    </row>
    <row r="2246" spans="1:2">
      <c r="A2246" s="1">
        <v>45513</v>
      </c>
      <c r="B2246" s="4">
        <v>81.069999999999993</v>
      </c>
    </row>
    <row r="2247" spans="1:2">
      <c r="A2247" s="1">
        <v>45516</v>
      </c>
      <c r="B2247" s="4">
        <v>83.06</v>
      </c>
    </row>
    <row r="2248" spans="1:2">
      <c r="A2248" s="1">
        <v>45517</v>
      </c>
      <c r="B2248" s="4">
        <v>82.51</v>
      </c>
    </row>
    <row r="2249" spans="1:2">
      <c r="A2249" s="1">
        <v>45518</v>
      </c>
      <c r="B2249" s="4">
        <v>82.15</v>
      </c>
    </row>
    <row r="2250" spans="1:2">
      <c r="A2250" s="1">
        <v>45519</v>
      </c>
      <c r="B2250" s="4">
        <v>83.09</v>
      </c>
    </row>
    <row r="2251" spans="1:2">
      <c r="A2251" s="1">
        <v>45520</v>
      </c>
      <c r="B2251" s="4">
        <v>81.56</v>
      </c>
    </row>
    <row r="2252" spans="1:2">
      <c r="A2252" s="1">
        <v>45523</v>
      </c>
      <c r="B2252" s="4">
        <v>81.09</v>
      </c>
    </row>
    <row r="2253" spans="1:2">
      <c r="A2253" s="1">
        <v>45524</v>
      </c>
      <c r="B2253" s="4">
        <v>78.849999999999994</v>
      </c>
    </row>
    <row r="2254" spans="1:2">
      <c r="A2254" s="1">
        <v>45525</v>
      </c>
      <c r="B2254" s="4">
        <v>78.77</v>
      </c>
    </row>
    <row r="2255" spans="1:2">
      <c r="A2255" s="1">
        <v>45526</v>
      </c>
      <c r="B2255" s="4">
        <v>78.8</v>
      </c>
    </row>
    <row r="2256" spans="1:2">
      <c r="A2256" s="1">
        <v>45527</v>
      </c>
      <c r="B2256" s="4">
        <v>80.34</v>
      </c>
    </row>
    <row r="2257" spans="1:2">
      <c r="A2257" s="1">
        <v>45530</v>
      </c>
      <c r="B2257" s="4"/>
    </row>
    <row r="2258" spans="1:2">
      <c r="A2258" s="1">
        <v>45531</v>
      </c>
      <c r="B2258" s="4">
        <v>81.510000000000005</v>
      </c>
    </row>
    <row r="2259" spans="1:2">
      <c r="A2259" s="1">
        <v>45532</v>
      </c>
      <c r="B2259" s="4">
        <v>80.040000000000006</v>
      </c>
    </row>
    <row r="2260" spans="1:2">
      <c r="A2260" s="1">
        <v>45533</v>
      </c>
      <c r="B2260" s="4">
        <v>81.55</v>
      </c>
    </row>
    <row r="2261" spans="1:2">
      <c r="A2261" s="1">
        <v>45534</v>
      </c>
      <c r="B2261" s="4">
        <v>80.2</v>
      </c>
    </row>
    <row r="2262" spans="1:2">
      <c r="A2262" s="1">
        <v>45537</v>
      </c>
      <c r="B2262" s="4">
        <v>77.819999999999993</v>
      </c>
    </row>
    <row r="2263" spans="1:2">
      <c r="A2263" s="1">
        <v>45538</v>
      </c>
      <c r="B2263" s="4">
        <v>76.459999999999994</v>
      </c>
    </row>
    <row r="2264" spans="1:2">
      <c r="A2264" s="1">
        <v>45539</v>
      </c>
      <c r="B2264" s="4">
        <v>74.67</v>
      </c>
    </row>
    <row r="2265" spans="1:2">
      <c r="A2265" s="1">
        <v>45540</v>
      </c>
      <c r="B2265" s="4">
        <v>74.47</v>
      </c>
    </row>
    <row r="2266" spans="1:2">
      <c r="A2266" s="1">
        <v>45541</v>
      </c>
      <c r="B2266" s="4">
        <v>72.819999999999993</v>
      </c>
    </row>
    <row r="2267" spans="1:2">
      <c r="A2267" s="1">
        <v>45544</v>
      </c>
      <c r="B2267" s="4">
        <v>72.37</v>
      </c>
    </row>
    <row r="2268" spans="1:2">
      <c r="A2268" s="1">
        <v>45545</v>
      </c>
      <c r="B2268" s="4">
        <v>70.34</v>
      </c>
    </row>
    <row r="2269" spans="1:2">
      <c r="A2269" s="1">
        <v>45546</v>
      </c>
      <c r="B2269" s="4">
        <v>70.31</v>
      </c>
    </row>
    <row r="2270" spans="1:2">
      <c r="A2270" s="1">
        <v>45547</v>
      </c>
      <c r="B2270" s="4">
        <v>73.81</v>
      </c>
    </row>
    <row r="2271" spans="1:2">
      <c r="A2271" s="1">
        <v>45548</v>
      </c>
      <c r="B2271" s="4">
        <v>73.680000000000007</v>
      </c>
    </row>
    <row r="2272" spans="1:2">
      <c r="A2272" s="1">
        <v>45551</v>
      </c>
      <c r="B2272" s="4">
        <v>73.959999999999994</v>
      </c>
    </row>
    <row r="2273" spans="1:2">
      <c r="A2273" s="1">
        <v>45552</v>
      </c>
      <c r="B2273" s="4">
        <v>74.55</v>
      </c>
    </row>
    <row r="2274" spans="1:2">
      <c r="A2274" s="1">
        <v>45553</v>
      </c>
      <c r="B2274" s="4">
        <v>74.52</v>
      </c>
    </row>
    <row r="2275" spans="1:2">
      <c r="A2275" s="1">
        <v>45554</v>
      </c>
      <c r="B2275" s="4">
        <v>75.930000000000007</v>
      </c>
    </row>
    <row r="2276" spans="1:2">
      <c r="A2276" s="1">
        <v>45555</v>
      </c>
      <c r="B2276" s="4">
        <v>75.959999999999994</v>
      </c>
    </row>
    <row r="2277" spans="1:2">
      <c r="A2277" s="1">
        <v>45558</v>
      </c>
      <c r="B2277" s="4">
        <v>74.95</v>
      </c>
    </row>
    <row r="2278" spans="1:2">
      <c r="A2278" s="1">
        <v>45559</v>
      </c>
      <c r="B2278" s="4">
        <v>75.290000000000006</v>
      </c>
    </row>
    <row r="2279" spans="1:2">
      <c r="A2279" s="1">
        <v>45560</v>
      </c>
      <c r="B2279" s="4">
        <v>75.400000000000006</v>
      </c>
    </row>
    <row r="2280" spans="1:2">
      <c r="A2280" s="1">
        <v>45561</v>
      </c>
      <c r="B2280" s="4">
        <v>73.06</v>
      </c>
    </row>
    <row r="2281" spans="1:2">
      <c r="A2281" s="1">
        <v>45562</v>
      </c>
      <c r="B2281" s="4">
        <v>71.63</v>
      </c>
    </row>
    <row r="2282" spans="1:2">
      <c r="A2282" s="1">
        <v>45565</v>
      </c>
      <c r="B2282" s="4">
        <v>72.349999999999994</v>
      </c>
    </row>
    <row r="2283" spans="1:2">
      <c r="A2283" s="1">
        <v>45566</v>
      </c>
      <c r="B2283" s="4">
        <v>75.3</v>
      </c>
    </row>
    <row r="2284" spans="1:2">
      <c r="A2284" s="1">
        <v>45567</v>
      </c>
      <c r="B2284" s="4">
        <v>74.86</v>
      </c>
    </row>
    <row r="2285" spans="1:2">
      <c r="A2285" s="1">
        <v>45568</v>
      </c>
      <c r="B2285" s="4">
        <v>77.569999999999993</v>
      </c>
    </row>
    <row r="2286" spans="1:2">
      <c r="A2286" s="1">
        <v>45569</v>
      </c>
      <c r="B2286" s="4">
        <v>79.319999999999993</v>
      </c>
    </row>
    <row r="2287" spans="1:2">
      <c r="A2287" s="1">
        <v>45572</v>
      </c>
      <c r="B2287" s="4">
        <v>81.739999999999995</v>
      </c>
    </row>
    <row r="2288" spans="1:2">
      <c r="A2288" s="1">
        <v>45573</v>
      </c>
      <c r="B2288" s="4">
        <v>78.19</v>
      </c>
    </row>
    <row r="2289" spans="1:2">
      <c r="A2289" s="1">
        <v>45574</v>
      </c>
      <c r="B2289" s="4">
        <v>77.06</v>
      </c>
    </row>
    <row r="2290" spans="1:2">
      <c r="A2290" s="1">
        <v>45575</v>
      </c>
      <c r="B2290" s="4">
        <v>79.45</v>
      </c>
    </row>
    <row r="2291" spans="1:2">
      <c r="A2291" s="1">
        <v>45576</v>
      </c>
      <c r="B2291" s="4">
        <v>80.27</v>
      </c>
    </row>
    <row r="2292" spans="1:2">
      <c r="A2292" s="1">
        <v>45579</v>
      </c>
      <c r="B2292" s="4">
        <v>78.47</v>
      </c>
    </row>
    <row r="2293" spans="1:2">
      <c r="A2293" s="1">
        <v>45580</v>
      </c>
      <c r="B2293" s="4">
        <v>73.680000000000007</v>
      </c>
    </row>
    <row r="2294" spans="1:2">
      <c r="A2294" s="1">
        <v>45581</v>
      </c>
      <c r="B2294" s="4">
        <v>73.650000000000006</v>
      </c>
    </row>
    <row r="2295" spans="1:2">
      <c r="A2295" s="1">
        <v>45582</v>
      </c>
      <c r="B2295" s="4">
        <v>74.37</v>
      </c>
    </row>
    <row r="2296" spans="1:2">
      <c r="A2296" s="1">
        <v>45583</v>
      </c>
      <c r="B2296" s="4">
        <v>72.75</v>
      </c>
    </row>
    <row r="2297" spans="1:2">
      <c r="A2297" s="1">
        <v>45586</v>
      </c>
      <c r="B2297" s="4">
        <v>73.290000000000006</v>
      </c>
    </row>
    <row r="2298" spans="1:2">
      <c r="A2298" s="1">
        <v>45587</v>
      </c>
      <c r="B2298" s="4">
        <v>75.59</v>
      </c>
    </row>
    <row r="2299" spans="1:2">
      <c r="A2299" s="1">
        <v>45588</v>
      </c>
      <c r="B2299" s="4">
        <v>74.680000000000007</v>
      </c>
    </row>
    <row r="2300" spans="1:2">
      <c r="A2300" s="1">
        <v>45589</v>
      </c>
      <c r="B2300" s="4">
        <v>74.27</v>
      </c>
    </row>
    <row r="2301" spans="1:2">
      <c r="A2301" s="1">
        <v>45590</v>
      </c>
      <c r="B2301" s="4">
        <v>75.62</v>
      </c>
    </row>
    <row r="2302" spans="1:2">
      <c r="A2302" s="1">
        <v>45593</v>
      </c>
      <c r="B2302" s="4">
        <v>71.87</v>
      </c>
    </row>
    <row r="2303" spans="1:2">
      <c r="A2303" s="1">
        <v>45594</v>
      </c>
      <c r="B2303" s="4">
        <v>71.09</v>
      </c>
    </row>
    <row r="2304" spans="1:2">
      <c r="A2304" s="1">
        <v>45595</v>
      </c>
      <c r="B2304" s="4">
        <v>73.209999999999994</v>
      </c>
    </row>
    <row r="2305" spans="1:2">
      <c r="A2305" s="1">
        <v>45596</v>
      </c>
      <c r="B2305" s="4">
        <v>73.25</v>
      </c>
    </row>
    <row r="2306" spans="1:2">
      <c r="A2306" s="1">
        <v>45597</v>
      </c>
      <c r="B2306" s="4">
        <v>73.63</v>
      </c>
    </row>
    <row r="2307" spans="1:2">
      <c r="A2307" s="1">
        <v>45600</v>
      </c>
      <c r="B2307" s="4">
        <v>74.89</v>
      </c>
    </row>
    <row r="2308" spans="1:2">
      <c r="A2308" s="1">
        <v>45601</v>
      </c>
      <c r="B2308" s="4">
        <v>76.98</v>
      </c>
    </row>
    <row r="2309" spans="1:2">
      <c r="A2309" s="1">
        <v>45602</v>
      </c>
      <c r="B2309" s="4">
        <v>76.52</v>
      </c>
    </row>
    <row r="2310" spans="1:2">
      <c r="A2310" s="1">
        <v>45603</v>
      </c>
      <c r="B2310" s="4">
        <v>75.73</v>
      </c>
    </row>
    <row r="2311" spans="1:2">
      <c r="A2311" s="1">
        <v>45604</v>
      </c>
      <c r="B2311" s="4">
        <v>74.040000000000006</v>
      </c>
    </row>
    <row r="2312" spans="1:2">
      <c r="A2312" s="1">
        <v>45607</v>
      </c>
      <c r="B2312" s="4">
        <v>72.19</v>
      </c>
    </row>
    <row r="2313" spans="1:2">
      <c r="A2313" s="1">
        <v>45608</v>
      </c>
      <c r="B2313" s="4">
        <v>72.56</v>
      </c>
    </row>
    <row r="2314" spans="1:2">
      <c r="A2314" s="1">
        <v>45609</v>
      </c>
      <c r="B2314" s="4">
        <v>72.86</v>
      </c>
    </row>
    <row r="2315" spans="1:2">
      <c r="A2315" s="1">
        <v>45610</v>
      </c>
      <c r="B2315" s="4">
        <v>73.39</v>
      </c>
    </row>
    <row r="2316" spans="1:2">
      <c r="A2316" s="1">
        <v>45611</v>
      </c>
      <c r="B2316" s="4">
        <v>73.45</v>
      </c>
    </row>
    <row r="2317" spans="1:2">
      <c r="A2317" s="1">
        <v>45614</v>
      </c>
      <c r="B2317" s="4">
        <v>74.349999999999994</v>
      </c>
    </row>
    <row r="2318" spans="1:2">
      <c r="A2318" s="1">
        <v>45615</v>
      </c>
      <c r="B2318" s="4">
        <v>74.319999999999993</v>
      </c>
    </row>
    <row r="2319" spans="1:2">
      <c r="A2319" s="1">
        <v>45616</v>
      </c>
      <c r="B2319" s="4">
        <v>74.33</v>
      </c>
    </row>
    <row r="2320" spans="1:2">
      <c r="A2320" s="1">
        <v>45617</v>
      </c>
      <c r="B2320" s="4">
        <v>75.09</v>
      </c>
    </row>
    <row r="2321" spans="1:2">
      <c r="A2321" s="1">
        <v>45618</v>
      </c>
      <c r="B2321" s="4">
        <v>76.099999999999994</v>
      </c>
    </row>
    <row r="2322" spans="1:2">
      <c r="A2322" s="1">
        <v>45621</v>
      </c>
      <c r="B2322" s="4">
        <v>74.27</v>
      </c>
    </row>
    <row r="2323" spans="1:2">
      <c r="A2323" s="1">
        <v>45622</v>
      </c>
      <c r="B2323" s="4">
        <v>74.56</v>
      </c>
    </row>
    <row r="2324" spans="1:2">
      <c r="A2324" s="1">
        <v>45623</v>
      </c>
      <c r="B2324" s="4">
        <v>73.91</v>
      </c>
    </row>
    <row r="2325" spans="1:2">
      <c r="A2325" s="1">
        <v>45624</v>
      </c>
      <c r="B2325" s="4">
        <v>73.92</v>
      </c>
    </row>
    <row r="2326" spans="1:2">
      <c r="A2326" s="1">
        <v>45625</v>
      </c>
      <c r="B2326" s="4">
        <v>74.16</v>
      </c>
    </row>
    <row r="2327" spans="1:2">
      <c r="A2327" s="1">
        <v>45628</v>
      </c>
      <c r="B2327" s="4">
        <v>72.81</v>
      </c>
    </row>
    <row r="2328" spans="1:2">
      <c r="A2328" s="1">
        <v>45629</v>
      </c>
      <c r="B2328" s="4">
        <v>74.8</v>
      </c>
    </row>
    <row r="2329" spans="1:2">
      <c r="A2329" s="1">
        <v>45630</v>
      </c>
      <c r="B2329" s="4">
        <v>74.680000000000007</v>
      </c>
    </row>
    <row r="2330" spans="1:2">
      <c r="A2330" s="1">
        <v>45631</v>
      </c>
      <c r="B2330" s="4">
        <v>73.78</v>
      </c>
    </row>
    <row r="2331" spans="1:2">
      <c r="A2331" s="1">
        <v>45632</v>
      </c>
      <c r="B2331" s="4">
        <v>73.78</v>
      </c>
    </row>
    <row r="2332" spans="1:2">
      <c r="A2332" s="1">
        <v>45635</v>
      </c>
      <c r="B2332" s="4">
        <v>73.73</v>
      </c>
    </row>
    <row r="2333" spans="1:2">
      <c r="A2333" s="1">
        <v>45636</v>
      </c>
      <c r="B2333" s="4">
        <v>73.64</v>
      </c>
    </row>
    <row r="2334" spans="1:2">
      <c r="A2334" s="1">
        <v>45637</v>
      </c>
      <c r="B2334" s="4">
        <v>74.38</v>
      </c>
    </row>
    <row r="2335" spans="1:2">
      <c r="A2335" s="1">
        <v>45638</v>
      </c>
      <c r="B2335" s="4">
        <v>73.52</v>
      </c>
    </row>
    <row r="2336" spans="1:2">
      <c r="A2336" s="1">
        <v>45639</v>
      </c>
      <c r="B2336" s="4">
        <v>74.89</v>
      </c>
    </row>
    <row r="2337" spans="1:2">
      <c r="A2337" s="1">
        <v>45642</v>
      </c>
      <c r="B2337" s="4">
        <v>74.3</v>
      </c>
    </row>
    <row r="2338" spans="1:2">
      <c r="A2338" s="1">
        <v>45643</v>
      </c>
      <c r="B2338" s="4">
        <v>73.16</v>
      </c>
    </row>
    <row r="2339" spans="1:2">
      <c r="A2339" s="1">
        <v>45644</v>
      </c>
      <c r="B2339" s="4">
        <v>74.569999999999993</v>
      </c>
    </row>
    <row r="2340" spans="1:2">
      <c r="A2340" s="1">
        <v>45645</v>
      </c>
      <c r="B2340" s="4">
        <v>73.75</v>
      </c>
    </row>
    <row r="2341" spans="1:2">
      <c r="A2341" s="1">
        <v>45646</v>
      </c>
      <c r="B2341" s="4">
        <v>73.19</v>
      </c>
    </row>
    <row r="2342" spans="1:2">
      <c r="A2342" s="1">
        <v>45649</v>
      </c>
      <c r="B2342" s="4">
        <v>72.12</v>
      </c>
    </row>
    <row r="2343" spans="1:2">
      <c r="A2343" s="1">
        <v>45650</v>
      </c>
      <c r="B2343" s="4">
        <v>73.5</v>
      </c>
    </row>
    <row r="2344" spans="1:2">
      <c r="A2344" s="1">
        <v>45651</v>
      </c>
      <c r="B2344" s="4"/>
    </row>
    <row r="2345" spans="1:2">
      <c r="A2345" s="1">
        <v>45652</v>
      </c>
      <c r="B2345" s="4"/>
    </row>
    <row r="2346" spans="1:2">
      <c r="A2346" s="1">
        <v>45653</v>
      </c>
      <c r="B2346" s="4">
        <v>73.77</v>
      </c>
    </row>
    <row r="2347" spans="1:2">
      <c r="A2347" s="1">
        <v>45656</v>
      </c>
      <c r="B2347" s="4">
        <v>74.239999999999995</v>
      </c>
    </row>
    <row r="2348" spans="1:2">
      <c r="A2348" s="1">
        <v>45657</v>
      </c>
      <c r="B2348" s="4">
        <v>74.58</v>
      </c>
    </row>
    <row r="2349" spans="1:2">
      <c r="A2349" s="1">
        <v>45658</v>
      </c>
      <c r="B2349" s="4"/>
    </row>
    <row r="2350" spans="1:2">
      <c r="A2350" s="1">
        <v>45659</v>
      </c>
      <c r="B2350" s="4">
        <v>76.14</v>
      </c>
    </row>
    <row r="2351" spans="1:2">
      <c r="A2351" s="1">
        <v>45660</v>
      </c>
      <c r="B2351" s="4">
        <v>76.72</v>
      </c>
    </row>
    <row r="2352" spans="1:2">
      <c r="A2352" s="1">
        <v>45663</v>
      </c>
      <c r="B2352" s="4">
        <v>77.27</v>
      </c>
    </row>
    <row r="2353" spans="1:2">
      <c r="A2353" s="1">
        <v>45664</v>
      </c>
      <c r="B2353" s="4">
        <v>77.84</v>
      </c>
    </row>
    <row r="2354" spans="1:2">
      <c r="A2354" s="1">
        <v>45665</v>
      </c>
      <c r="B2354" s="4">
        <v>77.37</v>
      </c>
    </row>
    <row r="2355" spans="1:2">
      <c r="A2355" s="1">
        <v>45666</v>
      </c>
      <c r="B2355" s="4">
        <v>78.44</v>
      </c>
    </row>
    <row r="2356" spans="1:2">
      <c r="A2356" s="1">
        <v>45667</v>
      </c>
      <c r="B2356" s="4">
        <v>79.760000000000005</v>
      </c>
    </row>
    <row r="2357" spans="1:2">
      <c r="A2357" s="1">
        <v>45670</v>
      </c>
      <c r="B2357" s="4">
        <v>82.69</v>
      </c>
    </row>
    <row r="2358" spans="1:2">
      <c r="A2358" s="1">
        <v>45671</v>
      </c>
      <c r="B2358" s="4">
        <v>82.39</v>
      </c>
    </row>
    <row r="2359" spans="1:2">
      <c r="A2359" s="1">
        <v>45672</v>
      </c>
      <c r="B2359" s="4">
        <v>83.48</v>
      </c>
    </row>
    <row r="2360" spans="1:2">
      <c r="A2360" s="1">
        <v>45673</v>
      </c>
      <c r="B2360" s="4">
        <v>82.39</v>
      </c>
    </row>
    <row r="2361" spans="1:2">
      <c r="A2361" s="1">
        <v>45674</v>
      </c>
      <c r="B2361" s="4">
        <v>83.02</v>
      </c>
    </row>
    <row r="2362" spans="1:2">
      <c r="A2362" s="1">
        <v>45677</v>
      </c>
      <c r="B2362" s="4">
        <v>81.680000000000007</v>
      </c>
    </row>
    <row r="2363" spans="1:2">
      <c r="A2363" s="1">
        <v>45678</v>
      </c>
      <c r="B2363" s="4">
        <v>80.569999999999993</v>
      </c>
    </row>
    <row r="2364" spans="1:2">
      <c r="A2364" s="1">
        <v>45679</v>
      </c>
      <c r="B2364" s="4">
        <v>80</v>
      </c>
    </row>
    <row r="2365" spans="1:2">
      <c r="A2365" s="1">
        <v>45680</v>
      </c>
      <c r="B2365" s="4">
        <v>78.62</v>
      </c>
    </row>
    <row r="2366" spans="1:2">
      <c r="A2366" s="1">
        <v>45681</v>
      </c>
      <c r="B2366" s="4">
        <v>78.709999999999994</v>
      </c>
    </row>
    <row r="2367" spans="1:2">
      <c r="A2367" s="1">
        <v>45684</v>
      </c>
      <c r="B2367" s="4">
        <v>77.3</v>
      </c>
    </row>
    <row r="2368" spans="1:2">
      <c r="A2368" s="1">
        <v>45685</v>
      </c>
      <c r="B2368" s="4">
        <v>78.010000000000005</v>
      </c>
    </row>
    <row r="2369" spans="1:2">
      <c r="A2369" s="1">
        <v>45686</v>
      </c>
      <c r="B2369" s="4">
        <v>77.02</v>
      </c>
    </row>
    <row r="2370" spans="1:2">
      <c r="A2370" s="1">
        <v>45687</v>
      </c>
      <c r="B2370" s="4">
        <v>77.42</v>
      </c>
    </row>
    <row r="2371" spans="1:2">
      <c r="A2371" s="1">
        <v>45688</v>
      </c>
      <c r="B2371" s="4">
        <v>77.11</v>
      </c>
    </row>
    <row r="2372" spans="1:2">
      <c r="A2372" s="1">
        <v>45691</v>
      </c>
      <c r="B2372" s="4">
        <v>76.489999999999995</v>
      </c>
    </row>
    <row r="2373" spans="1:2">
      <c r="A2373" s="1">
        <v>45692</v>
      </c>
      <c r="B2373" s="4">
        <v>76.58</v>
      </c>
    </row>
    <row r="2374" spans="1:2">
      <c r="A2374" s="1">
        <v>45693</v>
      </c>
      <c r="B2374" s="4">
        <v>74.709999999999994</v>
      </c>
    </row>
    <row r="2375" spans="1:2">
      <c r="A2375" s="1">
        <v>45694</v>
      </c>
      <c r="B2375" s="4">
        <v>74.540000000000006</v>
      </c>
    </row>
    <row r="2376" spans="1:2">
      <c r="A2376" s="1">
        <v>45695</v>
      </c>
      <c r="B2376" s="4">
        <v>74.680000000000007</v>
      </c>
    </row>
    <row r="2377" spans="1:2">
      <c r="A2377" s="1">
        <v>45698</v>
      </c>
      <c r="B2377" s="4">
        <v>76.23</v>
      </c>
    </row>
    <row r="2378" spans="1:2">
      <c r="A2378" s="1">
        <v>45699</v>
      </c>
      <c r="B2378" s="4">
        <v>77.650000000000006</v>
      </c>
    </row>
    <row r="2379" spans="1:2">
      <c r="A2379" s="1">
        <v>45700</v>
      </c>
      <c r="B2379" s="4">
        <v>75.38</v>
      </c>
    </row>
    <row r="2380" spans="1:2">
      <c r="A2380" s="1">
        <v>45701</v>
      </c>
      <c r="B2380" s="4">
        <v>75.61</v>
      </c>
    </row>
    <row r="2381" spans="1:2">
      <c r="A2381" s="1">
        <v>45702</v>
      </c>
      <c r="B2381" s="4">
        <v>75.19</v>
      </c>
    </row>
    <row r="2382" spans="1:2">
      <c r="A2382" s="1">
        <v>45705</v>
      </c>
      <c r="B2382" s="4">
        <v>75.81</v>
      </c>
    </row>
    <row r="2383" spans="1:2">
      <c r="A2383" s="1">
        <v>45706</v>
      </c>
      <c r="B2383" s="4">
        <v>76.459999999999994</v>
      </c>
    </row>
    <row r="2384" spans="1:2">
      <c r="A2384" s="1">
        <v>45707</v>
      </c>
      <c r="B2384" s="4">
        <v>76.34</v>
      </c>
    </row>
    <row r="2385" spans="1:2">
      <c r="A2385" s="1">
        <v>45708</v>
      </c>
      <c r="B2385" s="4">
        <v>76.95</v>
      </c>
    </row>
    <row r="2386" spans="1:2">
      <c r="A2386" s="1">
        <v>45709</v>
      </c>
      <c r="B2386" s="4">
        <v>74.88</v>
      </c>
    </row>
    <row r="2387" spans="1:2">
      <c r="A2387" s="1">
        <v>45712</v>
      </c>
      <c r="B2387" s="4">
        <v>74.89</v>
      </c>
    </row>
    <row r="2388" spans="1:2">
      <c r="A2388" s="1">
        <v>45713</v>
      </c>
      <c r="B2388" s="4">
        <v>73.11</v>
      </c>
    </row>
    <row r="2389" spans="1:2">
      <c r="A2389" s="1">
        <v>45714</v>
      </c>
      <c r="B2389" s="4">
        <v>73.489999999999995</v>
      </c>
    </row>
    <row r="2390" spans="1:2">
      <c r="A2390" s="1">
        <v>45715</v>
      </c>
      <c r="B2390" s="4">
        <v>75.010000000000005</v>
      </c>
    </row>
    <row r="2391" spans="1:2">
      <c r="A2391" s="1">
        <v>45716</v>
      </c>
      <c r="B2391" s="4">
        <v>74.760000000000005</v>
      </c>
    </row>
    <row r="2392" spans="1:2">
      <c r="A2392" s="1">
        <v>45719</v>
      </c>
      <c r="B2392" s="4">
        <v>72.849999999999994</v>
      </c>
    </row>
    <row r="2393" spans="1:2">
      <c r="A2393" s="1">
        <v>45720</v>
      </c>
      <c r="B2393" s="4">
        <v>72.31</v>
      </c>
    </row>
    <row r="2394" spans="1:2">
      <c r="A2394" s="1">
        <v>45721</v>
      </c>
      <c r="B2394" s="4">
        <v>70.92</v>
      </c>
    </row>
    <row r="2395" spans="1:2">
      <c r="A2395" s="1">
        <v>45722</v>
      </c>
      <c r="B2395" s="4">
        <v>71.08</v>
      </c>
    </row>
    <row r="2396" spans="1:2">
      <c r="A2396" s="1">
        <v>45723</v>
      </c>
      <c r="B2396" s="4">
        <v>72.489999999999995</v>
      </c>
    </row>
    <row r="2397" spans="1:2">
      <c r="A2397" s="1">
        <v>45726</v>
      </c>
      <c r="B2397" s="4">
        <v>71.08</v>
      </c>
    </row>
    <row r="2398" spans="1:2">
      <c r="A2398" s="1">
        <v>45727</v>
      </c>
      <c r="B2398" s="4">
        <v>71.510000000000005</v>
      </c>
    </row>
    <row r="2399" spans="1:2">
      <c r="A2399" s="1">
        <v>45728</v>
      </c>
      <c r="B2399" s="4">
        <v>72.36</v>
      </c>
    </row>
    <row r="2400" spans="1:2">
      <c r="A2400" s="1">
        <v>45729</v>
      </c>
      <c r="B2400" s="4">
        <v>70.819999999999993</v>
      </c>
    </row>
    <row r="2401" spans="1:2">
      <c r="A2401" s="1">
        <v>45730</v>
      </c>
      <c r="B2401" s="4">
        <v>71.94</v>
      </c>
    </row>
    <row r="2402" spans="1:2">
      <c r="A2402" s="1">
        <v>45733</v>
      </c>
      <c r="B2402" s="4">
        <v>71.930000000000007</v>
      </c>
    </row>
    <row r="2403" spans="1:2">
      <c r="A2403" s="1">
        <v>45734</v>
      </c>
      <c r="B2403" s="4">
        <v>71.930000000000007</v>
      </c>
    </row>
    <row r="2404" spans="1:2">
      <c r="A2404" s="1">
        <v>45735</v>
      </c>
      <c r="B2404" s="4">
        <v>71.94</v>
      </c>
    </row>
    <row r="2405" spans="1:2">
      <c r="A2405" s="1">
        <v>45736</v>
      </c>
      <c r="B2405" s="4">
        <v>72.61</v>
      </c>
    </row>
    <row r="2406" spans="1:2">
      <c r="A2406" s="1">
        <v>45737</v>
      </c>
      <c r="B2406" s="4">
        <v>72.64</v>
      </c>
    </row>
    <row r="2407" spans="1:2">
      <c r="A2407" s="1">
        <v>45740</v>
      </c>
      <c r="B2407" s="4">
        <v>73.959999999999994</v>
      </c>
    </row>
    <row r="2408" spans="1:2">
      <c r="A2408" s="1">
        <v>45741</v>
      </c>
      <c r="B2408" s="4">
        <v>73.78</v>
      </c>
    </row>
    <row r="2409" spans="1:2">
      <c r="A2409" s="1">
        <v>45742</v>
      </c>
      <c r="B2409" s="4">
        <v>74.599999999999994</v>
      </c>
    </row>
    <row r="2410" spans="1:2">
      <c r="A2410" s="1">
        <v>45743</v>
      </c>
      <c r="B2410" s="4">
        <v>74.72</v>
      </c>
    </row>
    <row r="2411" spans="1:2">
      <c r="A2411" s="1">
        <v>45744</v>
      </c>
      <c r="B2411" s="4">
        <v>74.69</v>
      </c>
    </row>
    <row r="2412" spans="1:2">
      <c r="A2412" s="1">
        <v>45747</v>
      </c>
      <c r="B2412" s="4">
        <v>77.23</v>
      </c>
    </row>
    <row r="2413" spans="1:2">
      <c r="A2413" s="1">
        <v>45748</v>
      </c>
      <c r="B2413" s="4">
        <v>77.78</v>
      </c>
    </row>
    <row r="2414" spans="1:2">
      <c r="A2414" s="1">
        <v>45749</v>
      </c>
      <c r="B2414" s="4">
        <v>77.27</v>
      </c>
    </row>
    <row r="2415" spans="1:2">
      <c r="A2415" s="1">
        <v>45750</v>
      </c>
      <c r="B2415" s="4">
        <v>72.540000000000006</v>
      </c>
    </row>
    <row r="2416" spans="1:2">
      <c r="A2416" s="1">
        <v>45751</v>
      </c>
      <c r="B2416" s="4">
        <v>68.36</v>
      </c>
    </row>
    <row r="2417" spans="1:2">
      <c r="A2417" s="1">
        <v>45754</v>
      </c>
      <c r="B2417" s="4">
        <v>66.13</v>
      </c>
    </row>
    <row r="2418" spans="1:2">
      <c r="A2418" s="1">
        <v>45755</v>
      </c>
      <c r="B2418" s="4">
        <v>64.86</v>
      </c>
    </row>
    <row r="2419" spans="1:2">
      <c r="A2419" s="1">
        <v>45756</v>
      </c>
      <c r="B2419" s="4">
        <v>67.3</v>
      </c>
    </row>
    <row r="2420" spans="1:2">
      <c r="A2420" s="1">
        <v>45757</v>
      </c>
      <c r="B2420" s="4">
        <v>65.37</v>
      </c>
    </row>
    <row r="2421" spans="1:2">
      <c r="A2421" s="1">
        <v>45758</v>
      </c>
      <c r="B2421" s="4">
        <v>66.83</v>
      </c>
    </row>
    <row r="2422" spans="1:2">
      <c r="A2422" s="1">
        <v>45761</v>
      </c>
      <c r="B2422" s="4">
        <v>67.180000000000007</v>
      </c>
    </row>
    <row r="2423" spans="1:2">
      <c r="A2423" s="1">
        <v>45762</v>
      </c>
      <c r="B2423" s="4">
        <v>66.58</v>
      </c>
    </row>
    <row r="2424" spans="1:2">
      <c r="A2424" s="1">
        <v>45763</v>
      </c>
      <c r="B2424" s="4">
        <v>67.94</v>
      </c>
    </row>
    <row r="2425" spans="1:2">
      <c r="A2425" s="1">
        <v>45764</v>
      </c>
      <c r="B2425" s="4">
        <v>69.33</v>
      </c>
    </row>
    <row r="2426" spans="1:2">
      <c r="A2426" s="1">
        <v>45765</v>
      </c>
      <c r="B2426" s="4"/>
    </row>
    <row r="2427" spans="1:2">
      <c r="A2427" s="1">
        <v>45768</v>
      </c>
      <c r="B2427" s="4"/>
    </row>
    <row r="2428" spans="1:2">
      <c r="A2428" s="1">
        <v>45769</v>
      </c>
      <c r="B2428" s="4">
        <v>68.930000000000007</v>
      </c>
    </row>
    <row r="2429" spans="1:2">
      <c r="A2429" s="1">
        <v>45770</v>
      </c>
      <c r="B2429" s="4">
        <v>68.260000000000005</v>
      </c>
    </row>
    <row r="2430" spans="1:2">
      <c r="A2430" s="1">
        <v>45771</v>
      </c>
      <c r="B2430" s="4">
        <v>67.5</v>
      </c>
    </row>
    <row r="2431" spans="1:2">
      <c r="A2431" s="1">
        <v>45772</v>
      </c>
      <c r="B2431" s="4">
        <v>66.989999999999995</v>
      </c>
    </row>
    <row r="2432" spans="1:2">
      <c r="A2432" s="1">
        <v>45775</v>
      </c>
      <c r="B2432" s="4">
        <v>66.13</v>
      </c>
    </row>
    <row r="2433" spans="1:2">
      <c r="A2433" s="1">
        <v>45776</v>
      </c>
      <c r="B2433" s="4">
        <v>64.040000000000006</v>
      </c>
    </row>
    <row r="2434" spans="1:2">
      <c r="A2434" s="1">
        <v>45777</v>
      </c>
      <c r="B2434" s="4">
        <v>63.37</v>
      </c>
    </row>
    <row r="2435" spans="1:2">
      <c r="A2435" s="1">
        <v>45778</v>
      </c>
      <c r="B2435" s="4">
        <v>62.37</v>
      </c>
    </row>
    <row r="2436" spans="1:2">
      <c r="A2436" s="1">
        <v>45779</v>
      </c>
      <c r="B2436" s="4">
        <v>61.57</v>
      </c>
    </row>
    <row r="2437" spans="1:2">
      <c r="A2437" s="1">
        <v>45782</v>
      </c>
      <c r="B2437" s="4"/>
    </row>
    <row r="2438" spans="1:2">
      <c r="A2438" s="1">
        <v>45783</v>
      </c>
      <c r="B2438" s="4">
        <v>62.37</v>
      </c>
    </row>
    <row r="2439" spans="1:2">
      <c r="A2439" s="1">
        <v>45784</v>
      </c>
      <c r="B2439" s="4">
        <v>60.31</v>
      </c>
    </row>
    <row r="2440" spans="1:2">
      <c r="A2440" s="1">
        <v>45785</v>
      </c>
      <c r="B2440" s="4">
        <v>62.22</v>
      </c>
    </row>
    <row r="2441" spans="1:2">
      <c r="A2441" s="1">
        <v>45786</v>
      </c>
      <c r="B2441" s="4">
        <v>64.260000000000005</v>
      </c>
    </row>
    <row r="2442" spans="1:2">
      <c r="A2442" s="1">
        <v>45789</v>
      </c>
      <c r="B2442" s="4">
        <v>65.28</v>
      </c>
    </row>
    <row r="2443" spans="1:2">
      <c r="A2443" s="1">
        <v>45790</v>
      </c>
      <c r="B2443" s="4">
        <v>66.930000000000007</v>
      </c>
    </row>
    <row r="2444" spans="1:2">
      <c r="A2444" s="1">
        <v>45791</v>
      </c>
      <c r="B2444" s="4">
        <v>65.91</v>
      </c>
    </row>
    <row r="2445" spans="1:2">
      <c r="A2445" s="1">
        <v>45792</v>
      </c>
      <c r="B2445" s="4">
        <v>64.36</v>
      </c>
    </row>
    <row r="2446" spans="1:2">
      <c r="A2446" s="1">
        <v>45793</v>
      </c>
      <c r="B2446" s="4">
        <v>65.2</v>
      </c>
    </row>
    <row r="2447" spans="1:2">
      <c r="A2447" s="1">
        <v>45796</v>
      </c>
      <c r="B2447" s="4">
        <v>66.25</v>
      </c>
    </row>
    <row r="2448" spans="1:2">
      <c r="A2448" s="1">
        <v>45797</v>
      </c>
      <c r="B2448" s="4">
        <v>66.930000000000007</v>
      </c>
    </row>
    <row r="2449" spans="1:2">
      <c r="A2449" s="1">
        <v>45798</v>
      </c>
      <c r="B2449" s="4">
        <v>65.86</v>
      </c>
    </row>
    <row r="2450" spans="1:2">
      <c r="A2450" s="1">
        <v>45799</v>
      </c>
      <c r="B2450" s="4">
        <v>64.87</v>
      </c>
    </row>
    <row r="2451" spans="1:2">
      <c r="A2451" s="1">
        <v>45800</v>
      </c>
      <c r="B2451" s="4">
        <v>65.41</v>
      </c>
    </row>
    <row r="2452" spans="1:2">
      <c r="A2452" s="1">
        <v>45803</v>
      </c>
      <c r="B2452" s="4"/>
    </row>
    <row r="2453" spans="1:2">
      <c r="A2453" s="1">
        <v>45804</v>
      </c>
      <c r="B2453" s="4">
        <v>64.319999999999993</v>
      </c>
    </row>
    <row r="2454" spans="1:2">
      <c r="A2454" s="1">
        <v>45805</v>
      </c>
      <c r="B2454" s="4">
        <v>65.72</v>
      </c>
    </row>
    <row r="2455" spans="1:2">
      <c r="A2455" s="1">
        <v>45806</v>
      </c>
      <c r="B2455" s="4">
        <v>64.599999999999994</v>
      </c>
    </row>
    <row r="2456" spans="1:2">
      <c r="A2456" s="1">
        <v>45807</v>
      </c>
      <c r="B2456" s="4">
        <v>64.319999999999993</v>
      </c>
    </row>
    <row r="2457" spans="1:2">
      <c r="A2457" s="1">
        <v>45810</v>
      </c>
      <c r="B2457" s="4">
        <v>66.55</v>
      </c>
    </row>
    <row r="2458" spans="1:2">
      <c r="A2458" s="1">
        <v>45811</v>
      </c>
      <c r="B2458" s="4">
        <v>67.48</v>
      </c>
    </row>
    <row r="2459" spans="1:2">
      <c r="A2459" s="1">
        <v>45812</v>
      </c>
      <c r="B2459" s="4">
        <v>66.69</v>
      </c>
    </row>
    <row r="2460" spans="1:2">
      <c r="A2460" s="1">
        <v>45813</v>
      </c>
      <c r="B2460" s="4">
        <v>67.14</v>
      </c>
    </row>
    <row r="2461" spans="1:2">
      <c r="A2461" s="1">
        <v>45814</v>
      </c>
      <c r="B2461" s="4">
        <v>68.02</v>
      </c>
    </row>
    <row r="2462" spans="1:2">
      <c r="A2462" s="1">
        <v>45817</v>
      </c>
      <c r="B2462" s="4">
        <v>68.73</v>
      </c>
    </row>
    <row r="2463" spans="1:2">
      <c r="A2463" s="1">
        <v>45818</v>
      </c>
      <c r="B2463" s="4">
        <v>68.41</v>
      </c>
    </row>
    <row r="2464" spans="1:2">
      <c r="A2464" s="1">
        <v>45819</v>
      </c>
      <c r="B2464" s="4">
        <v>71.290000000000006</v>
      </c>
    </row>
    <row r="2465" spans="1:2">
      <c r="A2465" s="1">
        <v>45820</v>
      </c>
      <c r="B2465" s="4">
        <v>70.84</v>
      </c>
    </row>
    <row r="2466" spans="1:2">
      <c r="A2466" s="1">
        <v>45821</v>
      </c>
      <c r="B2466" s="4">
        <v>76</v>
      </c>
    </row>
    <row r="2467" spans="1:2">
      <c r="A2467" s="1">
        <v>45824</v>
      </c>
      <c r="B2467" s="4">
        <v>75.05</v>
      </c>
    </row>
    <row r="2468" spans="1:2">
      <c r="A2468" s="1">
        <v>45825</v>
      </c>
      <c r="B2468" s="4">
        <v>78.7</v>
      </c>
    </row>
    <row r="2469" spans="1:2">
      <c r="A2469" s="1">
        <v>45826</v>
      </c>
      <c r="B2469" s="4">
        <v>78.38</v>
      </c>
    </row>
    <row r="2470" spans="1:2">
      <c r="A2470" s="1">
        <v>45827</v>
      </c>
      <c r="B2470" s="4">
        <v>80.37</v>
      </c>
    </row>
    <row r="2471" spans="1:2">
      <c r="A2471" s="1">
        <v>45828</v>
      </c>
      <c r="B2471" s="4">
        <v>78.73</v>
      </c>
    </row>
    <row r="2472" spans="1:2">
      <c r="A2472" s="1">
        <v>45831</v>
      </c>
      <c r="B2472" s="4">
        <v>74.34</v>
      </c>
    </row>
    <row r="2473" spans="1:2">
      <c r="A2473" s="1">
        <v>45832</v>
      </c>
      <c r="B2473" s="4">
        <v>69.13</v>
      </c>
    </row>
    <row r="2474" spans="1:2">
      <c r="A2474" s="1">
        <v>45833</v>
      </c>
      <c r="B2474" s="4">
        <v>68.400000000000006</v>
      </c>
    </row>
    <row r="2475" spans="1:2">
      <c r="A2475" s="1">
        <v>45834</v>
      </c>
      <c r="B2475" s="4">
        <v>68.569999999999993</v>
      </c>
    </row>
    <row r="2476" spans="1:2">
      <c r="A2476" s="1">
        <v>45835</v>
      </c>
      <c r="B2476" s="4">
        <v>69.37</v>
      </c>
    </row>
    <row r="2477" spans="1:2">
      <c r="A2477" s="1">
        <v>45838</v>
      </c>
      <c r="B2477" s="4">
        <v>68.150000000000006</v>
      </c>
    </row>
    <row r="2478" spans="1:2">
      <c r="A2478" s="1">
        <v>45839</v>
      </c>
      <c r="B2478" s="4">
        <v>67.63</v>
      </c>
    </row>
    <row r="2479" spans="1:2">
      <c r="A2479" s="1">
        <v>45840</v>
      </c>
      <c r="B2479" s="4">
        <v>70.8</v>
      </c>
    </row>
    <row r="2480" spans="1:2">
      <c r="A2480" s="1">
        <v>45841</v>
      </c>
      <c r="B2480" s="4">
        <v>70.42</v>
      </c>
    </row>
    <row r="2481" spans="1:2">
      <c r="A2481" s="1">
        <v>45842</v>
      </c>
      <c r="B2481" s="4">
        <v>71.03</v>
      </c>
    </row>
    <row r="2482" spans="1:2">
      <c r="A2482" s="1">
        <v>45845</v>
      </c>
      <c r="B2482" s="4">
        <v>71.95</v>
      </c>
    </row>
    <row r="2483" spans="1:2">
      <c r="A2483" s="1">
        <v>45846</v>
      </c>
      <c r="B2483" s="4">
        <v>72.5</v>
      </c>
    </row>
    <row r="2484" spans="1:2">
      <c r="A2484" s="1">
        <v>45847</v>
      </c>
      <c r="B2484" s="4">
        <v>71.98</v>
      </c>
    </row>
    <row r="2485" spans="1:2">
      <c r="A2485" s="1">
        <v>45848</v>
      </c>
      <c r="B2485" s="4">
        <v>70.38</v>
      </c>
    </row>
    <row r="2486" spans="1:2">
      <c r="A2486" s="1">
        <v>45849</v>
      </c>
      <c r="B2486" s="4">
        <v>72.06</v>
      </c>
    </row>
    <row r="2487" spans="1:2">
      <c r="A2487" s="1">
        <v>45852</v>
      </c>
      <c r="B2487" s="4">
        <v>70.959999999999994</v>
      </c>
    </row>
    <row r="2488" spans="1:2">
      <c r="A2488" s="1">
        <v>45853</v>
      </c>
      <c r="B2488" s="4">
        <v>70.27</v>
      </c>
    </row>
    <row r="2489" spans="1:2">
      <c r="A2489" s="1">
        <v>45854</v>
      </c>
      <c r="B2489" s="4">
        <v>69.67</v>
      </c>
    </row>
    <row r="2490" spans="1:2">
      <c r="A2490" s="1">
        <v>45855</v>
      </c>
      <c r="B2490" s="4">
        <v>71.319999999999993</v>
      </c>
    </row>
    <row r="2491" spans="1:2">
      <c r="A2491" s="1">
        <v>45856</v>
      </c>
      <c r="B2491" s="4">
        <v>71.06</v>
      </c>
    </row>
    <row r="2492" spans="1:2">
      <c r="A2492" s="1">
        <v>45859</v>
      </c>
      <c r="B2492" s="4">
        <v>71.92</v>
      </c>
    </row>
    <row r="2493" spans="1:2">
      <c r="A2493" s="1">
        <v>45860</v>
      </c>
      <c r="B2493" s="4">
        <v>69.69</v>
      </c>
    </row>
    <row r="2494" spans="1:2">
      <c r="A2494" s="1">
        <v>45861</v>
      </c>
      <c r="B2494" s="4">
        <v>69.17</v>
      </c>
    </row>
    <row r="2495" spans="1:2">
      <c r="A2495" s="1">
        <v>45862</v>
      </c>
      <c r="B2495" s="4">
        <v>70.42</v>
      </c>
    </row>
    <row r="2496" spans="1:2">
      <c r="A2496" s="1">
        <v>45863</v>
      </c>
      <c r="B2496" s="4">
        <v>69.23</v>
      </c>
    </row>
    <row r="2497" spans="1:2">
      <c r="A2497" s="1">
        <v>45866</v>
      </c>
      <c r="B2497" s="4">
        <v>70.87</v>
      </c>
    </row>
    <row r="2498" spans="1:2">
      <c r="A2498" s="1">
        <v>45867</v>
      </c>
      <c r="B2498" s="4">
        <v>73.209999999999994</v>
      </c>
    </row>
    <row r="2499" spans="1:2">
      <c r="A2499" s="1">
        <v>45868</v>
      </c>
      <c r="B2499" s="4">
        <v>73.98</v>
      </c>
    </row>
    <row r="2500" spans="1:2">
      <c r="A2500" s="1">
        <v>45869</v>
      </c>
      <c r="B2500" s="4">
        <v>73.430000000000007</v>
      </c>
    </row>
    <row r="2501" spans="1:2">
      <c r="A2501" s="1">
        <v>45870</v>
      </c>
      <c r="B2501" s="4">
        <v>70.55</v>
      </c>
    </row>
    <row r="2502" spans="1:2">
      <c r="A2502" s="1">
        <v>45873</v>
      </c>
      <c r="B2502" s="4">
        <v>69.56</v>
      </c>
    </row>
    <row r="2503" spans="1:2">
      <c r="A2503" s="1">
        <v>45874</v>
      </c>
      <c r="B2503" s="4">
        <v>69.14</v>
      </c>
    </row>
    <row r="2504" spans="1:2">
      <c r="A2504" s="1">
        <v>45875</v>
      </c>
      <c r="B2504" s="4">
        <v>67.97</v>
      </c>
    </row>
    <row r="2505" spans="1:2">
      <c r="A2505" s="1">
        <v>45876</v>
      </c>
      <c r="B2505" s="4">
        <v>66.989999999999995</v>
      </c>
    </row>
    <row r="2506" spans="1:2">
      <c r="A2506" s="1">
        <v>45877</v>
      </c>
      <c r="B2506" s="4">
        <v>67.17</v>
      </c>
    </row>
    <row r="2507" spans="1:2">
      <c r="A2507" s="1">
        <v>45880</v>
      </c>
      <c r="B2507" s="4">
        <v>67.36</v>
      </c>
    </row>
    <row r="2508" spans="1:2">
      <c r="A2508" s="1">
        <v>45881</v>
      </c>
      <c r="B2508" s="4">
        <v>66.8</v>
      </c>
    </row>
    <row r="2509" spans="1:2">
      <c r="A2509" s="1">
        <v>45882</v>
      </c>
      <c r="B2509" s="4">
        <v>66.25</v>
      </c>
    </row>
    <row r="2510" spans="1:2">
      <c r="A2510" s="1">
        <v>45883</v>
      </c>
      <c r="B2510" s="4">
        <v>68.12</v>
      </c>
    </row>
    <row r="2511" spans="1:2">
      <c r="A2511" s="1">
        <v>45884</v>
      </c>
      <c r="B2511" s="4">
        <v>67.3</v>
      </c>
    </row>
    <row r="2512" spans="1:2">
      <c r="A2512" s="1">
        <v>45887</v>
      </c>
      <c r="B2512" s="4">
        <v>68.180000000000007</v>
      </c>
    </row>
    <row r="2513" spans="1:2">
      <c r="A2513" s="1">
        <v>45888</v>
      </c>
      <c r="B2513" s="4">
        <v>66.62</v>
      </c>
    </row>
    <row r="2514" spans="1:2">
      <c r="A2514" s="1">
        <v>45889</v>
      </c>
      <c r="B2514" s="4">
        <v>67.61</v>
      </c>
    </row>
    <row r="2515" spans="1:2">
      <c r="A2515" s="1">
        <v>45890</v>
      </c>
      <c r="B2515" s="4">
        <v>68.41</v>
      </c>
    </row>
    <row r="2516" spans="1:2">
      <c r="A2516" s="1">
        <v>45891</v>
      </c>
      <c r="B2516" s="4">
        <v>68.290000000000006</v>
      </c>
    </row>
    <row r="2517" spans="1:2">
      <c r="A2517" s="1">
        <v>45894</v>
      </c>
      <c r="B2517" s="4"/>
    </row>
    <row r="2518" spans="1:2">
      <c r="A2518" s="1">
        <v>45895</v>
      </c>
      <c r="B2518" s="4">
        <v>66.89</v>
      </c>
    </row>
    <row r="2519" spans="1:2">
      <c r="A2519" s="1">
        <v>45896</v>
      </c>
      <c r="B2519" s="4">
        <v>67.75</v>
      </c>
    </row>
    <row r="2520" spans="1:2">
      <c r="A2520" s="1">
        <v>45897</v>
      </c>
      <c r="B2520" s="4">
        <v>68.61</v>
      </c>
    </row>
    <row r="2521" spans="1:2">
      <c r="A2521" s="1">
        <v>45898</v>
      </c>
      <c r="B2521" s="4">
        <v>67.83</v>
      </c>
    </row>
    <row r="2522" spans="1:2">
      <c r="A2522" s="1">
        <v>45901</v>
      </c>
      <c r="B2522" s="4">
        <v>67.09</v>
      </c>
    </row>
    <row r="2523" spans="1:2">
      <c r="A2523" s="1">
        <v>45902</v>
      </c>
      <c r="B2523" s="4">
        <v>68.09</v>
      </c>
    </row>
    <row r="2524" spans="1:2">
      <c r="A2524" s="1">
        <v>45903</v>
      </c>
      <c r="B2524" s="4">
        <v>67.760000000000005</v>
      </c>
    </row>
    <row r="2525" spans="1:2">
      <c r="A2525" s="1">
        <v>45904</v>
      </c>
      <c r="B2525" s="4">
        <v>66.41</v>
      </c>
    </row>
    <row r="2526" spans="1:2">
      <c r="A2526" s="1">
        <v>45905</v>
      </c>
      <c r="B2526" s="4">
        <v>64.92</v>
      </c>
    </row>
    <row r="2527" spans="1:2">
      <c r="A2527" s="1">
        <v>45908</v>
      </c>
      <c r="B2527" s="4">
        <v>65.44</v>
      </c>
    </row>
    <row r="2528" spans="1:2">
      <c r="A2528" s="1">
        <v>45909</v>
      </c>
      <c r="B2528" s="4">
        <v>67.97</v>
      </c>
    </row>
    <row r="2529" spans="1:2">
      <c r="A2529" s="1">
        <v>45910</v>
      </c>
      <c r="B2529" s="4">
        <v>67.62</v>
      </c>
    </row>
    <row r="2530" spans="1:2">
      <c r="A2530" s="1">
        <v>45911</v>
      </c>
      <c r="B2530" s="4">
        <v>67.25</v>
      </c>
    </row>
    <row r="2531" spans="1:2">
      <c r="A2531" s="1">
        <v>45912</v>
      </c>
      <c r="B2531" s="4">
        <v>67.87</v>
      </c>
    </row>
    <row r="2532" spans="1:2">
      <c r="A2532" s="1">
        <v>45915</v>
      </c>
      <c r="B2532" s="4">
        <v>67.88</v>
      </c>
    </row>
    <row r="2533" spans="1:2">
      <c r="A2533" s="1">
        <v>45916</v>
      </c>
      <c r="B2533" s="4">
        <v>69.69</v>
      </c>
    </row>
    <row r="2534" spans="1:2">
      <c r="A2534" s="1">
        <v>45917</v>
      </c>
      <c r="B2534" s="4">
        <v>69.19</v>
      </c>
    </row>
    <row r="2535" spans="1:2">
      <c r="A2535" s="1">
        <v>45918</v>
      </c>
      <c r="B2535" s="4">
        <v>67.83</v>
      </c>
    </row>
    <row r="2536" spans="1:2">
      <c r="A2536" s="1">
        <v>45919</v>
      </c>
      <c r="B2536" s="4">
        <v>67.05</v>
      </c>
    </row>
    <row r="2537" spans="1:2">
      <c r="A2537" s="1">
        <v>45922</v>
      </c>
      <c r="B2537" s="4">
        <v>66.87</v>
      </c>
    </row>
    <row r="2538" spans="1:2">
      <c r="A2538" s="1">
        <v>45923</v>
      </c>
      <c r="B2538" s="4">
        <v>67.959999999999994</v>
      </c>
    </row>
    <row r="2539" spans="1:2">
      <c r="A2539" s="1">
        <v>45924</v>
      </c>
      <c r="B2539" s="4">
        <v>69.64</v>
      </c>
    </row>
    <row r="2540" spans="1:2">
      <c r="A2540" s="1">
        <v>45925</v>
      </c>
      <c r="B2540" s="4">
        <v>70.48</v>
      </c>
    </row>
    <row r="2541" spans="1:2">
      <c r="A2541" s="1">
        <v>45926</v>
      </c>
      <c r="B2541" s="4">
        <v>71.150000000000006</v>
      </c>
    </row>
    <row r="2542" spans="1:2">
      <c r="A2542" s="1">
        <v>45929</v>
      </c>
      <c r="B2542" s="4">
        <v>69</v>
      </c>
    </row>
    <row r="2543" spans="1:2">
      <c r="A2543" s="1">
        <v>45930</v>
      </c>
      <c r="B2543" s="4">
        <v>68.52</v>
      </c>
    </row>
    <row r="2544" spans="1:2">
      <c r="A2544" s="1">
        <v>45931</v>
      </c>
      <c r="B2544" s="4">
        <v>66.67</v>
      </c>
    </row>
    <row r="2545" spans="1:2">
      <c r="A2545" s="1">
        <v>45932</v>
      </c>
      <c r="B2545" s="4">
        <v>65.44</v>
      </c>
    </row>
    <row r="2546" spans="1:2">
      <c r="A2546" s="1">
        <v>45933</v>
      </c>
      <c r="B2546" s="4">
        <v>66.13</v>
      </c>
    </row>
    <row r="2547" spans="1:2">
      <c r="A2547" s="1">
        <v>45936</v>
      </c>
      <c r="B2547" s="4">
        <v>67.09</v>
      </c>
    </row>
    <row r="2548" spans="1:2">
      <c r="A2548" s="1">
        <v>45937</v>
      </c>
      <c r="B2548" s="4">
        <v>67.099999999999994</v>
      </c>
    </row>
    <row r="2549" spans="1:2">
      <c r="A2549" s="1">
        <v>45938</v>
      </c>
      <c r="B2549" s="4">
        <v>67.42</v>
      </c>
    </row>
    <row r="2550" spans="1:2">
      <c r="A2550" s="1">
        <v>45939</v>
      </c>
      <c r="B2550" s="4">
        <v>67.23</v>
      </c>
    </row>
    <row r="2551" spans="1:2">
      <c r="A2551" s="1">
        <v>45940</v>
      </c>
      <c r="B2551" s="4">
        <v>64.41</v>
      </c>
    </row>
    <row r="2552" spans="1:2">
      <c r="A2552" s="1">
        <v>45943</v>
      </c>
      <c r="B2552" s="4">
        <v>64.150000000000006</v>
      </c>
    </row>
    <row r="2553" spans="1:2">
      <c r="A2553" s="1">
        <v>45944</v>
      </c>
      <c r="B2553" s="4">
        <v>63</v>
      </c>
    </row>
    <row r="2554" spans="1:2">
      <c r="A2554" s="1">
        <v>45945</v>
      </c>
      <c r="B2554" s="4">
        <v>62.33</v>
      </c>
    </row>
    <row r="2555" spans="1:2">
      <c r="A2555" s="1">
        <v>45946</v>
      </c>
      <c r="B2555" s="4">
        <v>61.08</v>
      </c>
    </row>
    <row r="2556" spans="1:2">
      <c r="A2556" s="1">
        <v>45947</v>
      </c>
      <c r="B2556" s="4">
        <v>61.23</v>
      </c>
    </row>
    <row r="2557" spans="1:2">
      <c r="A2557" s="1">
        <v>45950</v>
      </c>
      <c r="B2557" s="4">
        <v>60.71</v>
      </c>
    </row>
    <row r="2558" spans="1:2">
      <c r="A2558" s="1">
        <v>45951</v>
      </c>
      <c r="B2558" s="4">
        <v>61</v>
      </c>
    </row>
    <row r="2559" spans="1:2">
      <c r="A2559" s="1">
        <v>45952</v>
      </c>
      <c r="B2559" s="4">
        <v>62.28</v>
      </c>
    </row>
    <row r="2560" spans="1:2">
      <c r="A2560" s="1">
        <v>45953</v>
      </c>
      <c r="B2560" s="4">
        <v>66.319999999999993</v>
      </c>
    </row>
    <row r="2561" spans="1:2">
      <c r="A2561" s="1">
        <v>45954</v>
      </c>
      <c r="B2561" s="4">
        <v>65.8</v>
      </c>
    </row>
    <row r="2562" spans="1:2">
      <c r="A2562" s="1">
        <v>45957</v>
      </c>
      <c r="B2562" s="4">
        <v>65.52</v>
      </c>
    </row>
    <row r="2563" spans="1:2">
      <c r="A2563" s="1">
        <v>45958</v>
      </c>
      <c r="B2563" s="4">
        <v>64.03</v>
      </c>
    </row>
    <row r="2564" spans="1:2">
      <c r="A2564" s="1">
        <v>45959</v>
      </c>
      <c r="B2564" s="4">
        <v>65.010000000000005</v>
      </c>
    </row>
    <row r="2565" spans="1:2">
      <c r="A2565" s="1">
        <v>45960</v>
      </c>
      <c r="B2565" s="4">
        <v>65.11</v>
      </c>
    </row>
    <row r="2566" spans="1:2">
      <c r="A2566" s="1">
        <v>45961</v>
      </c>
      <c r="B2566" s="4">
        <v>65.44</v>
      </c>
    </row>
    <row r="2567" spans="1:2">
      <c r="A2567" s="1">
        <v>45964</v>
      </c>
      <c r="B2567" s="4">
        <v>65.790000000000006</v>
      </c>
    </row>
    <row r="2568" spans="1:2">
      <c r="A2568" s="1">
        <v>45965</v>
      </c>
      <c r="B2568" s="4">
        <v>65.040000000000006</v>
      </c>
    </row>
    <row r="2569" spans="1:2">
      <c r="A2569" s="1">
        <v>45966</v>
      </c>
      <c r="B2569" s="4">
        <v>63.54</v>
      </c>
    </row>
    <row r="2570" spans="1:2">
      <c r="A2570" s="1">
        <v>45967</v>
      </c>
      <c r="B2570" s="4">
        <v>63.41</v>
      </c>
    </row>
    <row r="2571" spans="1:2">
      <c r="A2571" s="1">
        <v>45968</v>
      </c>
      <c r="B2571" s="4">
        <v>63.72</v>
      </c>
    </row>
    <row r="2572" spans="1:2">
      <c r="A2572" s="1">
        <v>45971</v>
      </c>
      <c r="B2572" s="4">
        <v>63.01</v>
      </c>
    </row>
    <row r="2573" spans="1:2">
      <c r="A2573" s="1">
        <v>45972</v>
      </c>
      <c r="B2573" s="4">
        <v>63.86</v>
      </c>
    </row>
    <row r="2574" spans="1:2">
      <c r="A2574" s="1">
        <v>45973</v>
      </c>
      <c r="B2574" s="4">
        <v>61.88</v>
      </c>
    </row>
    <row r="2575" spans="1:2">
      <c r="A2575" s="1">
        <v>45974</v>
      </c>
      <c r="B2575" s="4">
        <v>62.14</v>
      </c>
    </row>
    <row r="2576" spans="1:2">
      <c r="A2576" s="1">
        <v>45975</v>
      </c>
      <c r="B2576" s="4">
        <v>63.45</v>
      </c>
    </row>
    <row r="2577" spans="1:2">
      <c r="A2577" s="1">
        <v>45978</v>
      </c>
      <c r="B2577" s="4">
        <v>63.16</v>
      </c>
    </row>
    <row r="2578" spans="1:2">
      <c r="A2578" s="1">
        <v>45979</v>
      </c>
      <c r="B2578" s="4">
        <v>64.86</v>
      </c>
    </row>
    <row r="2579" spans="1:2">
      <c r="A2579" s="1">
        <v>45980</v>
      </c>
      <c r="B2579" s="4">
        <v>63.78</v>
      </c>
    </row>
    <row r="2580" spans="1:2">
      <c r="A2580" s="1">
        <v>45981</v>
      </c>
      <c r="B2580" s="4">
        <v>63.64</v>
      </c>
    </row>
    <row r="2581" spans="1:2">
      <c r="A2581" s="1">
        <v>45982</v>
      </c>
      <c r="B2581" s="4">
        <v>62.78</v>
      </c>
    </row>
    <row r="2582" spans="1:2">
      <c r="A2582" s="1">
        <v>45985</v>
      </c>
      <c r="B2582" s="4">
        <v>64.83</v>
      </c>
    </row>
    <row r="2583" spans="1:2">
      <c r="A2583" s="1">
        <v>45986</v>
      </c>
      <c r="B2583" s="4">
        <v>63.99</v>
      </c>
    </row>
    <row r="2584" spans="1:2">
      <c r="A2584" s="1">
        <v>45987</v>
      </c>
      <c r="B2584" s="4">
        <v>64.81</v>
      </c>
    </row>
    <row r="2585" spans="1:2">
      <c r="A2585" s="1">
        <v>45988</v>
      </c>
      <c r="B2585" s="4">
        <v>64.180000000000007</v>
      </c>
    </row>
    <row r="2586" spans="1:2">
      <c r="A2586" s="1">
        <v>45989</v>
      </c>
      <c r="B2586" s="4">
        <v>64.069999999999993</v>
      </c>
    </row>
    <row r="2587" spans="1:2">
      <c r="A2587" s="1">
        <v>45992</v>
      </c>
      <c r="B2587" s="4">
        <v>64.22</v>
      </c>
    </row>
    <row r="2588" spans="1:2">
      <c r="A2588" s="1">
        <v>45993</v>
      </c>
      <c r="B2588" s="4">
        <v>63.37</v>
      </c>
    </row>
    <row r="2589" spans="1:2">
      <c r="A2589" s="1">
        <v>45994</v>
      </c>
      <c r="B2589" s="4">
        <v>63.75</v>
      </c>
    </row>
    <row r="2590" spans="1:2">
      <c r="A2590" s="1">
        <v>45995</v>
      </c>
      <c r="B2590" s="4">
        <v>64.150000000000006</v>
      </c>
    </row>
    <row r="2591" spans="1:2">
      <c r="A2591" s="1">
        <v>45996</v>
      </c>
      <c r="B2591" s="4">
        <v>64.42</v>
      </c>
    </row>
    <row r="2592" spans="1:2">
      <c r="A2592" s="1">
        <v>45999</v>
      </c>
      <c r="B2592" s="4">
        <v>63.3</v>
      </c>
    </row>
    <row r="2593" spans="1:2">
      <c r="A2593" s="1">
        <v>46000</v>
      </c>
      <c r="B2593" s="4">
        <v>62.62</v>
      </c>
    </row>
    <row r="2594" spans="1:2">
      <c r="A2594" s="1">
        <v>46001</v>
      </c>
      <c r="B2594" s="4">
        <v>63.12</v>
      </c>
    </row>
    <row r="2595" spans="1:2">
      <c r="A2595" s="1">
        <v>46002</v>
      </c>
      <c r="B2595" s="4">
        <v>61.87</v>
      </c>
    </row>
    <row r="2596" spans="1:2">
      <c r="A2596" s="1">
        <v>46003</v>
      </c>
      <c r="B2596" s="4">
        <v>62.11</v>
      </c>
    </row>
    <row r="2597" spans="1:2">
      <c r="A2597" s="1">
        <v>46006</v>
      </c>
      <c r="B2597" s="4">
        <v>61.55</v>
      </c>
    </row>
    <row r="2598" spans="1:2">
      <c r="A2598" s="1">
        <v>46007</v>
      </c>
      <c r="B2598" s="4">
        <v>59.93</v>
      </c>
    </row>
    <row r="2599" spans="1:2">
      <c r="A2599" s="1">
        <v>46008</v>
      </c>
      <c r="B2599" s="4">
        <v>60.61</v>
      </c>
    </row>
    <row r="2600" spans="1:2">
      <c r="A2600" s="1">
        <v>46009</v>
      </c>
      <c r="B2600" s="4">
        <v>60.69</v>
      </c>
    </row>
    <row r="2601" spans="1:2">
      <c r="A2601" s="1">
        <v>46010</v>
      </c>
      <c r="B2601" s="4">
        <v>61.35</v>
      </c>
    </row>
    <row r="2602" spans="1:2">
      <c r="A2602" s="1">
        <v>46013</v>
      </c>
      <c r="B2602" s="4">
        <v>62.22</v>
      </c>
    </row>
    <row r="2603" spans="1:2">
      <c r="A2603" s="1">
        <v>46014</v>
      </c>
      <c r="B2603" s="4">
        <v>63.7</v>
      </c>
    </row>
    <row r="2604" spans="1:2">
      <c r="A2604" s="1">
        <v>46015</v>
      </c>
      <c r="B2604" s="4">
        <v>63.7</v>
      </c>
    </row>
    <row r="2605" spans="1:2">
      <c r="A2605" s="1">
        <v>46016</v>
      </c>
      <c r="B2605" s="4"/>
    </row>
    <row r="2606" spans="1:2">
      <c r="A2606" s="1">
        <v>46017</v>
      </c>
      <c r="B2606" s="4"/>
    </row>
    <row r="2607" spans="1:2">
      <c r="A2607" s="1">
        <v>46020</v>
      </c>
      <c r="B2607" s="4">
        <v>63.1</v>
      </c>
    </row>
    <row r="2608" spans="1:2">
      <c r="A2608" s="1">
        <v>46021</v>
      </c>
      <c r="B2608" s="4">
        <v>62.3</v>
      </c>
    </row>
    <row r="2609" spans="1:2">
      <c r="A2609" s="1">
        <v>46022</v>
      </c>
      <c r="B2609" s="4">
        <v>61.35</v>
      </c>
    </row>
    <row r="2610" spans="1:2">
      <c r="A2610" s="1">
        <v>46023</v>
      </c>
      <c r="B2610" s="4"/>
    </row>
    <row r="2611" spans="1:2">
      <c r="A2611" s="1">
        <v>46024</v>
      </c>
      <c r="B2611" s="4">
        <v>61.98</v>
      </c>
    </row>
    <row r="2612" spans="1:2">
      <c r="A2612" s="1">
        <v>46027</v>
      </c>
      <c r="B2612" s="4">
        <v>63</v>
      </c>
    </row>
    <row r="2613" spans="1:2">
      <c r="A2613" s="1">
        <v>46028</v>
      </c>
      <c r="B2613" s="4">
        <v>62.1</v>
      </c>
    </row>
    <row r="2614" spans="1:2">
      <c r="A2614" s="1">
        <v>46029</v>
      </c>
      <c r="B2614" s="4">
        <v>61.08</v>
      </c>
    </row>
    <row r="2615" spans="1:2">
      <c r="A2615" s="1">
        <v>46030</v>
      </c>
      <c r="B2615" s="4">
        <v>63.34</v>
      </c>
    </row>
    <row r="2616" spans="1:2">
      <c r="A2616" s="1">
        <v>46031</v>
      </c>
      <c r="B2616" s="4">
        <v>65.11</v>
      </c>
    </row>
    <row r="2617" spans="1:2">
      <c r="A2617" s="1">
        <v>46034</v>
      </c>
      <c r="B2617" s="4">
        <v>65.400000000000006</v>
      </c>
    </row>
    <row r="2618" spans="1:2">
      <c r="A2618" s="1">
        <v>46035</v>
      </c>
      <c r="B2618" s="4">
        <v>67.58</v>
      </c>
    </row>
    <row r="2619" spans="1:2">
      <c r="A2619" s="1">
        <v>46036</v>
      </c>
      <c r="B2619" s="4">
        <v>68.87</v>
      </c>
    </row>
    <row r="2620" spans="1:2">
      <c r="A2620" s="1">
        <v>46037</v>
      </c>
      <c r="B2620" s="4">
        <v>66.16</v>
      </c>
    </row>
    <row r="2621" spans="1:2">
      <c r="A2621" s="1">
        <v>46038</v>
      </c>
      <c r="B2621" s="4">
        <v>66.97</v>
      </c>
    </row>
    <row r="2622" spans="1:2">
      <c r="A2622" s="1">
        <v>46041</v>
      </c>
      <c r="B2622" s="4">
        <v>66.91</v>
      </c>
    </row>
    <row r="2623" spans="1:2">
      <c r="A2623" s="1">
        <v>46042</v>
      </c>
      <c r="B2623" s="4">
        <v>67.680000000000007</v>
      </c>
    </row>
    <row r="2624" spans="1:2">
      <c r="A2624" s="1"/>
      <c r="B2624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ED2B-5392-4DC6-97B6-210B55242F01}">
  <dimension ref="A1:D119"/>
  <sheetViews>
    <sheetView workbookViewId="0">
      <selection activeCell="D1" sqref="D1"/>
    </sheetView>
  </sheetViews>
  <sheetFormatPr defaultRowHeight="15"/>
  <cols>
    <col min="4" max="4" width="11.42578125" bestFit="1" customWidth="1"/>
  </cols>
  <sheetData>
    <row r="1" spans="1:4">
      <c r="A1" t="s">
        <v>10</v>
      </c>
      <c r="B1" t="s">
        <v>11</v>
      </c>
      <c r="C1" t="s">
        <v>12</v>
      </c>
      <c r="D1" t="s">
        <v>0</v>
      </c>
    </row>
    <row r="2" spans="1:4">
      <c r="A2">
        <v>2016</v>
      </c>
      <c r="B2" t="s">
        <v>13</v>
      </c>
      <c r="C2">
        <v>5.69</v>
      </c>
      <c r="D2" s="1">
        <f>DATE(A2, MONTH("1-"&amp;B2&amp;"-"&amp;A2), 1)</f>
        <v>42370</v>
      </c>
    </row>
    <row r="3" spans="1:4">
      <c r="A3">
        <v>2016</v>
      </c>
      <c r="B3" t="s">
        <v>14</v>
      </c>
      <c r="C3">
        <v>5.26</v>
      </c>
      <c r="D3" s="1">
        <f>DATE(A3, MONTH("1-"&amp;B3&amp;"-"&amp;A3), 1)</f>
        <v>42401</v>
      </c>
    </row>
    <row r="4" spans="1:4">
      <c r="A4">
        <v>2016</v>
      </c>
      <c r="B4" t="s">
        <v>15</v>
      </c>
      <c r="C4">
        <v>4.83</v>
      </c>
      <c r="D4" s="1">
        <f>DATE(A4, MONTH("1-"&amp;B4&amp;"-"&amp;A4), 1)</f>
        <v>42430</v>
      </c>
    </row>
    <row r="5" spans="1:4">
      <c r="A5">
        <v>2016</v>
      </c>
      <c r="B5" t="s">
        <v>16</v>
      </c>
      <c r="C5">
        <v>5.47</v>
      </c>
      <c r="D5" s="1">
        <f>DATE(A5, MONTH("1-"&amp;B5&amp;"-"&amp;A5), 1)</f>
        <v>42461</v>
      </c>
    </row>
    <row r="6" spans="1:4">
      <c r="A6">
        <v>2016</v>
      </c>
      <c r="B6" t="s">
        <v>17</v>
      </c>
      <c r="C6">
        <v>5.76</v>
      </c>
      <c r="D6" s="1">
        <f>DATE(A6, MONTH("1-"&amp;B6&amp;"-"&amp;A6), 1)</f>
        <v>42491</v>
      </c>
    </row>
    <row r="7" spans="1:4">
      <c r="A7">
        <v>2016</v>
      </c>
      <c r="B7" t="s">
        <v>18</v>
      </c>
      <c r="C7">
        <v>5.77</v>
      </c>
      <c r="D7" s="1">
        <f>DATE(A7, MONTH("1-"&amp;B7&amp;"-"&amp;A7), 1)</f>
        <v>42522</v>
      </c>
    </row>
    <row r="8" spans="1:4">
      <c r="A8">
        <v>2016</v>
      </c>
      <c r="B8" t="s">
        <v>19</v>
      </c>
      <c r="C8">
        <v>6.07</v>
      </c>
      <c r="D8" s="1">
        <f>DATE(A8, MONTH("1-"&amp;B8&amp;"-"&amp;A8), 1)</f>
        <v>42552</v>
      </c>
    </row>
    <row r="9" spans="1:4">
      <c r="A9">
        <v>2016</v>
      </c>
      <c r="B9" t="s">
        <v>20</v>
      </c>
      <c r="C9">
        <v>5.05</v>
      </c>
      <c r="D9" s="1">
        <f>DATE(A9, MONTH("1-"&amp;B9&amp;"-"&amp;A9), 1)</f>
        <v>42583</v>
      </c>
    </row>
    <row r="10" spans="1:4">
      <c r="A10">
        <v>2016</v>
      </c>
      <c r="B10" t="s">
        <v>21</v>
      </c>
      <c r="C10">
        <v>4.3899999999999997</v>
      </c>
      <c r="D10" s="1">
        <f>DATE(A10, MONTH("1-"&amp;B10&amp;"-"&amp;A10), 1)</f>
        <v>42614</v>
      </c>
    </row>
    <row r="11" spans="1:4">
      <c r="A11">
        <v>2016</v>
      </c>
      <c r="B11" t="s">
        <v>22</v>
      </c>
      <c r="C11">
        <v>4.2</v>
      </c>
      <c r="D11" s="1">
        <f>DATE(A11, MONTH("1-"&amp;B11&amp;"-"&amp;A11), 1)</f>
        <v>42644</v>
      </c>
    </row>
    <row r="12" spans="1:4">
      <c r="A12">
        <v>2016</v>
      </c>
      <c r="B12" t="s">
        <v>23</v>
      </c>
      <c r="C12">
        <v>3.63</v>
      </c>
      <c r="D12" s="1">
        <f>DATE(A12, MONTH("1-"&amp;B12&amp;"-"&amp;A12), 1)</f>
        <v>42675</v>
      </c>
    </row>
    <row r="13" spans="1:4">
      <c r="A13">
        <v>2016</v>
      </c>
      <c r="B13" t="s">
        <v>24</v>
      </c>
      <c r="C13">
        <v>3.41</v>
      </c>
      <c r="D13" s="1">
        <f>DATE(A13, MONTH("1-"&amp;B13&amp;"-"&amp;A13), 1)</f>
        <v>42705</v>
      </c>
    </row>
    <row r="14" spans="1:4">
      <c r="A14">
        <v>2017</v>
      </c>
      <c r="B14" t="s">
        <v>13</v>
      </c>
      <c r="C14">
        <v>3.17</v>
      </c>
      <c r="D14" s="1">
        <f>DATE(A14, MONTH("1-"&amp;B14&amp;"-"&amp;A14), 1)</f>
        <v>42736</v>
      </c>
    </row>
    <row r="15" spans="1:4">
      <c r="A15">
        <v>2017</v>
      </c>
      <c r="B15" t="s">
        <v>14</v>
      </c>
      <c r="C15">
        <v>3.65</v>
      </c>
      <c r="D15" s="1">
        <f>DATE(A15, MONTH("1-"&amp;B15&amp;"-"&amp;A15), 1)</f>
        <v>42767</v>
      </c>
    </row>
    <row r="16" spans="1:4">
      <c r="A16">
        <v>2017</v>
      </c>
      <c r="B16" t="s">
        <v>15</v>
      </c>
      <c r="C16">
        <v>3.89</v>
      </c>
      <c r="D16" s="1">
        <f>DATE(A16, MONTH("1-"&amp;B16&amp;"-"&amp;A16), 1)</f>
        <v>42795</v>
      </c>
    </row>
    <row r="17" spans="1:4">
      <c r="A17">
        <v>2017</v>
      </c>
      <c r="B17" t="s">
        <v>16</v>
      </c>
      <c r="C17">
        <v>2.99</v>
      </c>
      <c r="D17" s="1">
        <f>DATE(A17, MONTH("1-"&amp;B17&amp;"-"&amp;A17), 1)</f>
        <v>42826</v>
      </c>
    </row>
    <row r="18" spans="1:4">
      <c r="A18">
        <v>2017</v>
      </c>
      <c r="B18" t="s">
        <v>17</v>
      </c>
      <c r="C18">
        <v>2.1800000000000002</v>
      </c>
      <c r="D18" s="1">
        <f>DATE(A18, MONTH("1-"&amp;B18&amp;"-"&amp;A18), 1)</f>
        <v>42856</v>
      </c>
    </row>
    <row r="19" spans="1:4">
      <c r="A19">
        <v>2017</v>
      </c>
      <c r="B19" t="s">
        <v>18</v>
      </c>
      <c r="C19">
        <v>1.46</v>
      </c>
      <c r="D19" s="1">
        <f>DATE(A19, MONTH("1-"&amp;B19&amp;"-"&amp;A19), 1)</f>
        <v>42887</v>
      </c>
    </row>
    <row r="20" spans="1:4">
      <c r="A20">
        <v>2017</v>
      </c>
      <c r="B20" t="s">
        <v>19</v>
      </c>
      <c r="C20">
        <v>2.36</v>
      </c>
      <c r="D20" s="1">
        <f>DATE(A20, MONTH("1-"&amp;B20&amp;"-"&amp;A20), 1)</f>
        <v>42917</v>
      </c>
    </row>
    <row r="21" spans="1:4">
      <c r="A21">
        <v>2017</v>
      </c>
      <c r="B21" t="s">
        <v>20</v>
      </c>
      <c r="C21">
        <v>3.28</v>
      </c>
      <c r="D21" s="1">
        <f>DATE(A21, MONTH("1-"&amp;B21&amp;"-"&amp;A21), 1)</f>
        <v>42948</v>
      </c>
    </row>
    <row r="22" spans="1:4">
      <c r="A22">
        <v>2017</v>
      </c>
      <c r="B22" t="s">
        <v>21</v>
      </c>
      <c r="C22">
        <v>3.28</v>
      </c>
      <c r="D22" s="1">
        <f>DATE(A22, MONTH("1-"&amp;B22&amp;"-"&amp;A22), 1)</f>
        <v>42979</v>
      </c>
    </row>
    <row r="23" spans="1:4">
      <c r="A23">
        <v>2017</v>
      </c>
      <c r="B23" t="s">
        <v>22</v>
      </c>
      <c r="C23">
        <v>3.58</v>
      </c>
      <c r="D23" s="1">
        <f>DATE(A23, MONTH("1-"&amp;B23&amp;"-"&amp;A23), 1)</f>
        <v>43009</v>
      </c>
    </row>
    <row r="24" spans="1:4">
      <c r="A24">
        <v>2017</v>
      </c>
      <c r="B24" t="s">
        <v>23</v>
      </c>
      <c r="C24">
        <v>4.88</v>
      </c>
      <c r="D24" s="1">
        <f>DATE(A24, MONTH("1-"&amp;B24&amp;"-"&amp;A24), 1)</f>
        <v>43040</v>
      </c>
    </row>
    <row r="25" spans="1:4">
      <c r="A25">
        <v>2017</v>
      </c>
      <c r="B25" t="s">
        <v>24</v>
      </c>
      <c r="C25">
        <v>5.21</v>
      </c>
      <c r="D25" s="1">
        <f>DATE(A25, MONTH("1-"&amp;B25&amp;"-"&amp;A25), 1)</f>
        <v>43070</v>
      </c>
    </row>
    <row r="26" spans="1:4">
      <c r="A26">
        <v>2018</v>
      </c>
      <c r="B26" t="s">
        <v>13</v>
      </c>
      <c r="C26">
        <v>5.07</v>
      </c>
      <c r="D26" s="1">
        <f>DATE(A26, MONTH("1-"&amp;B26&amp;"-"&amp;A26), 1)</f>
        <v>43101</v>
      </c>
    </row>
    <row r="27" spans="1:4">
      <c r="A27">
        <v>2018</v>
      </c>
      <c r="B27" t="s">
        <v>14</v>
      </c>
      <c r="C27">
        <v>4.4400000000000004</v>
      </c>
      <c r="D27" s="1">
        <f>DATE(A27, MONTH("1-"&amp;B27&amp;"-"&amp;A27), 1)</f>
        <v>43132</v>
      </c>
    </row>
    <row r="28" spans="1:4">
      <c r="A28">
        <v>2018</v>
      </c>
      <c r="B28" t="s">
        <v>15</v>
      </c>
      <c r="C28">
        <v>4.28</v>
      </c>
      <c r="D28" s="1">
        <f>DATE(A28, MONTH("1-"&amp;B28&amp;"-"&amp;A28), 1)</f>
        <v>43160</v>
      </c>
    </row>
    <row r="29" spans="1:4">
      <c r="A29">
        <v>2018</v>
      </c>
      <c r="B29" t="s">
        <v>16</v>
      </c>
      <c r="C29">
        <v>4.58</v>
      </c>
      <c r="D29" s="1">
        <f>DATE(A29, MONTH("1-"&amp;B29&amp;"-"&amp;A29), 1)</f>
        <v>43191</v>
      </c>
    </row>
    <row r="30" spans="1:4">
      <c r="A30">
        <v>2018</v>
      </c>
      <c r="B30" t="s">
        <v>17</v>
      </c>
      <c r="C30">
        <v>4.87</v>
      </c>
      <c r="D30" s="1">
        <f>DATE(A30, MONTH("1-"&amp;B30&amp;"-"&amp;A30), 1)</f>
        <v>43221</v>
      </c>
    </row>
    <row r="31" spans="1:4">
      <c r="A31">
        <v>2018</v>
      </c>
      <c r="B31" t="s">
        <v>18</v>
      </c>
      <c r="C31">
        <v>4.92</v>
      </c>
      <c r="D31" s="1">
        <f>DATE(A31, MONTH("1-"&amp;B31&amp;"-"&amp;A31), 1)</f>
        <v>43252</v>
      </c>
    </row>
    <row r="32" spans="1:4">
      <c r="A32">
        <v>2018</v>
      </c>
      <c r="B32" t="s">
        <v>19</v>
      </c>
      <c r="C32">
        <v>4.17</v>
      </c>
      <c r="D32" s="1">
        <f>DATE(A32, MONTH("1-"&amp;B32&amp;"-"&amp;A32), 1)</f>
        <v>43282</v>
      </c>
    </row>
    <row r="33" spans="1:4">
      <c r="A33">
        <v>2018</v>
      </c>
      <c r="B33" t="s">
        <v>20</v>
      </c>
      <c r="C33">
        <v>3.69</v>
      </c>
      <c r="D33" s="1">
        <f>DATE(A33, MONTH("1-"&amp;B33&amp;"-"&amp;A33), 1)</f>
        <v>43313</v>
      </c>
    </row>
    <row r="34" spans="1:4">
      <c r="A34">
        <v>2018</v>
      </c>
      <c r="B34" t="s">
        <v>21</v>
      </c>
      <c r="C34">
        <v>3.7</v>
      </c>
      <c r="D34" s="1">
        <f>DATE(A34, MONTH("1-"&amp;B34&amp;"-"&amp;A34), 1)</f>
        <v>43344</v>
      </c>
    </row>
    <row r="35" spans="1:4">
      <c r="A35">
        <v>2018</v>
      </c>
      <c r="B35" t="s">
        <v>22</v>
      </c>
      <c r="C35">
        <v>3.38</v>
      </c>
      <c r="D35" s="1">
        <f>DATE(A35, MONTH("1-"&amp;B35&amp;"-"&amp;A35), 1)</f>
        <v>43374</v>
      </c>
    </row>
    <row r="36" spans="1:4">
      <c r="A36">
        <v>2018</v>
      </c>
      <c r="B36" t="s">
        <v>23</v>
      </c>
      <c r="C36">
        <v>2.33</v>
      </c>
      <c r="D36" s="1">
        <f>DATE(A36, MONTH("1-"&amp;B36&amp;"-"&amp;A36), 1)</f>
        <v>43405</v>
      </c>
    </row>
    <row r="37" spans="1:4">
      <c r="A37">
        <v>2018</v>
      </c>
      <c r="B37" t="s">
        <v>24</v>
      </c>
      <c r="C37">
        <v>2.11</v>
      </c>
      <c r="D37" s="1">
        <f>DATE(A37, MONTH("1-"&amp;B37&amp;"-"&amp;A37), 1)</f>
        <v>43435</v>
      </c>
    </row>
    <row r="38" spans="1:4">
      <c r="A38">
        <v>2019</v>
      </c>
      <c r="B38" t="s">
        <v>13</v>
      </c>
      <c r="C38">
        <v>1.97</v>
      </c>
      <c r="D38" s="1">
        <f>DATE(A38, MONTH("1-"&amp;B38&amp;"-"&amp;A38), 1)</f>
        <v>43466</v>
      </c>
    </row>
    <row r="39" spans="1:4">
      <c r="A39">
        <v>2019</v>
      </c>
      <c r="B39" t="s">
        <v>14</v>
      </c>
      <c r="C39">
        <v>2.57</v>
      </c>
      <c r="D39" s="1">
        <f>DATE(A39, MONTH("1-"&amp;B39&amp;"-"&amp;A39), 1)</f>
        <v>43497</v>
      </c>
    </row>
    <row r="40" spans="1:4">
      <c r="A40">
        <v>2019</v>
      </c>
      <c r="B40" t="s">
        <v>15</v>
      </c>
      <c r="C40">
        <v>2.86</v>
      </c>
      <c r="D40" s="1">
        <f>DATE(A40, MONTH("1-"&amp;B40&amp;"-"&amp;A40), 1)</f>
        <v>43525</v>
      </c>
    </row>
    <row r="41" spans="1:4">
      <c r="A41">
        <v>2019</v>
      </c>
      <c r="B41" t="s">
        <v>16</v>
      </c>
      <c r="C41">
        <v>2.99</v>
      </c>
      <c r="D41" s="1">
        <f>DATE(A41, MONTH("1-"&amp;B41&amp;"-"&amp;A41), 1)</f>
        <v>43556</v>
      </c>
    </row>
    <row r="42" spans="1:4">
      <c r="A42">
        <v>2019</v>
      </c>
      <c r="B42" t="s">
        <v>17</v>
      </c>
      <c r="C42">
        <v>3.05</v>
      </c>
      <c r="D42" s="1">
        <f>DATE(A42, MONTH("1-"&amp;B42&amp;"-"&amp;A42), 1)</f>
        <v>43586</v>
      </c>
    </row>
    <row r="43" spans="1:4">
      <c r="A43">
        <v>2019</v>
      </c>
      <c r="B43" t="s">
        <v>18</v>
      </c>
      <c r="C43">
        <v>3.18</v>
      </c>
      <c r="D43" s="1">
        <f>DATE(A43, MONTH("1-"&amp;B43&amp;"-"&amp;A43), 1)</f>
        <v>43617</v>
      </c>
    </row>
    <row r="44" spans="1:4">
      <c r="A44">
        <v>2019</v>
      </c>
      <c r="B44" t="s">
        <v>19</v>
      </c>
      <c r="C44">
        <v>3.15</v>
      </c>
      <c r="D44" s="1">
        <f>DATE(A44, MONTH("1-"&amp;B44&amp;"-"&amp;A44), 1)</f>
        <v>43647</v>
      </c>
    </row>
    <row r="45" spans="1:4">
      <c r="A45">
        <v>2019</v>
      </c>
      <c r="B45" t="s">
        <v>20</v>
      </c>
      <c r="C45">
        <v>3.28</v>
      </c>
      <c r="D45" s="1">
        <f>DATE(A45, MONTH("1-"&amp;B45&amp;"-"&amp;A45), 1)</f>
        <v>43678</v>
      </c>
    </row>
    <row r="46" spans="1:4">
      <c r="A46">
        <v>2019</v>
      </c>
      <c r="B46" t="s">
        <v>21</v>
      </c>
      <c r="C46">
        <v>3.99</v>
      </c>
      <c r="D46" s="1">
        <f>DATE(A46, MONTH("1-"&amp;B46&amp;"-"&amp;A46), 1)</f>
        <v>43709</v>
      </c>
    </row>
    <row r="47" spans="1:4">
      <c r="A47">
        <v>2019</v>
      </c>
      <c r="B47" t="s">
        <v>22</v>
      </c>
      <c r="C47">
        <v>4.62</v>
      </c>
      <c r="D47" s="1">
        <f>DATE(A47, MONTH("1-"&amp;B47&amp;"-"&amp;A47), 1)</f>
        <v>43739</v>
      </c>
    </row>
    <row r="48" spans="1:4">
      <c r="A48">
        <v>2019</v>
      </c>
      <c r="B48" t="s">
        <v>23</v>
      </c>
      <c r="C48">
        <v>5.54</v>
      </c>
      <c r="D48" s="1">
        <f>DATE(A48, MONTH("1-"&amp;B48&amp;"-"&amp;A48), 1)</f>
        <v>43770</v>
      </c>
    </row>
    <row r="49" spans="1:4">
      <c r="A49">
        <v>2019</v>
      </c>
      <c r="B49" t="s">
        <v>24</v>
      </c>
      <c r="C49">
        <v>7.35</v>
      </c>
      <c r="D49" s="1">
        <f>DATE(A49, MONTH("1-"&amp;B49&amp;"-"&amp;A49), 1)</f>
        <v>43800</v>
      </c>
    </row>
    <row r="50" spans="1:4">
      <c r="A50">
        <v>2020</v>
      </c>
      <c r="B50" t="s">
        <v>13</v>
      </c>
      <c r="C50">
        <v>7.59</v>
      </c>
      <c r="D50" s="1">
        <f>DATE(A50, MONTH("1-"&amp;B50&amp;"-"&amp;A50), 1)</f>
        <v>43831</v>
      </c>
    </row>
    <row r="51" spans="1:4">
      <c r="A51">
        <v>2020</v>
      </c>
      <c r="B51" t="s">
        <v>14</v>
      </c>
      <c r="C51">
        <v>6.58</v>
      </c>
      <c r="D51" s="1">
        <f>DATE(A51, MONTH("1-"&amp;B51&amp;"-"&amp;A51), 1)</f>
        <v>43862</v>
      </c>
    </row>
    <row r="52" spans="1:4">
      <c r="A52">
        <v>2020</v>
      </c>
      <c r="B52" t="s">
        <v>15</v>
      </c>
      <c r="C52">
        <v>5.84</v>
      </c>
      <c r="D52" s="1">
        <f>DATE(A52, MONTH("1-"&amp;B52&amp;"-"&amp;A52), 1)</f>
        <v>43891</v>
      </c>
    </row>
    <row r="53" spans="1:4">
      <c r="A53">
        <v>2020</v>
      </c>
      <c r="B53" t="s">
        <v>18</v>
      </c>
      <c r="C53">
        <v>6.23</v>
      </c>
      <c r="D53" s="1">
        <f>DATE(A53, MONTH("1-"&amp;B53&amp;"-"&amp;A53), 1)</f>
        <v>43983</v>
      </c>
    </row>
    <row r="54" spans="1:4">
      <c r="A54">
        <v>2020</v>
      </c>
      <c r="B54" t="s">
        <v>19</v>
      </c>
      <c r="C54">
        <v>6.73</v>
      </c>
      <c r="D54" s="1">
        <f>DATE(A54, MONTH("1-"&amp;B54&amp;"-"&amp;A54), 1)</f>
        <v>44013</v>
      </c>
    </row>
    <row r="55" spans="1:4">
      <c r="A55">
        <v>2020</v>
      </c>
      <c r="B55" t="s">
        <v>20</v>
      </c>
      <c r="C55">
        <v>6.69</v>
      </c>
      <c r="D55" s="1">
        <f>DATE(A55, MONTH("1-"&amp;B55&amp;"-"&amp;A55), 1)</f>
        <v>44044</v>
      </c>
    </row>
    <row r="56" spans="1:4">
      <c r="A56">
        <v>2020</v>
      </c>
      <c r="B56" t="s">
        <v>21</v>
      </c>
      <c r="C56">
        <v>7.27</v>
      </c>
      <c r="D56" s="1">
        <f>DATE(A56, MONTH("1-"&amp;B56&amp;"-"&amp;A56), 1)</f>
        <v>44075</v>
      </c>
    </row>
    <row r="57" spans="1:4">
      <c r="A57">
        <v>2020</v>
      </c>
      <c r="B57" t="s">
        <v>22</v>
      </c>
      <c r="C57">
        <v>7.61</v>
      </c>
      <c r="D57" s="1">
        <f>DATE(A57, MONTH("1-"&amp;B57&amp;"-"&amp;A57), 1)</f>
        <v>44105</v>
      </c>
    </row>
    <row r="58" spans="1:4">
      <c r="A58">
        <v>2020</v>
      </c>
      <c r="B58" t="s">
        <v>23</v>
      </c>
      <c r="C58">
        <v>6.93</v>
      </c>
      <c r="D58" s="1">
        <f>DATE(A58, MONTH("1-"&amp;B58&amp;"-"&amp;A58), 1)</f>
        <v>44136</v>
      </c>
    </row>
    <row r="59" spans="1:4">
      <c r="A59">
        <v>2020</v>
      </c>
      <c r="B59" t="s">
        <v>24</v>
      </c>
      <c r="C59">
        <v>4.59</v>
      </c>
      <c r="D59" s="1">
        <f>DATE(A59, MONTH("1-"&amp;B59&amp;"-"&amp;A59), 1)</f>
        <v>44166</v>
      </c>
    </row>
    <row r="60" spans="1:4">
      <c r="A60">
        <v>2021</v>
      </c>
      <c r="B60" t="s">
        <v>13</v>
      </c>
      <c r="C60">
        <v>4.0599999999999996</v>
      </c>
      <c r="D60" s="1">
        <f>DATE(A60, MONTH("1-"&amp;B60&amp;"-"&amp;A60), 1)</f>
        <v>44197</v>
      </c>
    </row>
    <row r="61" spans="1:4">
      <c r="A61">
        <v>2021</v>
      </c>
      <c r="B61" t="s">
        <v>14</v>
      </c>
      <c r="C61">
        <v>5.03</v>
      </c>
      <c r="D61" s="1">
        <f>DATE(A61, MONTH("1-"&amp;B61&amp;"-"&amp;A61), 1)</f>
        <v>44228</v>
      </c>
    </row>
    <row r="62" spans="1:4">
      <c r="A62">
        <v>2021</v>
      </c>
      <c r="B62" t="s">
        <v>15</v>
      </c>
      <c r="C62">
        <v>5.52</v>
      </c>
      <c r="D62" s="1">
        <f>DATE(A62, MONTH("1-"&amp;B62&amp;"-"&amp;A62), 1)</f>
        <v>44256</v>
      </c>
    </row>
    <row r="63" spans="1:4">
      <c r="A63">
        <v>2021</v>
      </c>
      <c r="B63" t="s">
        <v>16</v>
      </c>
      <c r="C63">
        <v>4.2300000000000004</v>
      </c>
      <c r="D63" s="1">
        <f>DATE(A63, MONTH("1-"&amp;B63&amp;"-"&amp;A63), 1)</f>
        <v>44287</v>
      </c>
    </row>
    <row r="64" spans="1:4">
      <c r="A64">
        <v>2021</v>
      </c>
      <c r="B64" t="s">
        <v>17</v>
      </c>
      <c r="C64">
        <v>6.3</v>
      </c>
      <c r="D64" s="1">
        <f>DATE(A64, MONTH("1-"&amp;B64&amp;"-"&amp;A64), 1)</f>
        <v>44317</v>
      </c>
    </row>
    <row r="65" spans="1:4">
      <c r="A65">
        <v>2021</v>
      </c>
      <c r="B65" t="s">
        <v>18</v>
      </c>
      <c r="C65">
        <v>6.26</v>
      </c>
      <c r="D65" s="1">
        <f>DATE(A65, MONTH("1-"&amp;B65&amp;"-"&amp;A65), 1)</f>
        <v>44348</v>
      </c>
    </row>
    <row r="66" spans="1:4">
      <c r="A66">
        <v>2021</v>
      </c>
      <c r="B66" t="s">
        <v>19</v>
      </c>
      <c r="C66">
        <v>5.59</v>
      </c>
      <c r="D66" s="1">
        <f>DATE(A66, MONTH("1-"&amp;B66&amp;"-"&amp;A66), 1)</f>
        <v>44378</v>
      </c>
    </row>
    <row r="67" spans="1:4">
      <c r="A67">
        <v>2021</v>
      </c>
      <c r="B67" t="s">
        <v>20</v>
      </c>
      <c r="C67">
        <v>5.3</v>
      </c>
      <c r="D67" s="1">
        <f>DATE(A67, MONTH("1-"&amp;B67&amp;"-"&amp;A67), 1)</f>
        <v>44409</v>
      </c>
    </row>
    <row r="68" spans="1:4">
      <c r="A68">
        <v>2021</v>
      </c>
      <c r="B68" t="s">
        <v>21</v>
      </c>
      <c r="C68">
        <v>4.3499999999999996</v>
      </c>
      <c r="D68" s="1">
        <f>DATE(A68, MONTH("1-"&amp;B68&amp;"-"&amp;A68), 1)</f>
        <v>44440</v>
      </c>
    </row>
    <row r="69" spans="1:4">
      <c r="A69">
        <v>2021</v>
      </c>
      <c r="B69" t="s">
        <v>22</v>
      </c>
      <c r="C69">
        <v>4.4800000000000004</v>
      </c>
      <c r="D69" s="1">
        <f>DATE(A69, MONTH("1-"&amp;B69&amp;"-"&amp;A69), 1)</f>
        <v>44470</v>
      </c>
    </row>
    <row r="70" spans="1:4">
      <c r="A70">
        <v>2021</v>
      </c>
      <c r="B70" t="s">
        <v>23</v>
      </c>
      <c r="C70">
        <v>4.91</v>
      </c>
      <c r="D70" s="1">
        <f>DATE(A70, MONTH("1-"&amp;B70&amp;"-"&amp;A70), 1)</f>
        <v>44501</v>
      </c>
    </row>
    <row r="71" spans="1:4">
      <c r="A71">
        <v>2021</v>
      </c>
      <c r="B71" t="s">
        <v>24</v>
      </c>
      <c r="C71">
        <v>5.66</v>
      </c>
      <c r="D71" s="1">
        <f>DATE(A71, MONTH("1-"&amp;B71&amp;"-"&amp;A71), 1)</f>
        <v>44531</v>
      </c>
    </row>
    <row r="72" spans="1:4">
      <c r="A72">
        <v>2022</v>
      </c>
      <c r="B72" t="s">
        <v>13</v>
      </c>
      <c r="C72">
        <v>6.01</v>
      </c>
      <c r="D72" s="1">
        <f>DATE(A72, MONTH("1-"&amp;B72&amp;"-"&amp;A72), 1)</f>
        <v>44562</v>
      </c>
    </row>
    <row r="73" spans="1:4">
      <c r="A73">
        <v>2022</v>
      </c>
      <c r="B73" t="s">
        <v>14</v>
      </c>
      <c r="C73">
        <v>6.07</v>
      </c>
      <c r="D73" s="1">
        <f>DATE(A73, MONTH("1-"&amp;B73&amp;"-"&amp;A73), 1)</f>
        <v>44593</v>
      </c>
    </row>
    <row r="74" spans="1:4">
      <c r="A74">
        <v>2022</v>
      </c>
      <c r="B74" t="s">
        <v>15</v>
      </c>
      <c r="C74">
        <v>6.95</v>
      </c>
      <c r="D74" s="1">
        <f>DATE(A74, MONTH("1-"&amp;B74&amp;"-"&amp;A74), 1)</f>
        <v>44621</v>
      </c>
    </row>
    <row r="75" spans="1:4">
      <c r="A75">
        <v>2022</v>
      </c>
      <c r="B75" t="s">
        <v>16</v>
      </c>
      <c r="C75">
        <v>7.79</v>
      </c>
      <c r="D75" s="1">
        <f>DATE(A75, MONTH("1-"&amp;B75&amp;"-"&amp;A75), 1)</f>
        <v>44652</v>
      </c>
    </row>
    <row r="76" spans="1:4">
      <c r="A76">
        <v>2022</v>
      </c>
      <c r="B76" t="s">
        <v>17</v>
      </c>
      <c r="C76">
        <v>7.04</v>
      </c>
      <c r="D76" s="1">
        <f>DATE(A76, MONTH("1-"&amp;B76&amp;"-"&amp;A76), 1)</f>
        <v>44682</v>
      </c>
    </row>
    <row r="77" spans="1:4">
      <c r="A77">
        <v>2022</v>
      </c>
      <c r="B77" t="s">
        <v>18</v>
      </c>
      <c r="C77">
        <v>7.01</v>
      </c>
      <c r="D77" s="1">
        <f>DATE(A77, MONTH("1-"&amp;B77&amp;"-"&amp;A77), 1)</f>
        <v>44713</v>
      </c>
    </row>
    <row r="78" spans="1:4">
      <c r="A78">
        <v>2022</v>
      </c>
      <c r="B78" t="s">
        <v>19</v>
      </c>
      <c r="C78">
        <v>6.71</v>
      </c>
      <c r="D78" s="1">
        <f>DATE(A78, MONTH("1-"&amp;B78&amp;"-"&amp;A78), 1)</f>
        <v>44743</v>
      </c>
    </row>
    <row r="79" spans="1:4">
      <c r="A79">
        <v>2022</v>
      </c>
      <c r="B79" t="s">
        <v>20</v>
      </c>
      <c r="C79">
        <v>7</v>
      </c>
      <c r="D79" s="1">
        <f>DATE(A79, MONTH("1-"&amp;B79&amp;"-"&amp;A79), 1)</f>
        <v>44774</v>
      </c>
    </row>
    <row r="80" spans="1:4">
      <c r="A80">
        <v>2022</v>
      </c>
      <c r="B80" t="s">
        <v>21</v>
      </c>
      <c r="C80">
        <v>7.41</v>
      </c>
      <c r="D80" s="1">
        <f>DATE(A80, MONTH("1-"&amp;B80&amp;"-"&amp;A80), 1)</f>
        <v>44805</v>
      </c>
    </row>
    <row r="81" spans="1:4">
      <c r="A81">
        <v>2022</v>
      </c>
      <c r="B81" t="s">
        <v>22</v>
      </c>
      <c r="C81">
        <v>6.77</v>
      </c>
      <c r="D81" s="1">
        <f>DATE(A81, MONTH("1-"&amp;B81&amp;"-"&amp;A81), 1)</f>
        <v>44835</v>
      </c>
    </row>
    <row r="82" spans="1:4">
      <c r="A82">
        <v>2022</v>
      </c>
      <c r="B82" t="s">
        <v>23</v>
      </c>
      <c r="C82">
        <v>5.88</v>
      </c>
      <c r="D82" s="1">
        <f>DATE(A82, MONTH("1-"&amp;B82&amp;"-"&amp;A82), 1)</f>
        <v>44866</v>
      </c>
    </row>
    <row r="83" spans="1:4">
      <c r="A83">
        <v>2022</v>
      </c>
      <c r="B83" t="s">
        <v>24</v>
      </c>
      <c r="C83">
        <v>5.72</v>
      </c>
      <c r="D83" s="1">
        <f>DATE(A83, MONTH("1-"&amp;B83&amp;"-"&amp;A83), 1)</f>
        <v>44896</v>
      </c>
    </row>
    <row r="84" spans="1:4">
      <c r="A84">
        <v>2023</v>
      </c>
      <c r="B84" t="s">
        <v>13</v>
      </c>
      <c r="C84">
        <v>6.52</v>
      </c>
      <c r="D84" s="1">
        <f>DATE(A84, MONTH("1-"&amp;B84&amp;"-"&amp;A84), 1)</f>
        <v>44927</v>
      </c>
    </row>
    <row r="85" spans="1:4">
      <c r="A85">
        <v>2023</v>
      </c>
      <c r="B85" t="s">
        <v>14</v>
      </c>
      <c r="C85">
        <v>6.44</v>
      </c>
      <c r="D85" s="1">
        <f>DATE(A85, MONTH("1-"&amp;B85&amp;"-"&amp;A85), 1)</f>
        <v>44958</v>
      </c>
    </row>
    <row r="86" spans="1:4">
      <c r="A86">
        <v>2023</v>
      </c>
      <c r="B86" t="s">
        <v>15</v>
      </c>
      <c r="C86">
        <v>5.66</v>
      </c>
      <c r="D86" s="1">
        <f>DATE(A86, MONTH("1-"&amp;B86&amp;"-"&amp;A86), 1)</f>
        <v>44986</v>
      </c>
    </row>
    <row r="87" spans="1:4">
      <c r="A87">
        <v>2023</v>
      </c>
      <c r="B87" t="s">
        <v>16</v>
      </c>
      <c r="C87">
        <v>4.7</v>
      </c>
      <c r="D87" s="1">
        <f>DATE(A87, MONTH("1-"&amp;B87&amp;"-"&amp;A87), 1)</f>
        <v>45017</v>
      </c>
    </row>
    <row r="88" spans="1:4">
      <c r="A88">
        <v>2023</v>
      </c>
      <c r="B88" t="s">
        <v>17</v>
      </c>
      <c r="C88">
        <v>4.3099999999999996</v>
      </c>
      <c r="D88" s="1">
        <f>DATE(A88, MONTH("1-"&amp;B88&amp;"-"&amp;A88), 1)</f>
        <v>45047</v>
      </c>
    </row>
    <row r="89" spans="1:4">
      <c r="A89">
        <v>2023</v>
      </c>
      <c r="B89" t="s">
        <v>18</v>
      </c>
      <c r="C89">
        <v>4.87</v>
      </c>
      <c r="D89" s="1">
        <f>DATE(A89, MONTH("1-"&amp;B89&amp;"-"&amp;A89), 1)</f>
        <v>45078</v>
      </c>
    </row>
    <row r="90" spans="1:4">
      <c r="A90">
        <v>2023</v>
      </c>
      <c r="B90" t="s">
        <v>19</v>
      </c>
      <c r="C90">
        <v>7.44</v>
      </c>
      <c r="D90" s="1">
        <f>DATE(A90, MONTH("1-"&amp;B90&amp;"-"&amp;A90), 1)</f>
        <v>45108</v>
      </c>
    </row>
    <row r="91" spans="1:4">
      <c r="A91">
        <v>2023</v>
      </c>
      <c r="B91" t="s">
        <v>20</v>
      </c>
      <c r="C91">
        <v>6.83</v>
      </c>
      <c r="D91" s="1">
        <f>DATE(A91, MONTH("1-"&amp;B91&amp;"-"&amp;A91), 1)</f>
        <v>45139</v>
      </c>
    </row>
    <row r="92" spans="1:4">
      <c r="A92">
        <v>2023</v>
      </c>
      <c r="B92" t="s">
        <v>21</v>
      </c>
      <c r="C92">
        <v>5.0199999999999996</v>
      </c>
      <c r="D92" s="1">
        <f>DATE(A92, MONTH("1-"&amp;B92&amp;"-"&amp;A92), 1)</f>
        <v>45170</v>
      </c>
    </row>
    <row r="93" spans="1:4">
      <c r="A93">
        <v>2023</v>
      </c>
      <c r="B93" t="s">
        <v>22</v>
      </c>
      <c r="C93">
        <v>4.87</v>
      </c>
      <c r="D93" s="1">
        <f>DATE(A93, MONTH("1-"&amp;B93&amp;"-"&amp;A93), 1)</f>
        <v>45200</v>
      </c>
    </row>
    <row r="94" spans="1:4">
      <c r="A94">
        <v>2023</v>
      </c>
      <c r="B94" t="s">
        <v>23</v>
      </c>
      <c r="C94">
        <v>5.55</v>
      </c>
      <c r="D94" s="1">
        <f>DATE(A94, MONTH("1-"&amp;B94&amp;"-"&amp;A94), 1)</f>
        <v>45231</v>
      </c>
    </row>
    <row r="95" spans="1:4">
      <c r="A95">
        <v>2023</v>
      </c>
      <c r="B95" t="s">
        <v>24</v>
      </c>
      <c r="C95">
        <v>5.69</v>
      </c>
      <c r="D95" s="1">
        <f>DATE(A95, MONTH("1-"&amp;B95&amp;"-"&amp;A95), 1)</f>
        <v>45261</v>
      </c>
    </row>
    <row r="96" spans="1:4">
      <c r="A96">
        <v>2024</v>
      </c>
      <c r="B96" t="s">
        <v>13</v>
      </c>
      <c r="C96">
        <v>5.0999999999999996</v>
      </c>
      <c r="D96" s="1">
        <f>DATE(A96, MONTH("1-"&amp;B96&amp;"-"&amp;A96), 1)</f>
        <v>45292</v>
      </c>
    </row>
    <row r="97" spans="1:4">
      <c r="A97">
        <v>2024</v>
      </c>
      <c r="B97" t="s">
        <v>14</v>
      </c>
      <c r="C97">
        <v>5.09</v>
      </c>
      <c r="D97" s="1">
        <f>DATE(A97, MONTH("1-"&amp;B97&amp;"-"&amp;A97), 1)</f>
        <v>45323</v>
      </c>
    </row>
    <row r="98" spans="1:4">
      <c r="A98">
        <v>2024</v>
      </c>
      <c r="B98" t="s">
        <v>15</v>
      </c>
      <c r="C98">
        <v>4.8499999999999996</v>
      </c>
      <c r="D98" s="1">
        <f>DATE(A98, MONTH("1-"&amp;B98&amp;"-"&amp;A98), 1)</f>
        <v>45352</v>
      </c>
    </row>
    <row r="99" spans="1:4">
      <c r="A99">
        <v>2024</v>
      </c>
      <c r="B99" t="s">
        <v>16</v>
      </c>
      <c r="C99">
        <v>4.83</v>
      </c>
      <c r="D99" s="1">
        <f>DATE(A99, MONTH("1-"&amp;B99&amp;"-"&amp;A99), 1)</f>
        <v>45383</v>
      </c>
    </row>
    <row r="100" spans="1:4">
      <c r="A100">
        <v>2024</v>
      </c>
      <c r="B100" t="s">
        <v>17</v>
      </c>
      <c r="C100">
        <v>4.8</v>
      </c>
      <c r="D100" s="1">
        <f>DATE(A100, MONTH("1-"&amp;B100&amp;"-"&amp;A100), 1)</f>
        <v>45413</v>
      </c>
    </row>
    <row r="101" spans="1:4">
      <c r="A101">
        <v>2024</v>
      </c>
      <c r="B101" t="s">
        <v>18</v>
      </c>
      <c r="C101">
        <v>5.08</v>
      </c>
      <c r="D101" s="1">
        <f>DATE(A101, MONTH("1-"&amp;B101&amp;"-"&amp;A101), 1)</f>
        <v>45444</v>
      </c>
    </row>
    <row r="102" spans="1:4">
      <c r="A102">
        <v>2024</v>
      </c>
      <c r="B102" t="s">
        <v>19</v>
      </c>
      <c r="C102">
        <v>3.6</v>
      </c>
      <c r="D102" s="1">
        <f>DATE(A102, MONTH("1-"&amp;B102&amp;"-"&amp;A102), 1)</f>
        <v>45474</v>
      </c>
    </row>
    <row r="103" spans="1:4">
      <c r="A103">
        <v>2024</v>
      </c>
      <c r="B103" t="s">
        <v>20</v>
      </c>
      <c r="C103">
        <v>3.65</v>
      </c>
      <c r="D103" s="1">
        <f>DATE(A103, MONTH("1-"&amp;B103&amp;"-"&amp;A103), 1)</f>
        <v>45505</v>
      </c>
    </row>
    <row r="104" spans="1:4">
      <c r="A104">
        <v>2024</v>
      </c>
      <c r="B104" t="s">
        <v>21</v>
      </c>
      <c r="C104">
        <v>5.49</v>
      </c>
      <c r="D104" s="1">
        <f>DATE(A104, MONTH("1-"&amp;B104&amp;"-"&amp;A104), 1)</f>
        <v>45536</v>
      </c>
    </row>
    <row r="105" spans="1:4">
      <c r="A105">
        <v>2024</v>
      </c>
      <c r="B105" t="s">
        <v>22</v>
      </c>
      <c r="C105">
        <v>6.21</v>
      </c>
      <c r="D105" s="1">
        <f>DATE(A105, MONTH("1-"&amp;B105&amp;"-"&amp;A105), 1)</f>
        <v>45566</v>
      </c>
    </row>
    <row r="106" spans="1:4">
      <c r="A106">
        <v>2024</v>
      </c>
      <c r="B106" t="s">
        <v>23</v>
      </c>
      <c r="C106">
        <v>5.48</v>
      </c>
      <c r="D106" s="1">
        <f>DATE(A106, MONTH("1-"&amp;B106&amp;"-"&amp;A106), 1)</f>
        <v>45597</v>
      </c>
    </row>
    <row r="107" spans="1:4">
      <c r="A107">
        <v>2024</v>
      </c>
      <c r="B107" t="s">
        <v>24</v>
      </c>
      <c r="C107">
        <v>5.22</v>
      </c>
      <c r="D107" s="1">
        <f>DATE(A107, MONTH("1-"&amp;B107&amp;"-"&amp;A107), 1)</f>
        <v>45627</v>
      </c>
    </row>
    <row r="108" spans="1:4">
      <c r="A108">
        <v>2025</v>
      </c>
      <c r="B108" t="s">
        <v>13</v>
      </c>
      <c r="C108">
        <v>4.26</v>
      </c>
      <c r="D108" s="1">
        <f>DATE(A108, MONTH("1-"&amp;B108&amp;"-"&amp;A108), 1)</f>
        <v>45658</v>
      </c>
    </row>
    <row r="109" spans="1:4">
      <c r="A109">
        <v>2025</v>
      </c>
      <c r="B109" t="s">
        <v>14</v>
      </c>
      <c r="C109">
        <v>3.61</v>
      </c>
      <c r="D109" s="1">
        <f>DATE(A109, MONTH("1-"&amp;B109&amp;"-"&amp;A109), 1)</f>
        <v>45689</v>
      </c>
    </row>
    <row r="110" spans="1:4">
      <c r="A110">
        <v>2025</v>
      </c>
      <c r="B110" t="s">
        <v>15</v>
      </c>
      <c r="C110">
        <v>3.34</v>
      </c>
      <c r="D110" s="1">
        <f>DATE(A110, MONTH("1-"&amp;B110&amp;"-"&amp;A110), 1)</f>
        <v>45717</v>
      </c>
    </row>
    <row r="111" spans="1:4">
      <c r="A111">
        <v>2025</v>
      </c>
      <c r="B111" t="s">
        <v>16</v>
      </c>
      <c r="C111">
        <v>3.16</v>
      </c>
      <c r="D111" s="1">
        <f>DATE(A111, MONTH("1-"&amp;B111&amp;"-"&amp;A111), 1)</f>
        <v>45748</v>
      </c>
    </row>
    <row r="112" spans="1:4">
      <c r="A112">
        <v>2025</v>
      </c>
      <c r="B112" t="s">
        <v>17</v>
      </c>
      <c r="C112">
        <v>2.82</v>
      </c>
      <c r="D112" s="1">
        <f>DATE(A112, MONTH("1-"&amp;B112&amp;"-"&amp;A112), 1)</f>
        <v>45778</v>
      </c>
    </row>
    <row r="113" spans="1:4">
      <c r="A113">
        <v>2025</v>
      </c>
      <c r="B113" t="s">
        <v>18</v>
      </c>
      <c r="C113">
        <v>2.1</v>
      </c>
      <c r="D113" s="1">
        <f>DATE(A113, MONTH("1-"&amp;B113&amp;"-"&amp;A113), 1)</f>
        <v>45809</v>
      </c>
    </row>
    <row r="114" spans="1:4">
      <c r="A114">
        <v>2025</v>
      </c>
      <c r="B114" t="s">
        <v>19</v>
      </c>
      <c r="C114">
        <v>1.61</v>
      </c>
      <c r="D114" s="1">
        <f>DATE(A114, MONTH("1-"&amp;B114&amp;"-"&amp;A114), 1)</f>
        <v>45839</v>
      </c>
    </row>
    <row r="115" spans="1:4">
      <c r="A115">
        <v>2025</v>
      </c>
      <c r="B115" t="s">
        <v>20</v>
      </c>
      <c r="C115">
        <v>2.0699999999999998</v>
      </c>
      <c r="D115" s="1">
        <f>DATE(A115, MONTH("1-"&amp;B115&amp;"-"&amp;A115), 1)</f>
        <v>45870</v>
      </c>
    </row>
    <row r="116" spans="1:4">
      <c r="A116">
        <v>2025</v>
      </c>
      <c r="B116" t="s">
        <v>21</v>
      </c>
      <c r="C116">
        <v>1.44</v>
      </c>
      <c r="D116" s="1">
        <f>DATE(A116, MONTH("1-"&amp;B116&amp;"-"&amp;A116), 1)</f>
        <v>45901</v>
      </c>
    </row>
    <row r="117" spans="1:4">
      <c r="A117">
        <v>2025</v>
      </c>
      <c r="B117" t="s">
        <v>22</v>
      </c>
      <c r="C117">
        <v>0.25</v>
      </c>
      <c r="D117" s="1">
        <f>DATE(A117, MONTH("1-"&amp;B117&amp;"-"&amp;A117), 1)</f>
        <v>45931</v>
      </c>
    </row>
    <row r="118" spans="1:4">
      <c r="A118">
        <v>2025</v>
      </c>
      <c r="B118" t="s">
        <v>23</v>
      </c>
      <c r="C118">
        <v>0.71</v>
      </c>
      <c r="D118" s="1">
        <f>DATE(A118, MONTH("1-"&amp;B118&amp;"-"&amp;A118), 1)</f>
        <v>45962</v>
      </c>
    </row>
    <row r="119" spans="1:4">
      <c r="A119">
        <v>2025</v>
      </c>
      <c r="B119" t="s">
        <v>24</v>
      </c>
      <c r="C119">
        <v>1.33</v>
      </c>
      <c r="D119" s="1">
        <f>DATE(A119, MONTH("1-"&amp;B119&amp;"-"&amp;A119), 1)</f>
        <v>45992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5245-13A5-43A7-824A-FA0B3F90CA65}">
  <dimension ref="A1:B120"/>
  <sheetViews>
    <sheetView workbookViewId="0">
      <selection activeCell="E18" sqref="E18"/>
    </sheetView>
  </sheetViews>
  <sheetFormatPr defaultRowHeight="15"/>
  <cols>
    <col min="1" max="1" width="14.85546875" customWidth="1"/>
    <col min="2" max="2" width="27.7109375" customWidth="1"/>
  </cols>
  <sheetData>
    <row r="1" spans="1:2">
      <c r="A1" s="8" t="s">
        <v>0</v>
      </c>
      <c r="B1" s="5" t="s">
        <v>25</v>
      </c>
    </row>
    <row r="2" spans="1:2">
      <c r="A2" s="9">
        <v>42400</v>
      </c>
      <c r="B2" s="6">
        <v>6.75</v>
      </c>
    </row>
    <row r="3" spans="1:2">
      <c r="A3" s="9">
        <v>42429</v>
      </c>
      <c r="B3" s="7">
        <v>6.75</v>
      </c>
    </row>
    <row r="4" spans="1:2">
      <c r="A4" s="9">
        <v>42460</v>
      </c>
      <c r="B4" s="6">
        <v>6.75</v>
      </c>
    </row>
    <row r="5" spans="1:2">
      <c r="A5" s="9">
        <v>42490</v>
      </c>
      <c r="B5" s="7">
        <v>6.5</v>
      </c>
    </row>
    <row r="6" spans="1:2">
      <c r="A6" s="9">
        <v>42521</v>
      </c>
      <c r="B6" s="6">
        <v>6.5</v>
      </c>
    </row>
    <row r="7" spans="1:2">
      <c r="A7" s="9">
        <v>42551</v>
      </c>
      <c r="B7" s="7">
        <v>6.5</v>
      </c>
    </row>
    <row r="8" spans="1:2">
      <c r="A8" s="9">
        <v>42582</v>
      </c>
      <c r="B8" s="6">
        <v>6.5</v>
      </c>
    </row>
    <row r="9" spans="1:2">
      <c r="A9" s="9">
        <v>42613</v>
      </c>
      <c r="B9" s="7">
        <v>6.5</v>
      </c>
    </row>
    <row r="10" spans="1:2">
      <c r="A10" s="9">
        <v>42643</v>
      </c>
      <c r="B10" s="6">
        <v>6.5</v>
      </c>
    </row>
    <row r="11" spans="1:2">
      <c r="A11" s="9">
        <v>42674</v>
      </c>
      <c r="B11" s="7">
        <v>6.25</v>
      </c>
    </row>
    <row r="12" spans="1:2">
      <c r="A12" s="9">
        <v>42704</v>
      </c>
      <c r="B12" s="6">
        <v>6.25</v>
      </c>
    </row>
    <row r="13" spans="1:2">
      <c r="A13" s="9">
        <v>42735</v>
      </c>
      <c r="B13" s="7">
        <v>6.25</v>
      </c>
    </row>
    <row r="14" spans="1:2">
      <c r="A14" s="9">
        <v>42766</v>
      </c>
      <c r="B14" s="6">
        <v>6.25</v>
      </c>
    </row>
    <row r="15" spans="1:2">
      <c r="A15" s="9">
        <v>42794</v>
      </c>
      <c r="B15" s="7">
        <v>6.25</v>
      </c>
    </row>
    <row r="16" spans="1:2">
      <c r="A16" s="9">
        <v>42825</v>
      </c>
      <c r="B16" s="6">
        <v>6.25</v>
      </c>
    </row>
    <row r="17" spans="1:2">
      <c r="A17" s="9">
        <v>42855</v>
      </c>
      <c r="B17" s="7">
        <v>6.25</v>
      </c>
    </row>
    <row r="18" spans="1:2">
      <c r="A18" s="9">
        <v>42886</v>
      </c>
      <c r="B18" s="6">
        <v>6.25</v>
      </c>
    </row>
    <row r="19" spans="1:2">
      <c r="A19" s="9">
        <v>42916</v>
      </c>
      <c r="B19" s="7">
        <v>6.25</v>
      </c>
    </row>
    <row r="20" spans="1:2">
      <c r="A20" s="9">
        <v>42947</v>
      </c>
      <c r="B20" s="6">
        <v>6.25</v>
      </c>
    </row>
    <row r="21" spans="1:2">
      <c r="A21" s="9">
        <v>42978</v>
      </c>
      <c r="B21" s="7">
        <v>6</v>
      </c>
    </row>
    <row r="22" spans="1:2">
      <c r="A22" s="9">
        <v>43008</v>
      </c>
      <c r="B22" s="6">
        <v>6</v>
      </c>
    </row>
    <row r="23" spans="1:2">
      <c r="A23" s="9">
        <v>43039</v>
      </c>
      <c r="B23" s="7">
        <v>6</v>
      </c>
    </row>
    <row r="24" spans="1:2">
      <c r="A24" s="9">
        <v>43069</v>
      </c>
      <c r="B24" s="6">
        <v>6</v>
      </c>
    </row>
    <row r="25" spans="1:2">
      <c r="A25" s="9">
        <v>43100</v>
      </c>
      <c r="B25" s="7">
        <v>6</v>
      </c>
    </row>
    <row r="26" spans="1:2">
      <c r="A26" s="9">
        <v>43131</v>
      </c>
      <c r="B26" s="6">
        <v>6</v>
      </c>
    </row>
    <row r="27" spans="1:2">
      <c r="A27" s="9">
        <v>43159</v>
      </c>
      <c r="B27" s="7">
        <v>6</v>
      </c>
    </row>
    <row r="28" spans="1:2">
      <c r="A28" s="9">
        <v>43190</v>
      </c>
      <c r="B28" s="6">
        <v>6</v>
      </c>
    </row>
    <row r="29" spans="1:2">
      <c r="A29" s="9">
        <v>43220</v>
      </c>
      <c r="B29" s="7">
        <v>6</v>
      </c>
    </row>
    <row r="30" spans="1:2">
      <c r="A30" s="9">
        <v>43251</v>
      </c>
      <c r="B30" s="6">
        <v>6</v>
      </c>
    </row>
    <row r="31" spans="1:2">
      <c r="A31" s="9">
        <v>43281</v>
      </c>
      <c r="B31" s="7">
        <v>6.25</v>
      </c>
    </row>
    <row r="32" spans="1:2">
      <c r="A32" s="9">
        <v>43312</v>
      </c>
      <c r="B32" s="6">
        <v>6.25</v>
      </c>
    </row>
    <row r="33" spans="1:2">
      <c r="A33" s="9">
        <v>43343</v>
      </c>
      <c r="B33" s="7">
        <v>6.5</v>
      </c>
    </row>
    <row r="34" spans="1:2">
      <c r="A34" s="9">
        <v>43373</v>
      </c>
      <c r="B34" s="6">
        <v>6.5</v>
      </c>
    </row>
    <row r="35" spans="1:2">
      <c r="A35" s="9">
        <v>43404</v>
      </c>
      <c r="B35" s="7">
        <v>6.5</v>
      </c>
    </row>
    <row r="36" spans="1:2">
      <c r="A36" s="9">
        <v>43434</v>
      </c>
      <c r="B36" s="6">
        <v>6.5</v>
      </c>
    </row>
    <row r="37" spans="1:2">
      <c r="A37" s="9">
        <v>43465</v>
      </c>
      <c r="B37" s="7">
        <v>6.5</v>
      </c>
    </row>
    <row r="38" spans="1:2">
      <c r="A38" s="9">
        <v>43496</v>
      </c>
      <c r="B38" s="6">
        <v>6.5</v>
      </c>
    </row>
    <row r="39" spans="1:2">
      <c r="A39" s="9">
        <v>43524</v>
      </c>
      <c r="B39" s="7">
        <v>6.25</v>
      </c>
    </row>
    <row r="40" spans="1:2">
      <c r="A40" s="9">
        <v>43555</v>
      </c>
      <c r="B40" s="6">
        <v>6.25</v>
      </c>
    </row>
    <row r="41" spans="1:2">
      <c r="A41" s="9">
        <v>43585</v>
      </c>
      <c r="B41" s="7">
        <v>6</v>
      </c>
    </row>
    <row r="42" spans="1:2">
      <c r="A42" s="9">
        <v>43616</v>
      </c>
      <c r="B42" s="6">
        <v>6</v>
      </c>
    </row>
    <row r="43" spans="1:2">
      <c r="A43" s="9">
        <v>43646</v>
      </c>
      <c r="B43" s="7">
        <v>5.75</v>
      </c>
    </row>
    <row r="44" spans="1:2">
      <c r="A44" s="9">
        <v>43677</v>
      </c>
      <c r="B44" s="6">
        <v>5.75</v>
      </c>
    </row>
    <row r="45" spans="1:2">
      <c r="A45" s="9">
        <v>43708</v>
      </c>
      <c r="B45" s="7">
        <v>5.4</v>
      </c>
    </row>
    <row r="46" spans="1:2">
      <c r="A46" s="9">
        <v>43738</v>
      </c>
      <c r="B46" s="6">
        <v>5.4</v>
      </c>
    </row>
    <row r="47" spans="1:2">
      <c r="A47" s="9">
        <v>43769</v>
      </c>
      <c r="B47" s="7">
        <v>5.15</v>
      </c>
    </row>
    <row r="48" spans="1:2">
      <c r="A48" s="9">
        <v>43799</v>
      </c>
      <c r="B48" s="6">
        <v>5.15</v>
      </c>
    </row>
    <row r="49" spans="1:2">
      <c r="A49" s="9">
        <v>43830</v>
      </c>
      <c r="B49" s="7">
        <v>5.15</v>
      </c>
    </row>
    <row r="50" spans="1:2">
      <c r="A50" s="9">
        <v>43861</v>
      </c>
      <c r="B50" s="6">
        <v>5.15</v>
      </c>
    </row>
    <row r="51" spans="1:2">
      <c r="A51" s="9">
        <v>43890</v>
      </c>
      <c r="B51" s="7">
        <v>5.15</v>
      </c>
    </row>
    <row r="52" spans="1:2">
      <c r="A52" s="9">
        <v>43921</v>
      </c>
      <c r="B52" s="6">
        <v>4.4000000000000004</v>
      </c>
    </row>
    <row r="53" spans="1:2">
      <c r="A53" s="9">
        <v>43951</v>
      </c>
      <c r="B53" s="7">
        <v>4.4000000000000004</v>
      </c>
    </row>
    <row r="54" spans="1:2">
      <c r="A54" s="9">
        <v>43982</v>
      </c>
      <c r="B54" s="6">
        <v>4</v>
      </c>
    </row>
    <row r="55" spans="1:2">
      <c r="A55" s="9">
        <v>44012</v>
      </c>
      <c r="B55" s="7">
        <v>4</v>
      </c>
    </row>
    <row r="56" spans="1:2">
      <c r="A56" s="9">
        <v>44043</v>
      </c>
      <c r="B56" s="6">
        <v>4</v>
      </c>
    </row>
    <row r="57" spans="1:2">
      <c r="A57" s="9">
        <v>44074</v>
      </c>
      <c r="B57" s="7">
        <v>4</v>
      </c>
    </row>
    <row r="58" spans="1:2">
      <c r="A58" s="9">
        <v>44104</v>
      </c>
      <c r="B58" s="6">
        <v>4</v>
      </c>
    </row>
    <row r="59" spans="1:2">
      <c r="A59" s="9">
        <v>44135</v>
      </c>
      <c r="B59" s="7">
        <v>4</v>
      </c>
    </row>
    <row r="60" spans="1:2">
      <c r="A60" s="9">
        <v>44165</v>
      </c>
      <c r="B60" s="6">
        <v>4</v>
      </c>
    </row>
    <row r="61" spans="1:2">
      <c r="A61" s="9">
        <v>44196</v>
      </c>
      <c r="B61" s="7">
        <v>4</v>
      </c>
    </row>
    <row r="62" spans="1:2">
      <c r="A62" s="9">
        <v>44227</v>
      </c>
      <c r="B62" s="6">
        <v>4</v>
      </c>
    </row>
    <row r="63" spans="1:2">
      <c r="A63" s="9">
        <v>44255</v>
      </c>
      <c r="B63" s="7">
        <v>4</v>
      </c>
    </row>
    <row r="64" spans="1:2">
      <c r="A64" s="9">
        <v>44286</v>
      </c>
      <c r="B64" s="6">
        <v>4</v>
      </c>
    </row>
    <row r="65" spans="1:2">
      <c r="A65" s="9">
        <v>44316</v>
      </c>
      <c r="B65" s="7">
        <v>4</v>
      </c>
    </row>
    <row r="66" spans="1:2">
      <c r="A66" s="9">
        <v>44347</v>
      </c>
      <c r="B66" s="6">
        <v>4</v>
      </c>
    </row>
    <row r="67" spans="1:2">
      <c r="A67" s="9">
        <v>44377</v>
      </c>
      <c r="B67" s="7">
        <v>4</v>
      </c>
    </row>
    <row r="68" spans="1:2">
      <c r="A68" s="9">
        <v>44408</v>
      </c>
      <c r="B68" s="6">
        <v>4</v>
      </c>
    </row>
    <row r="69" spans="1:2">
      <c r="A69" s="9">
        <v>44439</v>
      </c>
      <c r="B69" s="7">
        <v>4</v>
      </c>
    </row>
    <row r="70" spans="1:2">
      <c r="A70" s="9">
        <v>44469</v>
      </c>
      <c r="B70" s="6">
        <v>4</v>
      </c>
    </row>
    <row r="71" spans="1:2">
      <c r="A71" s="9">
        <v>44500</v>
      </c>
      <c r="B71" s="7">
        <v>4</v>
      </c>
    </row>
    <row r="72" spans="1:2">
      <c r="A72" s="9">
        <v>44530</v>
      </c>
      <c r="B72" s="6">
        <v>4</v>
      </c>
    </row>
    <row r="73" spans="1:2">
      <c r="A73" s="9">
        <v>44561</v>
      </c>
      <c r="B73" s="7">
        <v>4</v>
      </c>
    </row>
    <row r="74" spans="1:2">
      <c r="A74" s="9">
        <v>44592</v>
      </c>
      <c r="B74" s="6">
        <v>4</v>
      </c>
    </row>
    <row r="75" spans="1:2">
      <c r="A75" s="9">
        <v>44620</v>
      </c>
      <c r="B75" s="7">
        <v>4</v>
      </c>
    </row>
    <row r="76" spans="1:2">
      <c r="A76" s="9">
        <v>44651</v>
      </c>
      <c r="B76" s="6">
        <v>4</v>
      </c>
    </row>
    <row r="77" spans="1:2">
      <c r="A77" s="9">
        <v>44681</v>
      </c>
      <c r="B77" s="7">
        <v>4</v>
      </c>
    </row>
    <row r="78" spans="1:2">
      <c r="A78" s="9">
        <v>44712</v>
      </c>
      <c r="B78" s="6">
        <v>4.4000000000000004</v>
      </c>
    </row>
    <row r="79" spans="1:2">
      <c r="A79" s="9">
        <v>44742</v>
      </c>
      <c r="B79" s="7">
        <v>4.9000000000000004</v>
      </c>
    </row>
    <row r="80" spans="1:2">
      <c r="A80" s="9">
        <v>44773</v>
      </c>
      <c r="B80" s="6">
        <v>4.9000000000000004</v>
      </c>
    </row>
    <row r="81" spans="1:2">
      <c r="A81" s="9">
        <v>44804</v>
      </c>
      <c r="B81" s="7">
        <v>5.4</v>
      </c>
    </row>
    <row r="82" spans="1:2">
      <c r="A82" s="9">
        <v>44834</v>
      </c>
      <c r="B82" s="6">
        <v>5.9</v>
      </c>
    </row>
    <row r="83" spans="1:2">
      <c r="A83" s="9">
        <v>44865</v>
      </c>
      <c r="B83" s="7">
        <v>5.9</v>
      </c>
    </row>
    <row r="84" spans="1:2">
      <c r="A84" s="9">
        <v>44895</v>
      </c>
      <c r="B84" s="6">
        <v>5.9</v>
      </c>
    </row>
    <row r="85" spans="1:2">
      <c r="A85" s="9">
        <v>44926</v>
      </c>
      <c r="B85" s="7">
        <v>6.25</v>
      </c>
    </row>
    <row r="86" spans="1:2">
      <c r="A86" s="9">
        <v>44957</v>
      </c>
      <c r="B86" s="6">
        <v>6.25</v>
      </c>
    </row>
    <row r="87" spans="1:2">
      <c r="A87" s="9">
        <v>44985</v>
      </c>
      <c r="B87" s="7">
        <v>6.5</v>
      </c>
    </row>
    <row r="88" spans="1:2">
      <c r="A88" s="9">
        <v>45016</v>
      </c>
      <c r="B88" s="6">
        <v>6.5</v>
      </c>
    </row>
    <row r="89" spans="1:2">
      <c r="A89" s="9">
        <v>45046</v>
      </c>
      <c r="B89" s="7">
        <v>6.5</v>
      </c>
    </row>
    <row r="90" spans="1:2">
      <c r="A90" s="9">
        <v>45077</v>
      </c>
      <c r="B90" s="6">
        <v>6.5</v>
      </c>
    </row>
    <row r="91" spans="1:2">
      <c r="A91" s="9">
        <v>45107</v>
      </c>
      <c r="B91" s="7">
        <v>6.5</v>
      </c>
    </row>
    <row r="92" spans="1:2">
      <c r="A92" s="9">
        <v>45138</v>
      </c>
      <c r="B92" s="6">
        <v>6.5</v>
      </c>
    </row>
    <row r="93" spans="1:2">
      <c r="A93" s="9">
        <v>45169</v>
      </c>
      <c r="B93" s="7">
        <v>6.5</v>
      </c>
    </row>
    <row r="94" spans="1:2">
      <c r="A94" s="9">
        <v>45199</v>
      </c>
      <c r="B94" s="6">
        <v>6.5</v>
      </c>
    </row>
    <row r="95" spans="1:2">
      <c r="A95" s="9">
        <v>45230</v>
      </c>
      <c r="B95" s="7">
        <v>6.5</v>
      </c>
    </row>
    <row r="96" spans="1:2">
      <c r="A96" s="9">
        <v>45260</v>
      </c>
      <c r="B96" s="6">
        <v>6.5</v>
      </c>
    </row>
    <row r="97" spans="1:2">
      <c r="A97" s="9">
        <v>45291</v>
      </c>
      <c r="B97" s="7">
        <v>6.5</v>
      </c>
    </row>
    <row r="98" spans="1:2">
      <c r="A98" s="9">
        <v>45322</v>
      </c>
      <c r="B98" s="6">
        <v>6.5</v>
      </c>
    </row>
    <row r="99" spans="1:2">
      <c r="A99" s="9">
        <v>45351</v>
      </c>
      <c r="B99" s="7">
        <v>6.5</v>
      </c>
    </row>
    <row r="100" spans="1:2">
      <c r="A100" s="9">
        <v>45382</v>
      </c>
      <c r="B100" s="6">
        <v>6.5</v>
      </c>
    </row>
    <row r="101" spans="1:2">
      <c r="A101" s="9">
        <v>45412</v>
      </c>
      <c r="B101" s="7">
        <v>6.5</v>
      </c>
    </row>
    <row r="102" spans="1:2">
      <c r="A102" s="9">
        <v>45443</v>
      </c>
      <c r="B102" s="6">
        <v>6.5</v>
      </c>
    </row>
    <row r="103" spans="1:2">
      <c r="A103" s="9">
        <v>45473</v>
      </c>
      <c r="B103" s="7">
        <v>6.5</v>
      </c>
    </row>
    <row r="104" spans="1:2">
      <c r="A104" s="9">
        <v>45504</v>
      </c>
      <c r="B104" s="6">
        <v>6.5</v>
      </c>
    </row>
    <row r="105" spans="1:2">
      <c r="A105" s="9">
        <v>45535</v>
      </c>
      <c r="B105" s="7">
        <v>6.5</v>
      </c>
    </row>
    <row r="106" spans="1:2">
      <c r="A106" s="9">
        <v>45565</v>
      </c>
      <c r="B106" s="6">
        <v>6.5</v>
      </c>
    </row>
    <row r="107" spans="1:2">
      <c r="A107" s="9">
        <v>45596</v>
      </c>
      <c r="B107" s="7">
        <v>6.5</v>
      </c>
    </row>
    <row r="108" spans="1:2">
      <c r="A108" s="9">
        <v>45626</v>
      </c>
      <c r="B108" s="6">
        <v>6.5</v>
      </c>
    </row>
    <row r="109" spans="1:2">
      <c r="A109" s="9">
        <v>45657</v>
      </c>
      <c r="B109" s="7">
        <v>6.5</v>
      </c>
    </row>
    <row r="110" spans="1:2">
      <c r="A110" s="9">
        <v>45688</v>
      </c>
      <c r="B110" s="6">
        <v>6.5</v>
      </c>
    </row>
    <row r="111" spans="1:2">
      <c r="A111" s="9">
        <v>45716</v>
      </c>
      <c r="B111" s="7">
        <v>6.25</v>
      </c>
    </row>
    <row r="112" spans="1:2">
      <c r="A112" s="9">
        <v>45747</v>
      </c>
      <c r="B112" s="6">
        <v>6.25</v>
      </c>
    </row>
    <row r="113" spans="1:2">
      <c r="A113" s="9">
        <v>45777</v>
      </c>
      <c r="B113" s="7">
        <v>6</v>
      </c>
    </row>
    <row r="114" spans="1:2">
      <c r="A114" s="9">
        <v>45808</v>
      </c>
      <c r="B114" s="6">
        <v>6</v>
      </c>
    </row>
    <row r="115" spans="1:2">
      <c r="A115" s="9">
        <v>45838</v>
      </c>
      <c r="B115" s="7">
        <v>5.5</v>
      </c>
    </row>
    <row r="116" spans="1:2">
      <c r="A116" s="9">
        <v>45869</v>
      </c>
      <c r="B116" s="6">
        <v>5.5</v>
      </c>
    </row>
    <row r="117" spans="1:2">
      <c r="A117" s="9">
        <v>45900</v>
      </c>
      <c r="B117" s="7">
        <v>5.5</v>
      </c>
    </row>
    <row r="118" spans="1:2">
      <c r="A118" s="9">
        <v>45930</v>
      </c>
      <c r="B118" s="6">
        <v>5.5</v>
      </c>
    </row>
    <row r="119" spans="1:2">
      <c r="A119" s="9">
        <v>45961</v>
      </c>
      <c r="B119" s="7">
        <v>5.5</v>
      </c>
    </row>
    <row r="120" spans="1:2">
      <c r="A120" s="9">
        <v>45991</v>
      </c>
      <c r="B120" s="6">
        <v>5.5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2026-02-22T18:56:26Z</dcterms:created>
  <dcterms:modified xsi:type="dcterms:W3CDTF">2026-02-24T13:47:36Z</dcterms:modified>
  <cp:category/>
  <cp:contentStatus/>
</cp:coreProperties>
</file>